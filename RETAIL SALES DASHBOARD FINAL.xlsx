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esktop\"/>
    </mc:Choice>
  </mc:AlternateContent>
  <bookViews>
    <workbookView xWindow="0" yWindow="0" windowWidth="20490" windowHeight="7755" firstSheet="1" activeTab="3"/>
  </bookViews>
  <sheets>
    <sheet name="ORIGINAL TABLE" sheetId="1" r:id="rId1"/>
    <sheet name="PIVOT TABLE" sheetId="15" r:id="rId2"/>
    <sheet name="DASHBOARD" sheetId="16" r:id="rId3"/>
    <sheet name="CLEAN TABLE" sheetId="6" r:id="rId4"/>
    <sheet name="Questions" sheetId="3" r:id="rId5"/>
  </sheets>
  <definedNames>
    <definedName name="_xlnm._FilterDatabase" localSheetId="3" hidden="1">'CLEAN TABLE'!$A$1:$N$2001</definedName>
    <definedName name="_xlnm._FilterDatabase" localSheetId="0" hidden="1">'ORIGINAL TABLE'!$A$1:$M$2001</definedName>
    <definedName name="_xlnm.Print_Area" localSheetId="2">DASHBOARD!$A$1:$Z$38</definedName>
    <definedName name="Slicer_Month">#N/A</definedName>
    <definedName name="Slicer_Payment_Method">#N/A</definedName>
    <definedName name="Slicer_Product">#N/A</definedName>
    <definedName name="Slicer_Region">#N/A</definedName>
  </definedNames>
  <calcPr calcId="152511"/>
  <pivotCaches>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 i="6" l="1"/>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K21" i="15"/>
  <c r="H8" i="15"/>
  <c r="P2" i="6"/>
  <c r="O2" i="6" l="1"/>
  <c r="K15" i="15"/>
  <c r="C5" i="15"/>
  <c r="K24" i="15"/>
  <c r="G5" i="15"/>
  <c r="E5" i="15"/>
</calcChain>
</file>

<file path=xl/sharedStrings.xml><?xml version="1.0" encoding="utf-8"?>
<sst xmlns="http://schemas.openxmlformats.org/spreadsheetml/2006/main" count="32100" uniqueCount="3418">
  <si>
    <t>Order ID</t>
  </si>
  <si>
    <t>Order Date</t>
  </si>
  <si>
    <t>Customer ID</t>
  </si>
  <si>
    <t>Customer Name</t>
  </si>
  <si>
    <t>Region</t>
  </si>
  <si>
    <t>Product Category</t>
  </si>
  <si>
    <t>Product</t>
  </si>
  <si>
    <t>Quantity</t>
  </si>
  <si>
    <t>Unit Price</t>
  </si>
  <si>
    <t>Discount</t>
  </si>
  <si>
    <t>Sales</t>
  </si>
  <si>
    <t>Profit</t>
  </si>
  <si>
    <t>Payment Method</t>
  </si>
  <si>
    <t>ORD00001</t>
  </si>
  <si>
    <t>2025-08-12</t>
  </si>
  <si>
    <t>C0399</t>
  </si>
  <si>
    <t>Customer 315</t>
  </si>
  <si>
    <t>Lagos</t>
  </si>
  <si>
    <t>Groceries</t>
  </si>
  <si>
    <t>Pasta</t>
  </si>
  <si>
    <t>Cash</t>
  </si>
  <si>
    <t>ORD00002</t>
  </si>
  <si>
    <t>2025-09-29</t>
  </si>
  <si>
    <t>C0397</t>
  </si>
  <si>
    <t>Customer 311</t>
  </si>
  <si>
    <t>Ibadan</t>
  </si>
  <si>
    <t>Fashion</t>
  </si>
  <si>
    <t>Jeans</t>
  </si>
  <si>
    <t>ORD00003</t>
  </si>
  <si>
    <t>2025-06-08</t>
  </si>
  <si>
    <t>C0006</t>
  </si>
  <si>
    <t>Customer 73</t>
  </si>
  <si>
    <t>Kano</t>
  </si>
  <si>
    <t>Electronics</t>
  </si>
  <si>
    <t>Headphones</t>
  </si>
  <si>
    <t>Transfer</t>
  </si>
  <si>
    <t>ORD00004</t>
  </si>
  <si>
    <t>2025-12-26</t>
  </si>
  <si>
    <t>C0390</t>
  </si>
  <si>
    <t>Customer 303</t>
  </si>
  <si>
    <t>Card</t>
  </si>
  <si>
    <t>ORD00005</t>
  </si>
  <si>
    <t>2025-07-22</t>
  </si>
  <si>
    <t>C0051</t>
  </si>
  <si>
    <t>Customer 7</t>
  </si>
  <si>
    <t>Rice</t>
  </si>
  <si>
    <t>ORD00006</t>
  </si>
  <si>
    <t>2025-12-20</t>
  </si>
  <si>
    <t>C0386</t>
  </si>
  <si>
    <t>Customer 448</t>
  </si>
  <si>
    <t>Speaker</t>
  </si>
  <si>
    <t>ORD00007</t>
  </si>
  <si>
    <t>2025-01-15</t>
  </si>
  <si>
    <t>C0068</t>
  </si>
  <si>
    <t>Customer 461</t>
  </si>
  <si>
    <t>ORD00008</t>
  </si>
  <si>
    <t>2025-12-05</t>
  </si>
  <si>
    <t>C0090</t>
  </si>
  <si>
    <t>Customer 262</t>
  </si>
  <si>
    <t>Abuja</t>
  </si>
  <si>
    <t>ORD00009</t>
  </si>
  <si>
    <t>2025-10-03</t>
  </si>
  <si>
    <t>C0469</t>
  </si>
  <si>
    <t>Customer 362</t>
  </si>
  <si>
    <t>Port Harcourt</t>
  </si>
  <si>
    <t>ORD00010</t>
  </si>
  <si>
    <t>2025-03-29</t>
  </si>
  <si>
    <t>C0035</t>
  </si>
  <si>
    <t>Customer 144</t>
  </si>
  <si>
    <t>Mouse</t>
  </si>
  <si>
    <t>ORD00011</t>
  </si>
  <si>
    <t>2025-02-28</t>
  </si>
  <si>
    <t>C0066</t>
  </si>
  <si>
    <t>Customer 206</t>
  </si>
  <si>
    <t>Keyboard</t>
  </si>
  <si>
    <t>ORD00012</t>
  </si>
  <si>
    <t>2025-04-25</t>
  </si>
  <si>
    <t>C0258</t>
  </si>
  <si>
    <t>Customer 435</t>
  </si>
  <si>
    <t>Cooking Oil</t>
  </si>
  <si>
    <t>ORD00013</t>
  </si>
  <si>
    <t>2025-02-21</t>
  </si>
  <si>
    <t>C0198</t>
  </si>
  <si>
    <t>Customer 48</t>
  </si>
  <si>
    <t>T-Shirt</t>
  </si>
  <si>
    <t>ORD00014</t>
  </si>
  <si>
    <t>2025-02-17</t>
  </si>
  <si>
    <t>C0083</t>
  </si>
  <si>
    <t>Customer 499</t>
  </si>
  <si>
    <t>Home</t>
  </si>
  <si>
    <t>Fan</t>
  </si>
  <si>
    <t>ORD00015</t>
  </si>
  <si>
    <t>2025-11-13</t>
  </si>
  <si>
    <t>C0371</t>
  </si>
  <si>
    <t>Customer 496</t>
  </si>
  <si>
    <t>ORD00016</t>
  </si>
  <si>
    <t>2025-08-19</t>
  </si>
  <si>
    <t>C0484</t>
  </si>
  <si>
    <t>Customer 396</t>
  </si>
  <si>
    <t>ORD00017</t>
  </si>
  <si>
    <t>2025-07-26</t>
  </si>
  <si>
    <t>C0231</t>
  </si>
  <si>
    <t>Customer 62</t>
  </si>
  <si>
    <t>ORD00018</t>
  </si>
  <si>
    <t>2025-05-29</t>
  </si>
  <si>
    <t>C0365</t>
  </si>
  <si>
    <t>Customer 278</t>
  </si>
  <si>
    <t>ORD00019</t>
  </si>
  <si>
    <t>2025-05-15</t>
  </si>
  <si>
    <t>Customer 156</t>
  </si>
  <si>
    <t>ORD00020</t>
  </si>
  <si>
    <t>2025-04-24</t>
  </si>
  <si>
    <t>C0369</t>
  </si>
  <si>
    <t>Customer 133</t>
  </si>
  <si>
    <t>ORD00021</t>
  </si>
  <si>
    <t>2025-01-11</t>
  </si>
  <si>
    <t>C0438</t>
  </si>
  <si>
    <t>Customer 269</t>
  </si>
  <si>
    <t>Sneakers</t>
  </si>
  <si>
    <t>ORD00022</t>
  </si>
  <si>
    <t>2025-08-01</t>
  </si>
  <si>
    <t>C0477</t>
  </si>
  <si>
    <t>Customer 253</t>
  </si>
  <si>
    <t>ORD00023</t>
  </si>
  <si>
    <t>2025-06-30</t>
  </si>
  <si>
    <t>C0075</t>
  </si>
  <si>
    <t>Customer 277</t>
  </si>
  <si>
    <t>ORD00024</t>
  </si>
  <si>
    <t>2025-07-06</t>
  </si>
  <si>
    <t>C0031</t>
  </si>
  <si>
    <t>Customer 187</t>
  </si>
  <si>
    <t>Kettle</t>
  </si>
  <si>
    <t>ORD00025</t>
  </si>
  <si>
    <t>2025-04-20</t>
  </si>
  <si>
    <t>C0296</t>
  </si>
  <si>
    <t>Customer 113</t>
  </si>
  <si>
    <t>ORD00026</t>
  </si>
  <si>
    <t>2025-03-06</t>
  </si>
  <si>
    <t>Customer 299</t>
  </si>
  <si>
    <t>ORD00027</t>
  </si>
  <si>
    <t>2025-05-27</t>
  </si>
  <si>
    <t>Customer 279</t>
  </si>
  <si>
    <t>ORD00028</t>
  </si>
  <si>
    <t>2025-01-30</t>
  </si>
  <si>
    <t>C0426</t>
  </si>
  <si>
    <t>Customer 363</t>
  </si>
  <si>
    <t>ORD00029</t>
  </si>
  <si>
    <t>2025-11-27</t>
  </si>
  <si>
    <t>C0069</t>
  </si>
  <si>
    <t>Customer 157</t>
  </si>
  <si>
    <t>Blender</t>
  </si>
  <si>
    <t>ORD00030</t>
  </si>
  <si>
    <t>C0064</t>
  </si>
  <si>
    <t>Customer 276</t>
  </si>
  <si>
    <t>ORD00031</t>
  </si>
  <si>
    <t>2025-09-06</t>
  </si>
  <si>
    <t>C0173</t>
  </si>
  <si>
    <t>Customer 225</t>
  </si>
  <si>
    <t>ORD00032</t>
  </si>
  <si>
    <t>2025-05-07</t>
  </si>
  <si>
    <t>C0233</t>
  </si>
  <si>
    <t>Customer 221</t>
  </si>
  <si>
    <t>ORD00033</t>
  </si>
  <si>
    <t>2025-11-29</t>
  </si>
  <si>
    <t>C0172</t>
  </si>
  <si>
    <t>Customer 464</t>
  </si>
  <si>
    <t>ORD00034</t>
  </si>
  <si>
    <t>2025-04-05</t>
  </si>
  <si>
    <t>C0058</t>
  </si>
  <si>
    <t>ORD00035</t>
  </si>
  <si>
    <t>2025-03-19</t>
  </si>
  <si>
    <t>C0437</t>
  </si>
  <si>
    <t>Customer 307</t>
  </si>
  <si>
    <t>ORD00036</t>
  </si>
  <si>
    <t>C0155</t>
  </si>
  <si>
    <t>Customer 87</t>
  </si>
  <si>
    <t>ORD00037</t>
  </si>
  <si>
    <t>C0302</t>
  </si>
  <si>
    <t>Customer 295</t>
  </si>
  <si>
    <t>ORD00038</t>
  </si>
  <si>
    <t>2025-02-25</t>
  </si>
  <si>
    <t>C0072</t>
  </si>
  <si>
    <t>Customer 178</t>
  </si>
  <si>
    <t>ORD00039</t>
  </si>
  <si>
    <t>2025-08-05</t>
  </si>
  <si>
    <t>C0206</t>
  </si>
  <si>
    <t>Customer 484</t>
  </si>
  <si>
    <t>ORD00040</t>
  </si>
  <si>
    <t>2025-02-20</t>
  </si>
  <si>
    <t>Customer 443</t>
  </si>
  <si>
    <t>ORD00041</t>
  </si>
  <si>
    <t>2025-04-30</t>
  </si>
  <si>
    <t>C0113</t>
  </si>
  <si>
    <t>Customer 162</t>
  </si>
  <si>
    <t>ORD00042</t>
  </si>
  <si>
    <t>2025-11-10</t>
  </si>
  <si>
    <t>C0108</t>
  </si>
  <si>
    <t>Customer 354</t>
  </si>
  <si>
    <t>ORD00043</t>
  </si>
  <si>
    <t>2025-03-12</t>
  </si>
  <si>
    <t>C0129</t>
  </si>
  <si>
    <t>Customer 135</t>
  </si>
  <si>
    <t>ORD00044</t>
  </si>
  <si>
    <t>2025-09-30</t>
  </si>
  <si>
    <t>C0200</t>
  </si>
  <si>
    <t>Customer 454</t>
  </si>
  <si>
    <t>ORD00045</t>
  </si>
  <si>
    <t>2025-03-22</t>
  </si>
  <si>
    <t>Customer 6</t>
  </si>
  <si>
    <t>ORD00046</t>
  </si>
  <si>
    <t>2025-03-02</t>
  </si>
  <si>
    <t>C0379</t>
  </si>
  <si>
    <t>Customer 446</t>
  </si>
  <si>
    <t>ORD00047</t>
  </si>
  <si>
    <t>2025-06-27</t>
  </si>
  <si>
    <t>C0116</t>
  </si>
  <si>
    <t>ORD00048</t>
  </si>
  <si>
    <t>2025-12-11</t>
  </si>
  <si>
    <t>C0486</t>
  </si>
  <si>
    <t>ORD00049</t>
  </si>
  <si>
    <t>2025-02-14</t>
  </si>
  <si>
    <t>C0368</t>
  </si>
  <si>
    <t>ORD00050</t>
  </si>
  <si>
    <t>2025-06-03</t>
  </si>
  <si>
    <t>C0306</t>
  </si>
  <si>
    <t>ORD00051</t>
  </si>
  <si>
    <t>C0286</t>
  </si>
  <si>
    <t>Customer 17</t>
  </si>
  <si>
    <t>ORD00052</t>
  </si>
  <si>
    <t>2025-07-30</t>
  </si>
  <si>
    <t>C0079</t>
  </si>
  <si>
    <t>Customer 257</t>
  </si>
  <si>
    <t>ORD00053</t>
  </si>
  <si>
    <t>Customer 47</t>
  </si>
  <si>
    <t>ORD00054</t>
  </si>
  <si>
    <t>2025-07-03</t>
  </si>
  <si>
    <t>C0112</t>
  </si>
  <si>
    <t>Customer 199</t>
  </si>
  <si>
    <t>ORD00055</t>
  </si>
  <si>
    <t>2025-11-28</t>
  </si>
  <si>
    <t>Customer 367</t>
  </si>
  <si>
    <t>ORD00056</t>
  </si>
  <si>
    <t>2025-06-09</t>
  </si>
  <si>
    <t>C0373</t>
  </si>
  <si>
    <t>Customer 324</t>
  </si>
  <si>
    <t>ORD00057</t>
  </si>
  <si>
    <t>2025-08-04</t>
  </si>
  <si>
    <t>ORD00058</t>
  </si>
  <si>
    <t>2025-01-03</t>
  </si>
  <si>
    <t>C0252</t>
  </si>
  <si>
    <t>Customer 104</t>
  </si>
  <si>
    <t>ORD00059</t>
  </si>
  <si>
    <t>2025-03-08</t>
  </si>
  <si>
    <t>C0475</t>
  </si>
  <si>
    <t>Customer 117</t>
  </si>
  <si>
    <t>ORD00060</t>
  </si>
  <si>
    <t>2025-03-09</t>
  </si>
  <si>
    <t>C0199</t>
  </si>
  <si>
    <t>Customer 361</t>
  </si>
  <si>
    <t>ORD00061</t>
  </si>
  <si>
    <t>2025-09-23</t>
  </si>
  <si>
    <t>C0463</t>
  </si>
  <si>
    <t>Customer 330</t>
  </si>
  <si>
    <t>ORD00062</t>
  </si>
  <si>
    <t>2025-01-17</t>
  </si>
  <si>
    <t>C0360</t>
  </si>
  <si>
    <t>Customer 183</t>
  </si>
  <si>
    <t>ORD00063</t>
  </si>
  <si>
    <t>2025-06-18</t>
  </si>
  <si>
    <t>Customer 283</t>
  </si>
  <si>
    <t>ORD00064</t>
  </si>
  <si>
    <t>2025-11-15</t>
  </si>
  <si>
    <t>C0042</t>
  </si>
  <si>
    <t>Customer 392</t>
  </si>
  <si>
    <t>ORD00065</t>
  </si>
  <si>
    <t>2025-10-17</t>
  </si>
  <si>
    <t>C0443</t>
  </si>
  <si>
    <t>ORD00066</t>
  </si>
  <si>
    <t>2025-07-12</t>
  </si>
  <si>
    <t>C0295</t>
  </si>
  <si>
    <t>Customer 326</t>
  </si>
  <si>
    <t>ORD00067</t>
  </si>
  <si>
    <t>2025-03-25</t>
  </si>
  <si>
    <t>C0375</t>
  </si>
  <si>
    <t>Customer 51</t>
  </si>
  <si>
    <t>ORD00068</t>
  </si>
  <si>
    <t>2025-03-01</t>
  </si>
  <si>
    <t>C0067</t>
  </si>
  <si>
    <t>Customer 375</t>
  </si>
  <si>
    <t>ORD00069</t>
  </si>
  <si>
    <t>2025-07-15</t>
  </si>
  <si>
    <t>C0255</t>
  </si>
  <si>
    <t>Customer 196</t>
  </si>
  <si>
    <t>ORD00070</t>
  </si>
  <si>
    <t>2025-09-24</t>
  </si>
  <si>
    <t>C0401</t>
  </si>
  <si>
    <t>Customer 33</t>
  </si>
  <si>
    <t>ORD00071</t>
  </si>
  <si>
    <t>2025-07-24</t>
  </si>
  <si>
    <t>C0219</t>
  </si>
  <si>
    <t>Customer 91</t>
  </si>
  <si>
    <t>ORD00072</t>
  </si>
  <si>
    <t>2025-10-22</t>
  </si>
  <si>
    <t>C0406</t>
  </si>
  <si>
    <t>Customer 314</t>
  </si>
  <si>
    <t>ORD00073</t>
  </si>
  <si>
    <t>2025-07-01</t>
  </si>
  <si>
    <t>C0105</t>
  </si>
  <si>
    <t>ORD00074</t>
  </si>
  <si>
    <t>2025-02-10</t>
  </si>
  <si>
    <t>C0193</t>
  </si>
  <si>
    <t>Customer 332</t>
  </si>
  <si>
    <t>ORD00075</t>
  </si>
  <si>
    <t>2025-08-21</t>
  </si>
  <si>
    <t>C0021</t>
  </si>
  <si>
    <t>Customer 217</t>
  </si>
  <si>
    <t>ORD00076</t>
  </si>
  <si>
    <t>2025-05-01</t>
  </si>
  <si>
    <t>C0473</t>
  </si>
  <si>
    <t>ORD00077</t>
  </si>
  <si>
    <t>2025-06-10</t>
  </si>
  <si>
    <t>C0304</t>
  </si>
  <si>
    <t>Customer 374</t>
  </si>
  <si>
    <t>ORD00078</t>
  </si>
  <si>
    <t>2025-01-04</t>
  </si>
  <si>
    <t>Customer 185</t>
  </si>
  <si>
    <t>ORD00079</t>
  </si>
  <si>
    <t>2025-09-28</t>
  </si>
  <si>
    <t>C0363</t>
  </si>
  <si>
    <t>Customer 489</t>
  </si>
  <si>
    <t>ORD00080</t>
  </si>
  <si>
    <t>2025-11-30</t>
  </si>
  <si>
    <t>C0342</t>
  </si>
  <si>
    <t>Customer 31</t>
  </si>
  <si>
    <t>ORD00081</t>
  </si>
  <si>
    <t>2025-10-09</t>
  </si>
  <si>
    <t>Customer 1</t>
  </si>
  <si>
    <t>ORD00082</t>
  </si>
  <si>
    <t>2025-12-29</t>
  </si>
  <si>
    <t>C0152</t>
  </si>
  <si>
    <t>ORD00083</t>
  </si>
  <si>
    <t>2025-07-28</t>
  </si>
  <si>
    <t>C0225</t>
  </si>
  <si>
    <t>Customer 163</t>
  </si>
  <si>
    <t>ORD00084</t>
  </si>
  <si>
    <t>2025-04-03</t>
  </si>
  <si>
    <t>C0256</t>
  </si>
  <si>
    <t>Customer 158</t>
  </si>
  <si>
    <t>ORD00085</t>
  </si>
  <si>
    <t>2025-05-14</t>
  </si>
  <si>
    <t>C0270</t>
  </si>
  <si>
    <t>Customer 331</t>
  </si>
  <si>
    <t>ORD00086</t>
  </si>
  <si>
    <t>C0135</t>
  </si>
  <si>
    <t>ORD00087</t>
  </si>
  <si>
    <t>2025-01-31</t>
  </si>
  <si>
    <t>C0177</t>
  </si>
  <si>
    <t>Customer 37</t>
  </si>
  <si>
    <t>ORD00088</t>
  </si>
  <si>
    <t>2025-08-14</t>
  </si>
  <si>
    <t>Customer 207</t>
  </si>
  <si>
    <t>ORD00089</t>
  </si>
  <si>
    <t>2025-06-26</t>
  </si>
  <si>
    <t>Customer 191</t>
  </si>
  <si>
    <t>ORD00090</t>
  </si>
  <si>
    <t>2025-11-23</t>
  </si>
  <si>
    <t>C0350</t>
  </si>
  <si>
    <t>ORD00091</t>
  </si>
  <si>
    <t>2025-07-27</t>
  </si>
  <si>
    <t>C0164</t>
  </si>
  <si>
    <t>ORD00092</t>
  </si>
  <si>
    <t>2025-08-18</t>
  </si>
  <si>
    <t>C0187</t>
  </si>
  <si>
    <t>Customer 249</t>
  </si>
  <si>
    <t>ORD00093</t>
  </si>
  <si>
    <t>C0127</t>
  </si>
  <si>
    <t>Customer 408</t>
  </si>
  <si>
    <t>ORD00094</t>
  </si>
  <si>
    <t>2025-03-31</t>
  </si>
  <si>
    <t>C0076</t>
  </si>
  <si>
    <t>Customer 338</t>
  </si>
  <si>
    <t>ORD00095</t>
  </si>
  <si>
    <t>C0346</t>
  </si>
  <si>
    <t>Customer 13</t>
  </si>
  <si>
    <t>ORD00096</t>
  </si>
  <si>
    <t>2025-08-03</t>
  </si>
  <si>
    <t>C0204</t>
  </si>
  <si>
    <t>ORD00097</t>
  </si>
  <si>
    <t>2025-08-23</t>
  </si>
  <si>
    <t>C0414</t>
  </si>
  <si>
    <t>Customer 102</t>
  </si>
  <si>
    <t>ORD00098</t>
  </si>
  <si>
    <t>2025-01-07</t>
  </si>
  <si>
    <t>C0134</t>
  </si>
  <si>
    <t>Customer 441</t>
  </si>
  <si>
    <t>ORD00099</t>
  </si>
  <si>
    <t>2025-05-30</t>
  </si>
  <si>
    <t>C0280</t>
  </si>
  <si>
    <t>Customer 241</t>
  </si>
  <si>
    <t>ORD00100</t>
  </si>
  <si>
    <t>2025-12-10</t>
  </si>
  <si>
    <t>C0036</t>
  </si>
  <si>
    <t>Customer 260</t>
  </si>
  <si>
    <t>ORD00101</t>
  </si>
  <si>
    <t>2025-02-19</t>
  </si>
  <si>
    <t>C0139</t>
  </si>
  <si>
    <t>Customer 343</t>
  </si>
  <si>
    <t>ORD00102</t>
  </si>
  <si>
    <t>2025-06-23</t>
  </si>
  <si>
    <t>C0308</t>
  </si>
  <si>
    <t>Customer 360</t>
  </si>
  <si>
    <t>ORD00103</t>
  </si>
  <si>
    <t>2025-02-08</t>
  </si>
  <si>
    <t>C0300</t>
  </si>
  <si>
    <t>Customer 96</t>
  </si>
  <si>
    <t>ORD00104</t>
  </si>
  <si>
    <t>2025-11-11</t>
  </si>
  <si>
    <t>C0281</t>
  </si>
  <si>
    <t>Customer 463</t>
  </si>
  <si>
    <t>ORD00105</t>
  </si>
  <si>
    <t>2025-08-30</t>
  </si>
  <si>
    <t>C0020</t>
  </si>
  <si>
    <t>ORD00106</t>
  </si>
  <si>
    <t>2025-10-13</t>
  </si>
  <si>
    <t>C0015</t>
  </si>
  <si>
    <t>Customer 422</t>
  </si>
  <si>
    <t>ORD00107</t>
  </si>
  <si>
    <t>Customer 235</t>
  </si>
  <si>
    <t>ORD00108</t>
  </si>
  <si>
    <t>C0453</t>
  </si>
  <si>
    <t>Customer 110</t>
  </si>
  <si>
    <t>ORD00109</t>
  </si>
  <si>
    <t>2025-07-10</t>
  </si>
  <si>
    <t>C0440</t>
  </si>
  <si>
    <t>Customer 286</t>
  </si>
  <si>
    <t>ORD00110</t>
  </si>
  <si>
    <t>C0376</t>
  </si>
  <si>
    <t>Customer 294</t>
  </si>
  <si>
    <t>ORD00111</t>
  </si>
  <si>
    <t>2025-05-17</t>
  </si>
  <si>
    <t>C0383</t>
  </si>
  <si>
    <t>Customer 366</t>
  </si>
  <si>
    <t>ORD00112</t>
  </si>
  <si>
    <t>2025-10-27</t>
  </si>
  <si>
    <t>C0249</t>
  </si>
  <si>
    <t>Customer 243</t>
  </si>
  <si>
    <t>ORD00113</t>
  </si>
  <si>
    <t>2025-04-17</t>
  </si>
  <si>
    <t>C0479</t>
  </si>
  <si>
    <t>ORD00114</t>
  </si>
  <si>
    <t>2025-09-09</t>
  </si>
  <si>
    <t>C0254</t>
  </si>
  <si>
    <t>Customer 335</t>
  </si>
  <si>
    <t>ORD00115</t>
  </si>
  <si>
    <t>C0496</t>
  </si>
  <si>
    <t>Customer 214</t>
  </si>
  <si>
    <t>ORD00116</t>
  </si>
  <si>
    <t>2025-01-14</t>
  </si>
  <si>
    <t>C0212</t>
  </si>
  <si>
    <t>Customer 447</t>
  </si>
  <si>
    <t>ORD00117</t>
  </si>
  <si>
    <t>2025-11-16</t>
  </si>
  <si>
    <t>Customer 205</t>
  </si>
  <si>
    <t>ORD00118</t>
  </si>
  <si>
    <t>2025-03-30</t>
  </si>
  <si>
    <t>C0244</t>
  </si>
  <si>
    <t>Customer 43</t>
  </si>
  <si>
    <t>ORD00119</t>
  </si>
  <si>
    <t>C0404</t>
  </si>
  <si>
    <t>Customer 402</t>
  </si>
  <si>
    <t>ORD00120</t>
  </si>
  <si>
    <t>C0122</t>
  </si>
  <si>
    <t>Customer 28</t>
  </si>
  <si>
    <t>ORD00121</t>
  </si>
  <si>
    <t>C0176</t>
  </si>
  <si>
    <t>Customer 197</t>
  </si>
  <si>
    <t>ORD00122</t>
  </si>
  <si>
    <t>C0167</t>
  </si>
  <si>
    <t>Customer 57</t>
  </si>
  <si>
    <t>ORD00123</t>
  </si>
  <si>
    <t>C0277</t>
  </si>
  <si>
    <t>Customer 152</t>
  </si>
  <si>
    <t>ORD00124</t>
  </si>
  <si>
    <t>2025-02-11</t>
  </si>
  <si>
    <t>C0196</t>
  </si>
  <si>
    <t>ORD00125</t>
  </si>
  <si>
    <t>C0017</t>
  </si>
  <si>
    <t>Customer 255</t>
  </si>
  <si>
    <t>ORD00126</t>
  </si>
  <si>
    <t>2025-03-13</t>
  </si>
  <si>
    <t>C0261</t>
  </si>
  <si>
    <t>Customer 413</t>
  </si>
  <si>
    <t>ORD00127</t>
  </si>
  <si>
    <t>2025-01-22</t>
  </si>
  <si>
    <t>C0228</t>
  </si>
  <si>
    <t>Customer 140</t>
  </si>
  <si>
    <t>ORD00128</t>
  </si>
  <si>
    <t>2025-06-12</t>
  </si>
  <si>
    <t>Customer 333</t>
  </si>
  <si>
    <t>ORD00129</t>
  </si>
  <si>
    <t>2025-11-02</t>
  </si>
  <si>
    <t>Customer 218</t>
  </si>
  <si>
    <t>ORD00130</t>
  </si>
  <si>
    <t>2025-03-15</t>
  </si>
  <si>
    <t>C0316</t>
  </si>
  <si>
    <t>ORD00131</t>
  </si>
  <si>
    <t>2025-02-04</t>
  </si>
  <si>
    <t>C0040</t>
  </si>
  <si>
    <t>Customer 15</t>
  </si>
  <si>
    <t>ORD00132</t>
  </si>
  <si>
    <t>2025-09-16</t>
  </si>
  <si>
    <t>C0123</t>
  </si>
  <si>
    <t>Customer 258</t>
  </si>
  <si>
    <t>ORD00133</t>
  </si>
  <si>
    <t>C0430</t>
  </si>
  <si>
    <t>ORD00134</t>
  </si>
  <si>
    <t>2025-05-04</t>
  </si>
  <si>
    <t>C0294</t>
  </si>
  <si>
    <t>Customer 2</t>
  </si>
  <si>
    <t>ORD00135</t>
  </si>
  <si>
    <t>C0132</t>
  </si>
  <si>
    <t>Customer 90</t>
  </si>
  <si>
    <t>ORD00136</t>
  </si>
  <si>
    <t>2025-12-06</t>
  </si>
  <si>
    <t>Customer 475</t>
  </si>
  <si>
    <t>ORD00137</t>
  </si>
  <si>
    <t>2025-05-08</t>
  </si>
  <si>
    <t>C0445</t>
  </si>
  <si>
    <t>Customer 131</t>
  </si>
  <si>
    <t>ORD00138</t>
  </si>
  <si>
    <t>2025-03-05</t>
  </si>
  <si>
    <t>C0318</t>
  </si>
  <si>
    <t>Customer 19</t>
  </si>
  <si>
    <t>ORD00139</t>
  </si>
  <si>
    <t>2025-03-04</t>
  </si>
  <si>
    <t>C0416</t>
  </si>
  <si>
    <t>ORD00140</t>
  </si>
  <si>
    <t>Customer 166</t>
  </si>
  <si>
    <t>ORD00141</t>
  </si>
  <si>
    <t>ORD00142</t>
  </si>
  <si>
    <t>2025-04-07</t>
  </si>
  <si>
    <t>C0103</t>
  </si>
  <si>
    <t>Customer 439</t>
  </si>
  <si>
    <t>ORD00143</t>
  </si>
  <si>
    <t>2025-12-09</t>
  </si>
  <si>
    <t>C0044</t>
  </si>
  <si>
    <t>Customer 376</t>
  </si>
  <si>
    <t>ORD00144</t>
  </si>
  <si>
    <t>2025-08-22</t>
  </si>
  <si>
    <t>C0189</t>
  </si>
  <si>
    <t>Customer 99</t>
  </si>
  <si>
    <t>ORD00145</t>
  </si>
  <si>
    <t>Customer 400</t>
  </si>
  <si>
    <t>ORD00146</t>
  </si>
  <si>
    <t>2025-09-10</t>
  </si>
  <si>
    <t>C0288</t>
  </si>
  <si>
    <t>Customer 459</t>
  </si>
  <si>
    <t>ORD00147</t>
  </si>
  <si>
    <t>2025-09-22</t>
  </si>
  <si>
    <t>C0186</t>
  </si>
  <si>
    <t>ORD00148</t>
  </si>
  <si>
    <t>2025-09-25</t>
  </si>
  <si>
    <t>C0320</t>
  </si>
  <si>
    <t>Customer 66</t>
  </si>
  <si>
    <t>ORD00149</t>
  </si>
  <si>
    <t>C0165</t>
  </si>
  <si>
    <t>ORD00150</t>
  </si>
  <si>
    <t>C0494</t>
  </si>
  <si>
    <t>Customer 342</t>
  </si>
  <si>
    <t>ORD00151</t>
  </si>
  <si>
    <t>2025-11-18</t>
  </si>
  <si>
    <t>C0178</t>
  </si>
  <si>
    <t>Customer 394</t>
  </si>
  <si>
    <t>ORD00152</t>
  </si>
  <si>
    <t>2025-10-20</t>
  </si>
  <si>
    <t>C0078</t>
  </si>
  <si>
    <t>Customer 50</t>
  </si>
  <si>
    <t>ORD00153</t>
  </si>
  <si>
    <t>C0452</t>
  </si>
  <si>
    <t>ORD00154</t>
  </si>
  <si>
    <t>C0374</t>
  </si>
  <si>
    <t>Customer 409</t>
  </si>
  <si>
    <t>ORD00155</t>
  </si>
  <si>
    <t>2025-06-13</t>
  </si>
  <si>
    <t>C0429</t>
  </si>
  <si>
    <t>ORD00156</t>
  </si>
  <si>
    <t>C0339</t>
  </si>
  <si>
    <t>ORD00157</t>
  </si>
  <si>
    <t>Customer 370</t>
  </si>
  <si>
    <t>ORD00158</t>
  </si>
  <si>
    <t>C0456</t>
  </si>
  <si>
    <t>ORD00159</t>
  </si>
  <si>
    <t>2025-08-13</t>
  </si>
  <si>
    <t>C0307</t>
  </si>
  <si>
    <t>Customer 95</t>
  </si>
  <si>
    <t>ORD00160</t>
  </si>
  <si>
    <t>2025-09-15</t>
  </si>
  <si>
    <t>C0183</t>
  </si>
  <si>
    <t>Customer 168</t>
  </si>
  <si>
    <t>ORD00161</t>
  </si>
  <si>
    <t>C0093</t>
  </si>
  <si>
    <t>Customer 111</t>
  </si>
  <si>
    <t>ORD00162</t>
  </si>
  <si>
    <t>2025-11-17</t>
  </si>
  <si>
    <t>C0340</t>
  </si>
  <si>
    <t>Customer 323</t>
  </si>
  <si>
    <t>ORD00163</t>
  </si>
  <si>
    <t>2025-09-07</t>
  </si>
  <si>
    <t>C0435</t>
  </si>
  <si>
    <t>Customer 182</t>
  </si>
  <si>
    <t>ORD00164</t>
  </si>
  <si>
    <t>2025-07-14</t>
  </si>
  <si>
    <t>Customer 161</t>
  </si>
  <si>
    <t>ORD00165</t>
  </si>
  <si>
    <t>C0471</t>
  </si>
  <si>
    <t>ORD00166</t>
  </si>
  <si>
    <t>2025-08-26</t>
  </si>
  <si>
    <t>C0322</t>
  </si>
  <si>
    <t>Customer 481</t>
  </si>
  <si>
    <t>ORD00167</t>
  </si>
  <si>
    <t>2025-09-04</t>
  </si>
  <si>
    <t>Customer 274</t>
  </si>
  <si>
    <t>ORD00168</t>
  </si>
  <si>
    <t>C0008</t>
  </si>
  <si>
    <t>Customer 356</t>
  </si>
  <si>
    <t>ORD00169</t>
  </si>
  <si>
    <t>2025-11-21</t>
  </si>
  <si>
    <t>C0099</t>
  </si>
  <si>
    <t>Customer 120</t>
  </si>
  <si>
    <t>ORD00170</t>
  </si>
  <si>
    <t>2025-10-25</t>
  </si>
  <si>
    <t>Customer 145</t>
  </si>
  <si>
    <t>ORD00171</t>
  </si>
  <si>
    <t>C0382</t>
  </si>
  <si>
    <t>Customer 263</t>
  </si>
  <si>
    <t>ORD00172</t>
  </si>
  <si>
    <t>2025-01-26</t>
  </si>
  <si>
    <t>C0009</t>
  </si>
  <si>
    <t>ORD00173</t>
  </si>
  <si>
    <t>2025-11-20</t>
  </si>
  <si>
    <t>C0427</t>
  </si>
  <si>
    <t>Customer 208</t>
  </si>
  <si>
    <t>ORD00174</t>
  </si>
  <si>
    <t>2025-08-16</t>
  </si>
  <si>
    <t>C0393</t>
  </si>
  <si>
    <t>Customer 395</t>
  </si>
  <si>
    <t>ORD00175</t>
  </si>
  <si>
    <t>C0110</t>
  </si>
  <si>
    <t>Customer 245</t>
  </si>
  <si>
    <t>ORD00176</t>
  </si>
  <si>
    <t>2025-03-28</t>
  </si>
  <si>
    <t>Customer 116</t>
  </si>
  <si>
    <t>ORD00177</t>
  </si>
  <si>
    <t>2025-03-11</t>
  </si>
  <si>
    <t>C0071</t>
  </si>
  <si>
    <t>Customer 136</t>
  </si>
  <si>
    <t>ORD00178</t>
  </si>
  <si>
    <t>2025-12-18</t>
  </si>
  <si>
    <t>Customer 71</t>
  </si>
  <si>
    <t>ORD00179</t>
  </si>
  <si>
    <t>C0264</t>
  </si>
  <si>
    <t>Customer 130</t>
  </si>
  <si>
    <t>ORD00180</t>
  </si>
  <si>
    <t>2025-10-06</t>
  </si>
  <si>
    <t>ORD00181</t>
  </si>
  <si>
    <t>2025-08-31</t>
  </si>
  <si>
    <t>Customer 401</t>
  </si>
  <si>
    <t>ORD00182</t>
  </si>
  <si>
    <t>C0029</t>
  </si>
  <si>
    <t>Customer 143</t>
  </si>
  <si>
    <t>ORD00183</t>
  </si>
  <si>
    <t>2025-08-27</t>
  </si>
  <si>
    <t>ORD00184</t>
  </si>
  <si>
    <t>C0460</t>
  </si>
  <si>
    <t>Customer 425</t>
  </si>
  <si>
    <t>ORD00185</t>
  </si>
  <si>
    <t>2025-12-02</t>
  </si>
  <si>
    <t>ORD00186</t>
  </si>
  <si>
    <t>2025-09-05</t>
  </si>
  <si>
    <t>Customer 84</t>
  </si>
  <si>
    <t>ORD00187</t>
  </si>
  <si>
    <t>2025-01-01</t>
  </si>
  <si>
    <t>C0111</t>
  </si>
  <si>
    <t>ORD00188</t>
  </si>
  <si>
    <t>C0483</t>
  </si>
  <si>
    <t>ORD00189</t>
  </si>
  <si>
    <t>2025-08-15</t>
  </si>
  <si>
    <t>C0162</t>
  </si>
  <si>
    <t>Customer 164</t>
  </si>
  <si>
    <t>ORD00190</t>
  </si>
  <si>
    <t>2025-07-16</t>
  </si>
  <si>
    <t>C0016</t>
  </si>
  <si>
    <t>Customer 455</t>
  </si>
  <si>
    <t>ORD00191</t>
  </si>
  <si>
    <t>C0349</t>
  </si>
  <si>
    <t>Customer 386</t>
  </si>
  <si>
    <t>ORD00192</t>
  </si>
  <si>
    <t>2025-10-19</t>
  </si>
  <si>
    <t>C0048</t>
  </si>
  <si>
    <t>Customer 79</t>
  </si>
  <si>
    <t>ORD00193</t>
  </si>
  <si>
    <t>2025-11-26</t>
  </si>
  <si>
    <t>C0182</t>
  </si>
  <si>
    <t>Customer 434</t>
  </si>
  <si>
    <t>ORD00194</t>
  </si>
  <si>
    <t>2025-03-10</t>
  </si>
  <si>
    <t>C0131</t>
  </si>
  <si>
    <t>ORD00195</t>
  </si>
  <si>
    <t>2025-10-15</t>
  </si>
  <si>
    <t>C0481</t>
  </si>
  <si>
    <t>Customer 30</t>
  </si>
  <si>
    <t>ORD00196</t>
  </si>
  <si>
    <t>2025-07-04</t>
  </si>
  <si>
    <t>C0082</t>
  </si>
  <si>
    <t>ORD00197</t>
  </si>
  <si>
    <t>2025-06-01</t>
  </si>
  <si>
    <t>ORD00198</t>
  </si>
  <si>
    <t>C0425</t>
  </si>
  <si>
    <t>Customer 98</t>
  </si>
  <si>
    <t>ORD00199</t>
  </si>
  <si>
    <t>C0207</t>
  </si>
  <si>
    <t>ORD00200</t>
  </si>
  <si>
    <t>2025-02-05</t>
  </si>
  <si>
    <t>Customer 399</t>
  </si>
  <si>
    <t>ORD00201</t>
  </si>
  <si>
    <t>C0174</t>
  </si>
  <si>
    <t>Customer 234</t>
  </si>
  <si>
    <t>ORD00202</t>
  </si>
  <si>
    <t>2025-06-07</t>
  </si>
  <si>
    <t>C0063</t>
  </si>
  <si>
    <t>ORD00203</t>
  </si>
  <si>
    <t>2025-10-12</t>
  </si>
  <si>
    <t>C0422</t>
  </si>
  <si>
    <t>ORD00204</t>
  </si>
  <si>
    <t>C0269</t>
  </si>
  <si>
    <t>ORD00205</t>
  </si>
  <si>
    <t>ORD00206</t>
  </si>
  <si>
    <t>C0478</t>
  </si>
  <si>
    <t>Customer 172</t>
  </si>
  <si>
    <t>ORD00207</t>
  </si>
  <si>
    <t>C0464</t>
  </si>
  <si>
    <t>Customer 493</t>
  </si>
  <si>
    <t>ORD00208</t>
  </si>
  <si>
    <t>2025-10-28</t>
  </si>
  <si>
    <t>C0081</t>
  </si>
  <si>
    <t>Customer 381</t>
  </si>
  <si>
    <t>ORD00209</t>
  </si>
  <si>
    <t>Customer 474</t>
  </si>
  <si>
    <t>ORD00210</t>
  </si>
  <si>
    <t>2025-03-23</t>
  </si>
  <si>
    <t>Customer 204</t>
  </si>
  <si>
    <t>ORD00211</t>
  </si>
  <si>
    <t>2025-12-14</t>
  </si>
  <si>
    <t>C0100</t>
  </si>
  <si>
    <t>Customer 226</t>
  </si>
  <si>
    <t>ORD00212</t>
  </si>
  <si>
    <t>2025-11-09</t>
  </si>
  <si>
    <t>C0297</t>
  </si>
  <si>
    <t>Customer 232</t>
  </si>
  <si>
    <t>ORD00213</t>
  </si>
  <si>
    <t>2025-12-27</t>
  </si>
  <si>
    <t>Customer 82</t>
  </si>
  <si>
    <t>ORD00214</t>
  </si>
  <si>
    <t>ORD00215</t>
  </si>
  <si>
    <t>2025-11-04</t>
  </si>
  <si>
    <t>ORD00216</t>
  </si>
  <si>
    <t>C0291</t>
  </si>
  <si>
    <t>ORD00217</t>
  </si>
  <si>
    <t>2025-06-02</t>
  </si>
  <si>
    <t>C0184</t>
  </si>
  <si>
    <t>ORD00218</t>
  </si>
  <si>
    <t>2025-06-17</t>
  </si>
  <si>
    <t>C0274</t>
  </si>
  <si>
    <t>Customer 128</t>
  </si>
  <si>
    <t>ORD00219</t>
  </si>
  <si>
    <t>2025-09-13</t>
  </si>
  <si>
    <t>Customer 364</t>
  </si>
  <si>
    <t>ORD00220</t>
  </si>
  <si>
    <t>C0007</t>
  </si>
  <si>
    <t>ORD00221</t>
  </si>
  <si>
    <t>Customer 177</t>
  </si>
  <si>
    <t>ORD00222</t>
  </si>
  <si>
    <t>2025-01-12</t>
  </si>
  <si>
    <t>C0412</t>
  </si>
  <si>
    <t>Customer 132</t>
  </si>
  <si>
    <t>ORD00223</t>
  </si>
  <si>
    <t>Customer 127</t>
  </si>
  <si>
    <t>ORD00224</t>
  </si>
  <si>
    <t>2025-05-02</t>
  </si>
  <si>
    <t>Customer 244</t>
  </si>
  <si>
    <t>ORD00225</t>
  </si>
  <si>
    <t>Customer 259</t>
  </si>
  <si>
    <t>ORD00226</t>
  </si>
  <si>
    <t>2025-04-14</t>
  </si>
  <si>
    <t>C0224</t>
  </si>
  <si>
    <t>ORD00227</t>
  </si>
  <si>
    <t>2025-04-23</t>
  </si>
  <si>
    <t>ORD00228</t>
  </si>
  <si>
    <t>2025-07-21</t>
  </si>
  <si>
    <t>ORD00229</t>
  </si>
  <si>
    <t>C0003</t>
  </si>
  <si>
    <t>ORD00230</t>
  </si>
  <si>
    <t>C0403</t>
  </si>
  <si>
    <t>Customer 139</t>
  </si>
  <si>
    <t>ORD00231</t>
  </si>
  <si>
    <t>Customer 108</t>
  </si>
  <si>
    <t>ORD00232</t>
  </si>
  <si>
    <t>C0370</t>
  </si>
  <si>
    <t>Customer 498</t>
  </si>
  <si>
    <t>ORD00233</t>
  </si>
  <si>
    <t>2025-02-26</t>
  </si>
  <si>
    <t>Customer 70</t>
  </si>
  <si>
    <t>ORD00234</t>
  </si>
  <si>
    <t>Customer 298</t>
  </si>
  <si>
    <t>ORD00235</t>
  </si>
  <si>
    <t>2025-01-08</t>
  </si>
  <si>
    <t>Customer 334</t>
  </si>
  <si>
    <t>ORD00236</t>
  </si>
  <si>
    <t>C0074</t>
  </si>
  <si>
    <t>Customer 494</t>
  </si>
  <si>
    <t>ORD00237</t>
  </si>
  <si>
    <t>Customer 414</t>
  </si>
  <si>
    <t>ORD00238</t>
  </si>
  <si>
    <t>2025-04-11</t>
  </si>
  <si>
    <t>C0117</t>
  </si>
  <si>
    <t>Customer 184</t>
  </si>
  <si>
    <t>ORD00239</t>
  </si>
  <si>
    <t>C0202</t>
  </si>
  <si>
    <t>ORD00240</t>
  </si>
  <si>
    <t>Customer 167</t>
  </si>
  <si>
    <t>ORD00241</t>
  </si>
  <si>
    <t>C0102</t>
  </si>
  <si>
    <t>Customer 101</t>
  </si>
  <si>
    <t>ORD00242</t>
  </si>
  <si>
    <t>C0226</t>
  </si>
  <si>
    <t>Customer 52</t>
  </si>
  <si>
    <t>ORD00243</t>
  </si>
  <si>
    <t>ORD00244</t>
  </si>
  <si>
    <t>C0380</t>
  </si>
  <si>
    <t>Customer 388</t>
  </si>
  <si>
    <t>ORD00245</t>
  </si>
  <si>
    <t>Customer 285</t>
  </si>
  <si>
    <t>ORD00246</t>
  </si>
  <si>
    <t>C0046</t>
  </si>
  <si>
    <t>Customer 313</t>
  </si>
  <si>
    <t>ORD00247</t>
  </si>
  <si>
    <t>C0284</t>
  </si>
  <si>
    <t>ORD00248</t>
  </si>
  <si>
    <t>Customer 39</t>
  </si>
  <si>
    <t>ORD00249</t>
  </si>
  <si>
    <t>2025-03-03</t>
  </si>
  <si>
    <t>Customer 387</t>
  </si>
  <si>
    <t>ORD00250</t>
  </si>
  <si>
    <t>C0235</t>
  </si>
  <si>
    <t>Customer 423</t>
  </si>
  <si>
    <t>ORD00251</t>
  </si>
  <si>
    <t>2025-06-22</t>
  </si>
  <si>
    <t>C0026</t>
  </si>
  <si>
    <t>Customer 200</t>
  </si>
  <si>
    <t>ORD00252</t>
  </si>
  <si>
    <t>ORD00253</t>
  </si>
  <si>
    <t>C0436</t>
  </si>
  <si>
    <t>ORD00254</t>
  </si>
  <si>
    <t>C0011</t>
  </si>
  <si>
    <t>ORD00255</t>
  </si>
  <si>
    <t>C0407</t>
  </si>
  <si>
    <t>ORD00256</t>
  </si>
  <si>
    <t>C0413</t>
  </si>
  <si>
    <t>Customer 301</t>
  </si>
  <si>
    <t>ORD00257</t>
  </si>
  <si>
    <t>C0119</t>
  </si>
  <si>
    <t>Customer 318</t>
  </si>
  <si>
    <t>ORD00258</t>
  </si>
  <si>
    <t>2025-05-25</t>
  </si>
  <si>
    <t>Customer 471</t>
  </si>
  <si>
    <t>ORD00259</t>
  </si>
  <si>
    <t>C0041</t>
  </si>
  <si>
    <t>ORD00260</t>
  </si>
  <si>
    <t>2025-08-07</t>
  </si>
  <si>
    <t>C0377</t>
  </si>
  <si>
    <t>Customer 431</t>
  </si>
  <si>
    <t>ORD00261</t>
  </si>
  <si>
    <t>2025-02-23</t>
  </si>
  <si>
    <t>C0104</t>
  </si>
  <si>
    <t>ORD00262</t>
  </si>
  <si>
    <t>2025-12-23</t>
  </si>
  <si>
    <t>C0448</t>
  </si>
  <si>
    <t>Customer 107</t>
  </si>
  <si>
    <t>ORD00263</t>
  </si>
  <si>
    <t>2025-12-03</t>
  </si>
  <si>
    <t>C0499</t>
  </si>
  <si>
    <t>Customer 420</t>
  </si>
  <si>
    <t>ORD00264</t>
  </si>
  <si>
    <t>2025-08-09</t>
  </si>
  <si>
    <t>C0331</t>
  </si>
  <si>
    <t>Customer 468</t>
  </si>
  <si>
    <t>ORD00265</t>
  </si>
  <si>
    <t>C0431</t>
  </si>
  <si>
    <t>Customer 119</t>
  </si>
  <si>
    <t>ORD00266</t>
  </si>
  <si>
    <t>2025-10-29</t>
  </si>
  <si>
    <t>C0106</t>
  </si>
  <si>
    <t>Customer 480</t>
  </si>
  <si>
    <t>ORD00267</t>
  </si>
  <si>
    <t>2025-04-06</t>
  </si>
  <si>
    <t>ORD00268</t>
  </si>
  <si>
    <t>Customer 23</t>
  </si>
  <si>
    <t>ORD00269</t>
  </si>
  <si>
    <t>2025-12-21</t>
  </si>
  <si>
    <t>C0432</t>
  </si>
  <si>
    <t>Customer 12</t>
  </si>
  <si>
    <t>ORD00270</t>
  </si>
  <si>
    <t>C0050</t>
  </si>
  <si>
    <t>ORD00271</t>
  </si>
  <si>
    <t>ORD00272</t>
  </si>
  <si>
    <t>2025-03-16</t>
  </si>
  <si>
    <t>C0347</t>
  </si>
  <si>
    <t>ORD00273</t>
  </si>
  <si>
    <t>2025-05-06</t>
  </si>
  <si>
    <t>Customer 35</t>
  </si>
  <si>
    <t>ORD00274</t>
  </si>
  <si>
    <t>C0389</t>
  </si>
  <si>
    <t>Customer 150</t>
  </si>
  <si>
    <t>ORD00275</t>
  </si>
  <si>
    <t>2025-04-18</t>
  </si>
  <si>
    <t>ORD00276</t>
  </si>
  <si>
    <t>C0032</t>
  </si>
  <si>
    <t>Customer 373</t>
  </si>
  <si>
    <t>ORD00277</t>
  </si>
  <si>
    <t>2025-05-10</t>
  </si>
  <si>
    <t>C0315</t>
  </si>
  <si>
    <t>Customer 266</t>
  </si>
  <si>
    <t>ORD00278</t>
  </si>
  <si>
    <t>C0143</t>
  </si>
  <si>
    <t>Customer 103</t>
  </si>
  <si>
    <t>ORD00279</t>
  </si>
  <si>
    <t>C0157</t>
  </si>
  <si>
    <t>Customer 180</t>
  </si>
  <si>
    <t>ORD00280</t>
  </si>
  <si>
    <t>ORD00281</t>
  </si>
  <si>
    <t>2025-04-04</t>
  </si>
  <si>
    <t>C0467</t>
  </si>
  <si>
    <t>ORD00282</t>
  </si>
  <si>
    <t>2025-02-13</t>
  </si>
  <si>
    <t>Customer 310</t>
  </si>
  <si>
    <t>ORD00283</t>
  </si>
  <si>
    <t>C0203</t>
  </si>
  <si>
    <t>Customer 219</t>
  </si>
  <si>
    <t>ORD00284</t>
  </si>
  <si>
    <t>2025-07-09</t>
  </si>
  <si>
    <t>C0419</t>
  </si>
  <si>
    <t>Customer 421</t>
  </si>
  <si>
    <t>ORD00285</t>
  </si>
  <si>
    <t>C0213</t>
  </si>
  <si>
    <t>ORD00286</t>
  </si>
  <si>
    <t>C0324</t>
  </si>
  <si>
    <t>ORD00287</t>
  </si>
  <si>
    <t>2025-11-05</t>
  </si>
  <si>
    <t>C0455</t>
  </si>
  <si>
    <t>ORD00288</t>
  </si>
  <si>
    <t>ORD00289</t>
  </si>
  <si>
    <t>C0391</t>
  </si>
  <si>
    <t>Customer 67</t>
  </si>
  <si>
    <t>ORD00290</t>
  </si>
  <si>
    <t>2025-10-30</t>
  </si>
  <si>
    <t>Customer 379</t>
  </si>
  <si>
    <t>ORD00291</t>
  </si>
  <si>
    <t>C0314</t>
  </si>
  <si>
    <t>Customer 159</t>
  </si>
  <si>
    <t>ORD00292</t>
  </si>
  <si>
    <t>2025-10-11</t>
  </si>
  <si>
    <t>ORD00293</t>
  </si>
  <si>
    <t>2025-07-05</t>
  </si>
  <si>
    <t>ORD00294</t>
  </si>
  <si>
    <t>2025-05-23</t>
  </si>
  <si>
    <t>C0493</t>
  </si>
  <si>
    <t>Customer 485</t>
  </si>
  <si>
    <t>ORD00295</t>
  </si>
  <si>
    <t>C0056</t>
  </si>
  <si>
    <t>ORD00296</t>
  </si>
  <si>
    <t>C0338</t>
  </si>
  <si>
    <t>ORD00297</t>
  </si>
  <si>
    <t>ORD00298</t>
  </si>
  <si>
    <t>2025-10-18</t>
  </si>
  <si>
    <t>C0457</t>
  </si>
  <si>
    <t>Customer 416</t>
  </si>
  <si>
    <t>ORD00299</t>
  </si>
  <si>
    <t>ORD00300</t>
  </si>
  <si>
    <t>2025-04-27</t>
  </si>
  <si>
    <t>ORD00301</t>
  </si>
  <si>
    <t>ORD00302</t>
  </si>
  <si>
    <t>C0310</t>
  </si>
  <si>
    <t>Customer 430</t>
  </si>
  <si>
    <t>ORD00303</t>
  </si>
  <si>
    <t>C0238</t>
  </si>
  <si>
    <t>Customer 212</t>
  </si>
  <si>
    <t>ORD00304</t>
  </si>
  <si>
    <t>Customer 292</t>
  </si>
  <si>
    <t>ORD00305</t>
  </si>
  <si>
    <t>2025-01-09</t>
  </si>
  <si>
    <t>C0441</t>
  </si>
  <si>
    <t>Customer 465</t>
  </si>
  <si>
    <t>ORD00306</t>
  </si>
  <si>
    <t>C0215</t>
  </si>
  <si>
    <t>ORD00307</t>
  </si>
  <si>
    <t>2025-04-16</t>
  </si>
  <si>
    <t>C0287</t>
  </si>
  <si>
    <t>ORD00308</t>
  </si>
  <si>
    <t>C0247</t>
  </si>
  <si>
    <t>ORD00309</t>
  </si>
  <si>
    <t>ORD00310</t>
  </si>
  <si>
    <t>2025-06-21</t>
  </si>
  <si>
    <t>ORD00311</t>
  </si>
  <si>
    <t>2025-12-08</t>
  </si>
  <si>
    <t>ORD00312</t>
  </si>
  <si>
    <t>2025-03-27</t>
  </si>
  <si>
    <t>C0424</t>
  </si>
  <si>
    <t>ORD00313</t>
  </si>
  <si>
    <t>2025-07-18</t>
  </si>
  <si>
    <t>C0480</t>
  </si>
  <si>
    <t>ORD00314</t>
  </si>
  <si>
    <t>ORD00315</t>
  </si>
  <si>
    <t>Customer 77</t>
  </si>
  <si>
    <t>ORD00316</t>
  </si>
  <si>
    <t>ORD00317</t>
  </si>
  <si>
    <t>2025-08-02</t>
  </si>
  <si>
    <t>C0462</t>
  </si>
  <si>
    <t>Customer 125</t>
  </si>
  <si>
    <t>ORD00318</t>
  </si>
  <si>
    <t>2025-12-15</t>
  </si>
  <si>
    <t>C0201</t>
  </si>
  <si>
    <t>Customer 83</t>
  </si>
  <si>
    <t>ORD00319</t>
  </si>
  <si>
    <t>C0192</t>
  </si>
  <si>
    <t>ORD00320</t>
  </si>
  <si>
    <t>2025-04-22</t>
  </si>
  <si>
    <t>ORD00321</t>
  </si>
  <si>
    <t>2025-10-26</t>
  </si>
  <si>
    <t>Customer 291</t>
  </si>
  <si>
    <t>ORD00322</t>
  </si>
  <si>
    <t>ORD00323</t>
  </si>
  <si>
    <t>Customer 490</t>
  </si>
  <si>
    <t>ORD00324</t>
  </si>
  <si>
    <t>2025-03-17</t>
  </si>
  <si>
    <t>C0266</t>
  </si>
  <si>
    <t>ORD00325</t>
  </si>
  <si>
    <t>C0341</t>
  </si>
  <si>
    <t>Customer 288</t>
  </si>
  <si>
    <t>ORD00326</t>
  </si>
  <si>
    <t>2025-08-10</t>
  </si>
  <si>
    <t>C0442</t>
  </si>
  <si>
    <t>Customer 213</t>
  </si>
  <si>
    <t>ORD00327</t>
  </si>
  <si>
    <t>Customer 11</t>
  </si>
  <si>
    <t>ORD00328</t>
  </si>
  <si>
    <t>2025-08-08</t>
  </si>
  <si>
    <t>Customer 29</t>
  </si>
  <si>
    <t>ORD00329</t>
  </si>
  <si>
    <t>ORD00330</t>
  </si>
  <si>
    <t>2025-08-28</t>
  </si>
  <si>
    <t>C0299</t>
  </si>
  <si>
    <t>Customer 68</t>
  </si>
  <si>
    <t>ORD00331</t>
  </si>
  <si>
    <t>C0271</t>
  </si>
  <si>
    <t>Customer 433</t>
  </si>
  <si>
    <t>ORD00332</t>
  </si>
  <si>
    <t>C0185</t>
  </si>
  <si>
    <t>Customer 146</t>
  </si>
  <si>
    <t>ORD00333</t>
  </si>
  <si>
    <t>C0262</t>
  </si>
  <si>
    <t>ORD00334</t>
  </si>
  <si>
    <t>C0223</t>
  </si>
  <si>
    <t>Customer 224</t>
  </si>
  <si>
    <t>ORD00335</t>
  </si>
  <si>
    <t>C0012</t>
  </si>
  <si>
    <t>Customer 403</t>
  </si>
  <si>
    <t>ORD00336</t>
  </si>
  <si>
    <t>Customer 357</t>
  </si>
  <si>
    <t>ORD00337</t>
  </si>
  <si>
    <t>C0421</t>
  </si>
  <si>
    <t>ORD00338</t>
  </si>
  <si>
    <t>2025-09-26</t>
  </si>
  <si>
    <t>C0278</t>
  </si>
  <si>
    <t>ORD00339</t>
  </si>
  <si>
    <t>Customer 58</t>
  </si>
  <si>
    <t>ORD00340</t>
  </si>
  <si>
    <t>ORD00341</t>
  </si>
  <si>
    <t>C0039</t>
  </si>
  <si>
    <t>ORD00342</t>
  </si>
  <si>
    <t>2025-12-19</t>
  </si>
  <si>
    <t>C0094</t>
  </si>
  <si>
    <t>ORD00343</t>
  </si>
  <si>
    <t>C0400</t>
  </si>
  <si>
    <t>ORD00344</t>
  </si>
  <si>
    <t>C0220</t>
  </si>
  <si>
    <t>ORD00345</t>
  </si>
  <si>
    <t>C0323</t>
  </si>
  <si>
    <t>ORD00346</t>
  </si>
  <si>
    <t>2025-11-07</t>
  </si>
  <si>
    <t>ORD00347</t>
  </si>
  <si>
    <t>ORD00348</t>
  </si>
  <si>
    <t>2025-07-11</t>
  </si>
  <si>
    <t>C0268</t>
  </si>
  <si>
    <t>Customer 325</t>
  </si>
  <si>
    <t>ORD00349</t>
  </si>
  <si>
    <t>2025-10-10</t>
  </si>
  <si>
    <t>Customer 495</t>
  </si>
  <si>
    <t>ORD00350</t>
  </si>
  <si>
    <t>2025-12-24</t>
  </si>
  <si>
    <t>ORD00351</t>
  </si>
  <si>
    <t>C0489</t>
  </si>
  <si>
    <t>ORD00352</t>
  </si>
  <si>
    <t>2025-05-20</t>
  </si>
  <si>
    <t>C0161</t>
  </si>
  <si>
    <t>Customer 457</t>
  </si>
  <si>
    <t>ORD00353</t>
  </si>
  <si>
    <t>2025-02-18</t>
  </si>
  <si>
    <t>ORD00354</t>
  </si>
  <si>
    <t>2025-02-15</t>
  </si>
  <si>
    <t>C0166</t>
  </si>
  <si>
    <t>ORD00355</t>
  </si>
  <si>
    <t>C0209</t>
  </si>
  <si>
    <t>Customer 10</t>
  </si>
  <si>
    <t>ORD00356</t>
  </si>
  <si>
    <t>2025-12-16</t>
  </si>
  <si>
    <t>ORD00357</t>
  </si>
  <si>
    <t>C0120</t>
  </si>
  <si>
    <t>Customer 407</t>
  </si>
  <si>
    <t>ORD00358</t>
  </si>
  <si>
    <t>2025-05-22</t>
  </si>
  <si>
    <t>Customer 321</t>
  </si>
  <si>
    <t>ORD00359</t>
  </si>
  <si>
    <t>C0033</t>
  </si>
  <si>
    <t>ORD00360</t>
  </si>
  <si>
    <t>C0142</t>
  </si>
  <si>
    <t>ORD00361</t>
  </si>
  <si>
    <t>2025-04-26</t>
  </si>
  <si>
    <t>Customer 147</t>
  </si>
  <si>
    <t>ORD00362</t>
  </si>
  <si>
    <t>Customer 124</t>
  </si>
  <si>
    <t>ORD00363</t>
  </si>
  <si>
    <t>C0179</t>
  </si>
  <si>
    <t>Customer 86</t>
  </si>
  <si>
    <t>ORD00364</t>
  </si>
  <si>
    <t>2025-05-13</t>
  </si>
  <si>
    <t>C0045</t>
  </si>
  <si>
    <t>ORD00365</t>
  </si>
  <si>
    <t>C0229</t>
  </si>
  <si>
    <t>ORD00366</t>
  </si>
  <si>
    <t>Customer 72</t>
  </si>
  <si>
    <t>ORD00367</t>
  </si>
  <si>
    <t>ORD00368</t>
  </si>
  <si>
    <t>C0115</t>
  </si>
  <si>
    <t>Customer 14</t>
  </si>
  <si>
    <t>ORD00369</t>
  </si>
  <si>
    <t>2025-09-17</t>
  </si>
  <si>
    <t>ORD00370</t>
  </si>
  <si>
    <t>Customer 282</t>
  </si>
  <si>
    <t>ORD00371</t>
  </si>
  <si>
    <t>2025-08-20</t>
  </si>
  <si>
    <t>C0336</t>
  </si>
  <si>
    <t>Customer 289</t>
  </si>
  <si>
    <t>ORD00372</t>
  </si>
  <si>
    <t>Customer 472</t>
  </si>
  <si>
    <t>ORD00373</t>
  </si>
  <si>
    <t>ORD00374</t>
  </si>
  <si>
    <t>C0335</t>
  </si>
  <si>
    <t>Customer 160</t>
  </si>
  <si>
    <t>ORD00375</t>
  </si>
  <si>
    <t>ORD00376</t>
  </si>
  <si>
    <t>2025-02-16</t>
  </si>
  <si>
    <t>ORD00377</t>
  </si>
  <si>
    <t>ORD00378</t>
  </si>
  <si>
    <t>Customer 322</t>
  </si>
  <si>
    <t>ORD00379</t>
  </si>
  <si>
    <t>ORD00380</t>
  </si>
  <si>
    <t>C0388</t>
  </si>
  <si>
    <t>ORD00381</t>
  </si>
  <si>
    <t>C0495</t>
  </si>
  <si>
    <t>Customer 141</t>
  </si>
  <si>
    <t>ORD00382</t>
  </si>
  <si>
    <t>C0392</t>
  </si>
  <si>
    <t>Customer 56</t>
  </si>
  <si>
    <t>ORD00383</t>
  </si>
  <si>
    <t>ORD00384</t>
  </si>
  <si>
    <t>C0428</t>
  </si>
  <si>
    <t>ORD00385</t>
  </si>
  <si>
    <t>2025-05-28</t>
  </si>
  <si>
    <t>C0210</t>
  </si>
  <si>
    <t>ORD00386</t>
  </si>
  <si>
    <t>2025-02-27</t>
  </si>
  <si>
    <t>ORD00387</t>
  </si>
  <si>
    <t>2025-06-14</t>
  </si>
  <si>
    <t>C0140</t>
  </si>
  <si>
    <t>ORD00388</t>
  </si>
  <si>
    <t>C0488</t>
  </si>
  <si>
    <t>ORD00389</t>
  </si>
  <si>
    <t>ORD00390</t>
  </si>
  <si>
    <t>2025-07-02</t>
  </si>
  <si>
    <t>ORD00391</t>
  </si>
  <si>
    <t>ORD00392</t>
  </si>
  <si>
    <t>C0128</t>
  </si>
  <si>
    <t>ORD00393</t>
  </si>
  <si>
    <t>C0289</t>
  </si>
  <si>
    <t>ORD00394</t>
  </si>
  <si>
    <t>C0171</t>
  </si>
  <si>
    <t>ORD00395</t>
  </si>
  <si>
    <t>2025-04-21</t>
  </si>
  <si>
    <t>C0260</t>
  </si>
  <si>
    <t>Customer 165</t>
  </si>
  <si>
    <t>ORD00396</t>
  </si>
  <si>
    <t>Customer 142</t>
  </si>
  <si>
    <t>ORD00397</t>
  </si>
  <si>
    <t>C0214</t>
  </si>
  <si>
    <t>Customer 170</t>
  </si>
  <si>
    <t>ORD00398</t>
  </si>
  <si>
    <t>2025-10-05</t>
  </si>
  <si>
    <t>C0476</t>
  </si>
  <si>
    <t>Customer 410</t>
  </si>
  <si>
    <t>ORD00399</t>
  </si>
  <si>
    <t>C0395</t>
  </si>
  <si>
    <t>Customer 55</t>
  </si>
  <si>
    <t>ORD00400</t>
  </si>
  <si>
    <t>ORD00401</t>
  </si>
  <si>
    <t>Customer 27</t>
  </si>
  <si>
    <t>ORD00402</t>
  </si>
  <si>
    <t>2025-11-08</t>
  </si>
  <si>
    <t>C0057</t>
  </si>
  <si>
    <t>Customer 478</t>
  </si>
  <si>
    <t>ORD00403</t>
  </si>
  <si>
    <t>C0088</t>
  </si>
  <si>
    <t>Customer 352</t>
  </si>
  <si>
    <t>ORD00404</t>
  </si>
  <si>
    <t>ORD00405</t>
  </si>
  <si>
    <t>ORD00406</t>
  </si>
  <si>
    <t>Customer 254</t>
  </si>
  <si>
    <t>ORD00407</t>
  </si>
  <si>
    <t>C0275</t>
  </si>
  <si>
    <t>ORD00408</t>
  </si>
  <si>
    <t>C0352</t>
  </si>
  <si>
    <t>Customer 192</t>
  </si>
  <si>
    <t>ORD00409</t>
  </si>
  <si>
    <t>2025-06-11</t>
  </si>
  <si>
    <t>ORD00410</t>
  </si>
  <si>
    <t>C0472</t>
  </si>
  <si>
    <t>Customer 290</t>
  </si>
  <si>
    <t>ORD00411</t>
  </si>
  <si>
    <t>C0043</t>
  </si>
  <si>
    <t>ORD00412</t>
  </si>
  <si>
    <t>ORD00413</t>
  </si>
  <si>
    <t>Customer 248</t>
  </si>
  <si>
    <t>ORD00414</t>
  </si>
  <si>
    <t>2025-10-14</t>
  </si>
  <si>
    <t>ORD00415</t>
  </si>
  <si>
    <t>2025-12-12</t>
  </si>
  <si>
    <t>C0146</t>
  </si>
  <si>
    <t>ORD00416</t>
  </si>
  <si>
    <t>C0361</t>
  </si>
  <si>
    <t>Customer 9</t>
  </si>
  <si>
    <t>ORD00417</t>
  </si>
  <si>
    <t>2025-05-21</t>
  </si>
  <si>
    <t>Customer 3</t>
  </si>
  <si>
    <t>ORD00418</t>
  </si>
  <si>
    <t>2025-12-31</t>
  </si>
  <si>
    <t>Customer 195</t>
  </si>
  <si>
    <t>ORD00419</t>
  </si>
  <si>
    <t>ORD00420</t>
  </si>
  <si>
    <t>2025-08-25</t>
  </si>
  <si>
    <t>C0160</t>
  </si>
  <si>
    <t>Customer 49</t>
  </si>
  <si>
    <t>ORD00421</t>
  </si>
  <si>
    <t>C0408</t>
  </si>
  <si>
    <t>Customer 456</t>
  </si>
  <si>
    <t>ORD00422</t>
  </si>
  <si>
    <t>Customer 114</t>
  </si>
  <si>
    <t>ORD00423</t>
  </si>
  <si>
    <t>2025-07-31</t>
  </si>
  <si>
    <t>C0126</t>
  </si>
  <si>
    <t>Customer 428</t>
  </si>
  <si>
    <t>ORD00424</t>
  </si>
  <si>
    <t>2025-04-13</t>
  </si>
  <si>
    <t>ORD00425</t>
  </si>
  <si>
    <t>ORD00426</t>
  </si>
  <si>
    <t>C0240</t>
  </si>
  <si>
    <t>ORD00427</t>
  </si>
  <si>
    <t>ORD00428</t>
  </si>
  <si>
    <t>Customer 223</t>
  </si>
  <si>
    <t>ORD00429</t>
  </si>
  <si>
    <t>C0227</t>
  </si>
  <si>
    <t>ORD00430</t>
  </si>
  <si>
    <t>C0149</t>
  </si>
  <si>
    <t>Customer 304</t>
  </si>
  <si>
    <t>ORD00431</t>
  </si>
  <si>
    <t>C0101</t>
  </si>
  <si>
    <t>ORD00432</t>
  </si>
  <si>
    <t>Customer 432</t>
  </si>
  <si>
    <t>ORD00433</t>
  </si>
  <si>
    <t>ORD00434</t>
  </si>
  <si>
    <t>2025-04-19</t>
  </si>
  <si>
    <t>C0124</t>
  </si>
  <si>
    <t>Customer 45</t>
  </si>
  <si>
    <t>ORD00435</t>
  </si>
  <si>
    <t>C0468</t>
  </si>
  <si>
    <t>Customer 121</t>
  </si>
  <si>
    <t>ORD00436</t>
  </si>
  <si>
    <t>C0217</t>
  </si>
  <si>
    <t>ORD00437</t>
  </si>
  <si>
    <t>2025-01-10</t>
  </si>
  <si>
    <t>Customer 308</t>
  </si>
  <si>
    <t>ORD00438</t>
  </si>
  <si>
    <t>C0089</t>
  </si>
  <si>
    <t>ORD00439</t>
  </si>
  <si>
    <t>C0485</t>
  </si>
  <si>
    <t>ORD00440</t>
  </si>
  <si>
    <t>C0451</t>
  </si>
  <si>
    <t>Customer 487</t>
  </si>
  <si>
    <t>ORD00441</t>
  </si>
  <si>
    <t>Customer 348</t>
  </si>
  <si>
    <t>ORD00442</t>
  </si>
  <si>
    <t>ORD00443</t>
  </si>
  <si>
    <t>Customer 296</t>
  </si>
  <si>
    <t>ORD00444</t>
  </si>
  <si>
    <t>C0357</t>
  </si>
  <si>
    <t>Customer 327</t>
  </si>
  <si>
    <t>ORD00445</t>
  </si>
  <si>
    <t>ORD00446</t>
  </si>
  <si>
    <t>ORD00447</t>
  </si>
  <si>
    <t>C0470</t>
  </si>
  <si>
    <t>ORD00448</t>
  </si>
  <si>
    <t>C0491</t>
  </si>
  <si>
    <t>ORD00449</t>
  </si>
  <si>
    <t>C0144</t>
  </si>
  <si>
    <t>Customer 351</t>
  </si>
  <si>
    <t>ORD00450</t>
  </si>
  <si>
    <t>ORD00451</t>
  </si>
  <si>
    <t>2025-04-08</t>
  </si>
  <si>
    <t>ORD00452</t>
  </si>
  <si>
    <t>ORD00453</t>
  </si>
  <si>
    <t>ORD00454</t>
  </si>
  <si>
    <t>C0461</t>
  </si>
  <si>
    <t>ORD00455</t>
  </si>
  <si>
    <t>Customer 404</t>
  </si>
  <si>
    <t>ORD00456</t>
  </si>
  <si>
    <t>C0257</t>
  </si>
  <si>
    <t>Customer 126</t>
  </si>
  <si>
    <t>ORD00457</t>
  </si>
  <si>
    <t>C0433</t>
  </si>
  <si>
    <t>Customer 256</t>
  </si>
  <si>
    <t>ORD00458</t>
  </si>
  <si>
    <t>ORD00459</t>
  </si>
  <si>
    <t>2025-09-02</t>
  </si>
  <si>
    <t>ORD00460</t>
  </si>
  <si>
    <t>2025-04-15</t>
  </si>
  <si>
    <t>C0018</t>
  </si>
  <si>
    <t>Customer 275</t>
  </si>
  <si>
    <t>ORD00461</t>
  </si>
  <si>
    <t>2025-12-28</t>
  </si>
  <si>
    <t>ORD00462</t>
  </si>
  <si>
    <t>2025-03-14</t>
  </si>
  <si>
    <t>C0180</t>
  </si>
  <si>
    <t>ORD00463</t>
  </si>
  <si>
    <t>C0028</t>
  </si>
  <si>
    <t>Customer 271</t>
  </si>
  <si>
    <t>ORD00464</t>
  </si>
  <si>
    <t>C0125</t>
  </si>
  <si>
    <t>Customer 452</t>
  </si>
  <si>
    <t>ORD00465</t>
  </si>
  <si>
    <t>2025-01-02</t>
  </si>
  <si>
    <t>C0197</t>
  </si>
  <si>
    <t>Customer 365</t>
  </si>
  <si>
    <t>ORD00466</t>
  </si>
  <si>
    <t>2025-05-31</t>
  </si>
  <si>
    <t>ORD00467</t>
  </si>
  <si>
    <t>C0353</t>
  </si>
  <si>
    <t>ORD00468</t>
  </si>
  <si>
    <t>Customer 418</t>
  </si>
  <si>
    <t>ORD00469</t>
  </si>
  <si>
    <t>2025-10-31</t>
  </si>
  <si>
    <t>ORD00470</t>
  </si>
  <si>
    <t>C0098</t>
  </si>
  <si>
    <t>ORD00471</t>
  </si>
  <si>
    <t>2025-05-05</t>
  </si>
  <si>
    <t>Customer 319</t>
  </si>
  <si>
    <t>ORD00472</t>
  </si>
  <si>
    <t>2025-06-15</t>
  </si>
  <si>
    <t>C0130</t>
  </si>
  <si>
    <t>ORD00473</t>
  </si>
  <si>
    <t>C0137</t>
  </si>
  <si>
    <t>ORD00474</t>
  </si>
  <si>
    <t>C0232</t>
  </si>
  <si>
    <t>ORD00475</t>
  </si>
  <si>
    <t>C0218</t>
  </si>
  <si>
    <t>Customer 390</t>
  </si>
  <si>
    <t>ORD00476</t>
  </si>
  <si>
    <t>2025-12-30</t>
  </si>
  <si>
    <t>C0348</t>
  </si>
  <si>
    <t>ORD00477</t>
  </si>
  <si>
    <t>ORD00478</t>
  </si>
  <si>
    <t>ORD00479</t>
  </si>
  <si>
    <t>ORD00480</t>
  </si>
  <si>
    <t>Customer 336</t>
  </si>
  <si>
    <t>ORD00481</t>
  </si>
  <si>
    <t>ORD00482</t>
  </si>
  <si>
    <t>ORD00483</t>
  </si>
  <si>
    <t>C0138</t>
  </si>
  <si>
    <t>ORD00484</t>
  </si>
  <si>
    <t>C0387</t>
  </si>
  <si>
    <t>ORD00485</t>
  </si>
  <si>
    <t>2025-04-12</t>
  </si>
  <si>
    <t>ORD00486</t>
  </si>
  <si>
    <t>ORD00487</t>
  </si>
  <si>
    <t>C0487</t>
  </si>
  <si>
    <t>Customer 449</t>
  </si>
  <si>
    <t>ORD00488</t>
  </si>
  <si>
    <t>ORD00489</t>
  </si>
  <si>
    <t>2025-09-21</t>
  </si>
  <si>
    <t>ORD00490</t>
  </si>
  <si>
    <t>ORD00491</t>
  </si>
  <si>
    <t>2025-09-19</t>
  </si>
  <si>
    <t>Customer 458</t>
  </si>
  <si>
    <t>ORD00492</t>
  </si>
  <si>
    <t>ORD00493</t>
  </si>
  <si>
    <t>C0356</t>
  </si>
  <si>
    <t>Customer 280</t>
  </si>
  <si>
    <t>ORD00494</t>
  </si>
  <si>
    <t>ORD00495</t>
  </si>
  <si>
    <t>Customer 112</t>
  </si>
  <si>
    <t>ORD00496</t>
  </si>
  <si>
    <t>2025-06-29</t>
  </si>
  <si>
    <t>ORD00497</t>
  </si>
  <si>
    <t>C0216</t>
  </si>
  <si>
    <t>Customer 442</t>
  </si>
  <si>
    <t>ORD00498</t>
  </si>
  <si>
    <t>C0313</t>
  </si>
  <si>
    <t>ORD00499</t>
  </si>
  <si>
    <t>ORD00500</t>
  </si>
  <si>
    <t>Customer 53</t>
  </si>
  <si>
    <t>ORD00501</t>
  </si>
  <si>
    <t>C0366</t>
  </si>
  <si>
    <t>Customer 227</t>
  </si>
  <si>
    <t>ORD00502</t>
  </si>
  <si>
    <t>2025-04-02</t>
  </si>
  <si>
    <t>Customer 236</t>
  </si>
  <si>
    <t>ORD00503</t>
  </si>
  <si>
    <t>Customer 174</t>
  </si>
  <si>
    <t>ORD00504</t>
  </si>
  <si>
    <t>Customer 317</t>
  </si>
  <si>
    <t>ORD00505</t>
  </si>
  <si>
    <t>ORD00506</t>
  </si>
  <si>
    <t>ORD00507</t>
  </si>
  <si>
    <t>ORD00508</t>
  </si>
  <si>
    <t>C0004</t>
  </si>
  <si>
    <t>ORD00509</t>
  </si>
  <si>
    <t>Customer 231</t>
  </si>
  <si>
    <t>ORD00510</t>
  </si>
  <si>
    <t>Customer 419</t>
  </si>
  <si>
    <t>ORD00511</t>
  </si>
  <si>
    <t>Customer 194</t>
  </si>
  <si>
    <t>ORD00512</t>
  </si>
  <si>
    <t>2025-09-11</t>
  </si>
  <si>
    <t>ORD00513</t>
  </si>
  <si>
    <t>C0276</t>
  </si>
  <si>
    <t>ORD00514</t>
  </si>
  <si>
    <t>Customer 238</t>
  </si>
  <si>
    <t>ORD00515</t>
  </si>
  <si>
    <t>2025-01-19</t>
  </si>
  <si>
    <t>Customer 444</t>
  </si>
  <si>
    <t>ORD00516</t>
  </si>
  <si>
    <t>Customer 412</t>
  </si>
  <si>
    <t>ORD00517</t>
  </si>
  <si>
    <t>ORD00518</t>
  </si>
  <si>
    <t>ORD00519</t>
  </si>
  <si>
    <t>ORD00520</t>
  </si>
  <si>
    <t>C0005</t>
  </si>
  <si>
    <t>ORD00521</t>
  </si>
  <si>
    <t>Customer 268</t>
  </si>
  <si>
    <t>ORD00522</t>
  </si>
  <si>
    <t>ORD00523</t>
  </si>
  <si>
    <t>ORD00524</t>
  </si>
  <si>
    <t>Customer 250</t>
  </si>
  <si>
    <t>ORD00525</t>
  </si>
  <si>
    <t>Customer 181</t>
  </si>
  <si>
    <t>ORD00526</t>
  </si>
  <si>
    <t>2025-12-25</t>
  </si>
  <si>
    <t>Customer 500</t>
  </si>
  <si>
    <t>ORD00527</t>
  </si>
  <si>
    <t>2025-01-13</t>
  </si>
  <si>
    <t>C0410</t>
  </si>
  <si>
    <t>ORD00528</t>
  </si>
  <si>
    <t>2025-06-16</t>
  </si>
  <si>
    <t>Customer 466</t>
  </si>
  <si>
    <t>ORD00529</t>
  </si>
  <si>
    <t>C0378</t>
  </si>
  <si>
    <t>ORD00530</t>
  </si>
  <si>
    <t>ORD00531</t>
  </si>
  <si>
    <t>2025-01-21</t>
  </si>
  <si>
    <t>ORD00532</t>
  </si>
  <si>
    <t>C0194</t>
  </si>
  <si>
    <t>ORD00533</t>
  </si>
  <si>
    <t>C0133</t>
  </si>
  <si>
    <t>Customer 171</t>
  </si>
  <si>
    <t>ORD00534</t>
  </si>
  <si>
    <t>C0053</t>
  </si>
  <si>
    <t>ORD00535</t>
  </si>
  <si>
    <t>C0087</t>
  </si>
  <si>
    <t>Customer 492</t>
  </si>
  <si>
    <t>ORD00536</t>
  </si>
  <si>
    <t>Customer 482</t>
  </si>
  <si>
    <t>ORD00537</t>
  </si>
  <si>
    <t>C0367</t>
  </si>
  <si>
    <t>Customer 316</t>
  </si>
  <si>
    <t>ORD00538</t>
  </si>
  <si>
    <t>C0121</t>
  </si>
  <si>
    <t>ORD00539</t>
  </si>
  <si>
    <t>ORD00540</t>
  </si>
  <si>
    <t>C0490</t>
  </si>
  <si>
    <t>ORD00541</t>
  </si>
  <si>
    <t>C0439</t>
  </si>
  <si>
    <t>ORD00542</t>
  </si>
  <si>
    <t>ORD00543</t>
  </si>
  <si>
    <t>Customer 445</t>
  </si>
  <si>
    <t>ORD00544</t>
  </si>
  <si>
    <t>ORD00545</t>
  </si>
  <si>
    <t>C0423</t>
  </si>
  <si>
    <t>ORD00546</t>
  </si>
  <si>
    <t>Customer 339</t>
  </si>
  <si>
    <t>ORD00547</t>
  </si>
  <si>
    <t>ORD00548</t>
  </si>
  <si>
    <t>ORD00549</t>
  </si>
  <si>
    <t>C0355</t>
  </si>
  <si>
    <t>ORD00550</t>
  </si>
  <si>
    <t>ORD00551</t>
  </si>
  <si>
    <t>C0415</t>
  </si>
  <si>
    <t>ORD00552</t>
  </si>
  <si>
    <t>Customer 215</t>
  </si>
  <si>
    <t>ORD00553</t>
  </si>
  <si>
    <t>2025-10-24</t>
  </si>
  <si>
    <t>ORD00554</t>
  </si>
  <si>
    <t>ORD00555</t>
  </si>
  <si>
    <t>C0205</t>
  </si>
  <si>
    <t>ORD00556</t>
  </si>
  <si>
    <t>2025-12-22</t>
  </si>
  <si>
    <t>ORD00557</t>
  </si>
  <si>
    <t>C0328</t>
  </si>
  <si>
    <t>ORD00558</t>
  </si>
  <si>
    <t>C0326</t>
  </si>
  <si>
    <t>ORD00559</t>
  </si>
  <si>
    <t>2025-08-11</t>
  </si>
  <si>
    <t>Customer 450</t>
  </si>
  <si>
    <t>ORD00560</t>
  </si>
  <si>
    <t>Customer 21</t>
  </si>
  <si>
    <t>ORD00561</t>
  </si>
  <si>
    <t>C0145</t>
  </si>
  <si>
    <t>Customer 427</t>
  </si>
  <si>
    <t>ORD00562</t>
  </si>
  <si>
    <t>Customer 36</t>
  </si>
  <si>
    <t>ORD00563</t>
  </si>
  <si>
    <t>2025-06-20</t>
  </si>
  <si>
    <t>C0245</t>
  </si>
  <si>
    <t>ORD00564</t>
  </si>
  <si>
    <t>Customer 344</t>
  </si>
  <si>
    <t>ORD00565</t>
  </si>
  <si>
    <t>ORD00566</t>
  </si>
  <si>
    <t>ORD00567</t>
  </si>
  <si>
    <t>ORD00568</t>
  </si>
  <si>
    <t>Customer 328</t>
  </si>
  <si>
    <t>ORD00569</t>
  </si>
  <si>
    <t>C0265</t>
  </si>
  <si>
    <t>ORD00570</t>
  </si>
  <si>
    <t>Customer 467</t>
  </si>
  <si>
    <t>ORD00571</t>
  </si>
  <si>
    <t>C0458</t>
  </si>
  <si>
    <t>ORD00572</t>
  </si>
  <si>
    <t>2025-03-07</t>
  </si>
  <si>
    <t>C0273</t>
  </si>
  <si>
    <t>Customer 190</t>
  </si>
  <si>
    <t>ORD00573</t>
  </si>
  <si>
    <t>ORD00574</t>
  </si>
  <si>
    <t>2025-03-18</t>
  </si>
  <si>
    <t>C0466</t>
  </si>
  <si>
    <t>ORD00575</t>
  </si>
  <si>
    <t>2025-05-26</t>
  </si>
  <si>
    <t>C0010</t>
  </si>
  <si>
    <t>Customer 451</t>
  </si>
  <si>
    <t>ORD00576</t>
  </si>
  <si>
    <t>ORD00577</t>
  </si>
  <si>
    <t>ORD00578</t>
  </si>
  <si>
    <t>ORD00579</t>
  </si>
  <si>
    <t>ORD00580</t>
  </si>
  <si>
    <t>C0023</t>
  </si>
  <si>
    <t>ORD00581</t>
  </si>
  <si>
    <t>C0118</t>
  </si>
  <si>
    <t>Customer 337</t>
  </si>
  <si>
    <t>ORD00582</t>
  </si>
  <si>
    <t>Customer 372</t>
  </si>
  <si>
    <t>ORD00583</t>
  </si>
  <si>
    <t>Customer 26</t>
  </si>
  <si>
    <t>ORD00584</t>
  </si>
  <si>
    <t>2025-02-24</t>
  </si>
  <si>
    <t>ORD00585</t>
  </si>
  <si>
    <t>Customer 380</t>
  </si>
  <si>
    <t>ORD00586</t>
  </si>
  <si>
    <t>ORD00587</t>
  </si>
  <si>
    <t>Customer 267</t>
  </si>
  <si>
    <t>ORD00588</t>
  </si>
  <si>
    <t>ORD00589</t>
  </si>
  <si>
    <t>ORD00590</t>
  </si>
  <si>
    <t>2025-02-01</t>
  </si>
  <si>
    <t>ORD00591</t>
  </si>
  <si>
    <t>2025-05-19</t>
  </si>
  <si>
    <t>ORD00592</t>
  </si>
  <si>
    <t>ORD00593</t>
  </si>
  <si>
    <t>Customer 92</t>
  </si>
  <si>
    <t>ORD00594</t>
  </si>
  <si>
    <t>Customer 69</t>
  </si>
  <si>
    <t>ORD00595</t>
  </si>
  <si>
    <t>C0037</t>
  </si>
  <si>
    <t>ORD00596</t>
  </si>
  <si>
    <t>C0449</t>
  </si>
  <si>
    <t>ORD00597</t>
  </si>
  <si>
    <t>2025-10-04</t>
  </si>
  <si>
    <t>ORD00598</t>
  </si>
  <si>
    <t>Customer 169</t>
  </si>
  <si>
    <t>ORD00599</t>
  </si>
  <si>
    <t>2025-05-11</t>
  </si>
  <si>
    <t>ORD00600</t>
  </si>
  <si>
    <t>2025-10-07</t>
  </si>
  <si>
    <t>Customer 61</t>
  </si>
  <si>
    <t>ORD00601</t>
  </si>
  <si>
    <t>2025-10-21</t>
  </si>
  <si>
    <t>ORD00602</t>
  </si>
  <si>
    <t>ORD00603</t>
  </si>
  <si>
    <t>Customer 438</t>
  </si>
  <si>
    <t>ORD00604</t>
  </si>
  <si>
    <t>2025-12-04</t>
  </si>
  <si>
    <t>C0409</t>
  </si>
  <si>
    <t>ORD00605</t>
  </si>
  <si>
    <t>ORD00606</t>
  </si>
  <si>
    <t>ORD00607</t>
  </si>
  <si>
    <t>ORD00608</t>
  </si>
  <si>
    <t>Customer 106</t>
  </si>
  <si>
    <t>ORD00609</t>
  </si>
  <si>
    <t>C0236</t>
  </si>
  <si>
    <t>ORD00610</t>
  </si>
  <si>
    <t>2025-09-27</t>
  </si>
  <si>
    <t>ORD00611</t>
  </si>
  <si>
    <t>C0482</t>
  </si>
  <si>
    <t>Customer 60</t>
  </si>
  <si>
    <t>ORD00612</t>
  </si>
  <si>
    <t>ORD00613</t>
  </si>
  <si>
    <t>2025-09-01</t>
  </si>
  <si>
    <t>ORD00614</t>
  </si>
  <si>
    <t>ORD00615</t>
  </si>
  <si>
    <t>C0191</t>
  </si>
  <si>
    <t>ORD00616</t>
  </si>
  <si>
    <t>Customer 149</t>
  </si>
  <si>
    <t>ORD00617</t>
  </si>
  <si>
    <t>2025-05-03</t>
  </si>
  <si>
    <t>ORD00618</t>
  </si>
  <si>
    <t>ORD00619</t>
  </si>
  <si>
    <t>ORD00620</t>
  </si>
  <si>
    <t>Customer 201</t>
  </si>
  <si>
    <t>ORD00621</t>
  </si>
  <si>
    <t>ORD00622</t>
  </si>
  <si>
    <t>Customer 272</t>
  </si>
  <si>
    <t>ORD00623</t>
  </si>
  <si>
    <t>Customer 273</t>
  </si>
  <si>
    <t>ORD00624</t>
  </si>
  <si>
    <t>2025-12-07</t>
  </si>
  <si>
    <t>Customer 97</t>
  </si>
  <si>
    <t>ORD00625</t>
  </si>
  <si>
    <t>ORD00626</t>
  </si>
  <si>
    <t>ORD00627</t>
  </si>
  <si>
    <t>ORD00628</t>
  </si>
  <si>
    <t>ORD00629</t>
  </si>
  <si>
    <t>Customer 371</t>
  </si>
  <si>
    <t>ORD00630</t>
  </si>
  <si>
    <t>ORD00631</t>
  </si>
  <si>
    <t>ORD00632</t>
  </si>
  <si>
    <t>C0402</t>
  </si>
  <si>
    <t>Customer 216</t>
  </si>
  <si>
    <t>ORD00633</t>
  </si>
  <si>
    <t>C0385</t>
  </si>
  <si>
    <t>ORD00634</t>
  </si>
  <si>
    <t>2025-11-12</t>
  </si>
  <si>
    <t>ORD00635</t>
  </si>
  <si>
    <t>ORD00636</t>
  </si>
  <si>
    <t>Customer 22</t>
  </si>
  <si>
    <t>ORD00637</t>
  </si>
  <si>
    <t>Customer 341</t>
  </si>
  <si>
    <t>ORD00638</t>
  </si>
  <si>
    <t>2025-11-14</t>
  </si>
  <si>
    <t>C0447</t>
  </si>
  <si>
    <t>Customer 264</t>
  </si>
  <si>
    <t>ORD00639</t>
  </si>
  <si>
    <t>ORD00640</t>
  </si>
  <si>
    <t>2025-06-24</t>
  </si>
  <si>
    <t>ORD00641</t>
  </si>
  <si>
    <t>C0070</t>
  </si>
  <si>
    <t>ORD00642</t>
  </si>
  <si>
    <t>C0168</t>
  </si>
  <si>
    <t>Customer 378</t>
  </si>
  <si>
    <t>ORD00643</t>
  </si>
  <si>
    <t>2025-01-27</t>
  </si>
  <si>
    <t>C0096</t>
  </si>
  <si>
    <t>Customer 302</t>
  </si>
  <si>
    <t>ORD00644</t>
  </si>
  <si>
    <t>ORD00645</t>
  </si>
  <si>
    <t>ORD00646</t>
  </si>
  <si>
    <t>ORD00647</t>
  </si>
  <si>
    <t>2025-03-24</t>
  </si>
  <si>
    <t>ORD00648</t>
  </si>
  <si>
    <t>ORD00649</t>
  </si>
  <si>
    <t>2025-01-25</t>
  </si>
  <si>
    <t>ORD00650</t>
  </si>
  <si>
    <t>2025-12-01</t>
  </si>
  <si>
    <t>ORD00651</t>
  </si>
  <si>
    <t>ORD00652</t>
  </si>
  <si>
    <t>Customer 312</t>
  </si>
  <si>
    <t>ORD00653</t>
  </si>
  <si>
    <t>2025-11-01</t>
  </si>
  <si>
    <t>ORD00654</t>
  </si>
  <si>
    <t>ORD00655</t>
  </si>
  <si>
    <t>Customer 247</t>
  </si>
  <si>
    <t>ORD00656</t>
  </si>
  <si>
    <t>Customer 369</t>
  </si>
  <si>
    <t>ORD00657</t>
  </si>
  <si>
    <t>ORD00658</t>
  </si>
  <si>
    <t>C0060</t>
  </si>
  <si>
    <t>ORD00659</t>
  </si>
  <si>
    <t>ORD00660</t>
  </si>
  <si>
    <t>Customer 237</t>
  </si>
  <si>
    <t>ORD00661</t>
  </si>
  <si>
    <t>2025-04-10</t>
  </si>
  <si>
    <t>Customer 74</t>
  </si>
  <si>
    <t>ORD00662</t>
  </si>
  <si>
    <t>ORD00663</t>
  </si>
  <si>
    <t>C0097</t>
  </si>
  <si>
    <t>Customer 368</t>
  </si>
  <si>
    <t>ORD00664</t>
  </si>
  <si>
    <t>ORD00665</t>
  </si>
  <si>
    <t>ORD00666</t>
  </si>
  <si>
    <t>2025-01-05</t>
  </si>
  <si>
    <t>ORD00667</t>
  </si>
  <si>
    <t>C0450</t>
  </si>
  <si>
    <t>ORD00668</t>
  </si>
  <si>
    <t>2025-09-12</t>
  </si>
  <si>
    <t>C0337</t>
  </si>
  <si>
    <t>ORD00669</t>
  </si>
  <si>
    <t>C0344</t>
  </si>
  <si>
    <t>Customer 105</t>
  </si>
  <si>
    <t>ORD00670</t>
  </si>
  <si>
    <t>ORD00671</t>
  </si>
  <si>
    <t>ORD00672</t>
  </si>
  <si>
    <t>C0250</t>
  </si>
  <si>
    <t>Customer 94</t>
  </si>
  <si>
    <t>ORD00673</t>
  </si>
  <si>
    <t>2025-08-24</t>
  </si>
  <si>
    <t>ORD00674</t>
  </si>
  <si>
    <t>ORD00675</t>
  </si>
  <si>
    <t>C0492</t>
  </si>
  <si>
    <t>ORD00676</t>
  </si>
  <si>
    <t>ORD00677</t>
  </si>
  <si>
    <t>Customer 211</t>
  </si>
  <si>
    <t>ORD00678</t>
  </si>
  <si>
    <t>C0091</t>
  </si>
  <si>
    <t>ORD00679</t>
  </si>
  <si>
    <t>Customer 350</t>
  </si>
  <si>
    <t>ORD00680</t>
  </si>
  <si>
    <t>ORD00681</t>
  </si>
  <si>
    <t>ORD00682</t>
  </si>
  <si>
    <t>C0211</t>
  </si>
  <si>
    <t>ORD00683</t>
  </si>
  <si>
    <t>2025-11-03</t>
  </si>
  <si>
    <t>ORD00684</t>
  </si>
  <si>
    <t>ORD00685</t>
  </si>
  <si>
    <t>ORD00686</t>
  </si>
  <si>
    <t>ORD00687</t>
  </si>
  <si>
    <t>Customer 85</t>
  </si>
  <si>
    <t>ORD00688</t>
  </si>
  <si>
    <t>C0158</t>
  </si>
  <si>
    <t>ORD00689</t>
  </si>
  <si>
    <t>C0334</t>
  </si>
  <si>
    <t>ORD00690</t>
  </si>
  <si>
    <t>ORD00691</t>
  </si>
  <si>
    <t>ORD00692</t>
  </si>
  <si>
    <t>ORD00693</t>
  </si>
  <si>
    <t>ORD00694</t>
  </si>
  <si>
    <t>ORD00695</t>
  </si>
  <si>
    <t>C0022</t>
  </si>
  <si>
    <t>ORD00696</t>
  </si>
  <si>
    <t>Customer 261</t>
  </si>
  <si>
    <t>ORD00697</t>
  </si>
  <si>
    <t>C0321</t>
  </si>
  <si>
    <t>Customer 154</t>
  </si>
  <si>
    <t>ORD00698</t>
  </si>
  <si>
    <t>ORD00699</t>
  </si>
  <si>
    <t>ORD00700</t>
  </si>
  <si>
    <t>C0259</t>
  </si>
  <si>
    <t>ORD00701</t>
  </si>
  <si>
    <t>ORD00702</t>
  </si>
  <si>
    <t>2025-04-01</t>
  </si>
  <si>
    <t>C0362</t>
  </si>
  <si>
    <t>Customer 24</t>
  </si>
  <si>
    <t>ORD00703</t>
  </si>
  <si>
    <t>2025-05-18</t>
  </si>
  <si>
    <t>ORD00704</t>
  </si>
  <si>
    <t>C0054</t>
  </si>
  <si>
    <t>ORD00705</t>
  </si>
  <si>
    <t>Customer 306</t>
  </si>
  <si>
    <t>ORD00706</t>
  </si>
  <si>
    <t>C0170</t>
  </si>
  <si>
    <t>ORD00707</t>
  </si>
  <si>
    <t>2025-03-20</t>
  </si>
  <si>
    <t>ORD00708</t>
  </si>
  <si>
    <t>2025-10-02</t>
  </si>
  <si>
    <t>ORD00709</t>
  </si>
  <si>
    <t>C0025</t>
  </si>
  <si>
    <t>ORD00710</t>
  </si>
  <si>
    <t>Customer 437</t>
  </si>
  <si>
    <t>ORD00711</t>
  </si>
  <si>
    <t>C0381</t>
  </si>
  <si>
    <t>Customer 115</t>
  </si>
  <si>
    <t>ORD00712</t>
  </si>
  <si>
    <t>ORD00713</t>
  </si>
  <si>
    <t>C0153</t>
  </si>
  <si>
    <t>ORD00714</t>
  </si>
  <si>
    <t>2025-09-18</t>
  </si>
  <si>
    <t>Customer 359</t>
  </si>
  <si>
    <t>ORD00715</t>
  </si>
  <si>
    <t>ORD00716</t>
  </si>
  <si>
    <t>C0147</t>
  </si>
  <si>
    <t>ORD00717</t>
  </si>
  <si>
    <t>C0500</t>
  </si>
  <si>
    <t>Customer 16</t>
  </si>
  <si>
    <t>ORD00718</t>
  </si>
  <si>
    <t>C0181</t>
  </si>
  <si>
    <t>ORD00719</t>
  </si>
  <si>
    <t>ORD00720</t>
  </si>
  <si>
    <t>ORD00721</t>
  </si>
  <si>
    <t>ORD00722</t>
  </si>
  <si>
    <t>ORD00723</t>
  </si>
  <si>
    <t>C0030</t>
  </si>
  <si>
    <t>ORD00724</t>
  </si>
  <si>
    <t>ORD00725</t>
  </si>
  <si>
    <t>ORD00726</t>
  </si>
  <si>
    <t>2025-07-20</t>
  </si>
  <si>
    <t>ORD00727</t>
  </si>
  <si>
    <t>C0325</t>
  </si>
  <si>
    <t>Customer 391</t>
  </si>
  <si>
    <t>ORD00728</t>
  </si>
  <si>
    <t>Customer 239</t>
  </si>
  <si>
    <t>ORD00729</t>
  </si>
  <si>
    <t>2025-01-24</t>
  </si>
  <si>
    <t>ORD00730</t>
  </si>
  <si>
    <t>ORD00731</t>
  </si>
  <si>
    <t>Customer 88</t>
  </si>
  <si>
    <t>ORD00732</t>
  </si>
  <si>
    <t>C0446</t>
  </si>
  <si>
    <t>Customer 78</t>
  </si>
  <si>
    <t>ORD00733</t>
  </si>
  <si>
    <t>C0190</t>
  </si>
  <si>
    <t>Customer 32</t>
  </si>
  <si>
    <t>ORD00734</t>
  </si>
  <si>
    <t>ORD00735</t>
  </si>
  <si>
    <t>Customer 134</t>
  </si>
  <si>
    <t>ORD00736</t>
  </si>
  <si>
    <t>ORD00737</t>
  </si>
  <si>
    <t>2025-11-19</t>
  </si>
  <si>
    <t>ORD00738</t>
  </si>
  <si>
    <t>ORD00739</t>
  </si>
  <si>
    <t>ORD00740</t>
  </si>
  <si>
    <t>ORD00741</t>
  </si>
  <si>
    <t>ORD00742</t>
  </si>
  <si>
    <t>ORD00743</t>
  </si>
  <si>
    <t>ORD00744</t>
  </si>
  <si>
    <t>ORD00745</t>
  </si>
  <si>
    <t>ORD00746</t>
  </si>
  <si>
    <t>ORD00747</t>
  </si>
  <si>
    <t>2025-07-07</t>
  </si>
  <si>
    <t>ORD00748</t>
  </si>
  <si>
    <t>C0384</t>
  </si>
  <si>
    <t>ORD00749</t>
  </si>
  <si>
    <t>2025-06-28</t>
  </si>
  <si>
    <t>Customer 5</t>
  </si>
  <si>
    <t>ORD00750</t>
  </si>
  <si>
    <t>ORD00751</t>
  </si>
  <si>
    <t>ORD00752</t>
  </si>
  <si>
    <t>C0034</t>
  </si>
  <si>
    <t>Customer 41</t>
  </si>
  <si>
    <t>ORD00753</t>
  </si>
  <si>
    <t>ORD00754</t>
  </si>
  <si>
    <t>ORD00755</t>
  </si>
  <si>
    <t>ORD00756</t>
  </si>
  <si>
    <t>C0454</t>
  </si>
  <si>
    <t>ORD00757</t>
  </si>
  <si>
    <t>2025-06-06</t>
  </si>
  <si>
    <t>Customer 486</t>
  </si>
  <si>
    <t>ORD00758</t>
  </si>
  <si>
    <t>Customer 151</t>
  </si>
  <si>
    <t>ORD00759</t>
  </si>
  <si>
    <t>ORD00760</t>
  </si>
  <si>
    <t>Customer 346</t>
  </si>
  <si>
    <t>ORD00761</t>
  </si>
  <si>
    <t>Customer 358</t>
  </si>
  <si>
    <t>ORD00762</t>
  </si>
  <si>
    <t>ORD00763</t>
  </si>
  <si>
    <t>ORD00764</t>
  </si>
  <si>
    <t>ORD00765</t>
  </si>
  <si>
    <t>ORD00766</t>
  </si>
  <si>
    <t>Customer 305</t>
  </si>
  <si>
    <t>ORD00767</t>
  </si>
  <si>
    <t>ORD00768</t>
  </si>
  <si>
    <t>ORD00769</t>
  </si>
  <si>
    <t>Customer 440</t>
  </si>
  <si>
    <t>ORD00770</t>
  </si>
  <si>
    <t>ORD00771</t>
  </si>
  <si>
    <t>ORD00772</t>
  </si>
  <si>
    <t>C0253</t>
  </si>
  <si>
    <t>ORD00773</t>
  </si>
  <si>
    <t>C0114</t>
  </si>
  <si>
    <t>ORD00774</t>
  </si>
  <si>
    <t>C0019</t>
  </si>
  <si>
    <t>Customer 179</t>
  </si>
  <si>
    <t>ORD00775</t>
  </si>
  <si>
    <t>2025-05-12</t>
  </si>
  <si>
    <t>C0241</t>
  </si>
  <si>
    <t>ORD00776</t>
  </si>
  <si>
    <t>ORD00777</t>
  </si>
  <si>
    <t>ORD00778</t>
  </si>
  <si>
    <t>ORD00779</t>
  </si>
  <si>
    <t>2025-07-17</t>
  </si>
  <si>
    <t>C0092</t>
  </si>
  <si>
    <t>ORD00780</t>
  </si>
  <si>
    <t>Customer 417</t>
  </si>
  <si>
    <t>ORD00781</t>
  </si>
  <si>
    <t>C0061</t>
  </si>
  <si>
    <t>ORD00782</t>
  </si>
  <si>
    <t>ORD00783</t>
  </si>
  <si>
    <t>ORD00784</t>
  </si>
  <si>
    <t>ORD00785</t>
  </si>
  <si>
    <t>ORD00786</t>
  </si>
  <si>
    <t>ORD00787</t>
  </si>
  <si>
    <t>Customer 382</t>
  </si>
  <si>
    <t>ORD00788</t>
  </si>
  <si>
    <t>ORD00789</t>
  </si>
  <si>
    <t>Customer 123</t>
  </si>
  <si>
    <t>ORD00790</t>
  </si>
  <si>
    <t>ORD00791</t>
  </si>
  <si>
    <t>ORD00792</t>
  </si>
  <si>
    <t>ORD00793</t>
  </si>
  <si>
    <t>C0024</t>
  </si>
  <si>
    <t>ORD00794</t>
  </si>
  <si>
    <t>ORD00795</t>
  </si>
  <si>
    <t>ORD00796</t>
  </si>
  <si>
    <t>ORD00797</t>
  </si>
  <si>
    <t>2025-06-25</t>
  </si>
  <si>
    <t>C0405</t>
  </si>
  <si>
    <t>ORD00798</t>
  </si>
  <si>
    <t>Customer 20</t>
  </si>
  <si>
    <t>ORD00799</t>
  </si>
  <si>
    <t>2025-02-22</t>
  </si>
  <si>
    <t>ORD00800</t>
  </si>
  <si>
    <t>ORD00801</t>
  </si>
  <si>
    <t>ORD00802</t>
  </si>
  <si>
    <t>2025-03-21</t>
  </si>
  <si>
    <t>ORD00803</t>
  </si>
  <si>
    <t>ORD00804</t>
  </si>
  <si>
    <t>C0208</t>
  </si>
  <si>
    <t>Customer 297</t>
  </si>
  <si>
    <t>ORD00805</t>
  </si>
  <si>
    <t>C0095</t>
  </si>
  <si>
    <t>ORD00806</t>
  </si>
  <si>
    <t>ORD00807</t>
  </si>
  <si>
    <t>C0329</t>
  </si>
  <si>
    <t>ORD00808</t>
  </si>
  <si>
    <t>ORD00809</t>
  </si>
  <si>
    <t>ORD00810</t>
  </si>
  <si>
    <t>C0047</t>
  </si>
  <si>
    <t>Customer 349</t>
  </si>
  <si>
    <t>ORD00811</t>
  </si>
  <si>
    <t>Customer 353</t>
  </si>
  <si>
    <t>ORD00812</t>
  </si>
  <si>
    <t>ORD00813</t>
  </si>
  <si>
    <t>ORD00814</t>
  </si>
  <si>
    <t>ORD00815</t>
  </si>
  <si>
    <t>ORD00816</t>
  </si>
  <si>
    <t>ORD00817</t>
  </si>
  <si>
    <t>Customer 228</t>
  </si>
  <si>
    <t>ORD00818</t>
  </si>
  <si>
    <t>C0246</t>
  </si>
  <si>
    <t>ORD00819</t>
  </si>
  <si>
    <t>2025-07-29</t>
  </si>
  <si>
    <t>C0301</t>
  </si>
  <si>
    <t>ORD00820</t>
  </si>
  <si>
    <t>Customer 488</t>
  </si>
  <si>
    <t>ORD00821</t>
  </si>
  <si>
    <t>2025-09-08</t>
  </si>
  <si>
    <t>C0059</t>
  </si>
  <si>
    <t>ORD00822</t>
  </si>
  <si>
    <t>C0150</t>
  </si>
  <si>
    <t>ORD00823</t>
  </si>
  <si>
    <t>Customer 406</t>
  </si>
  <si>
    <t>ORD00824</t>
  </si>
  <si>
    <t>C0136</t>
  </si>
  <si>
    <t>ORD00825</t>
  </si>
  <si>
    <t>ORD00826</t>
  </si>
  <si>
    <t>2025-10-01</t>
  </si>
  <si>
    <t>ORD00827</t>
  </si>
  <si>
    <t>ORD00828</t>
  </si>
  <si>
    <t>Customer 270</t>
  </si>
  <si>
    <t>ORD00829</t>
  </si>
  <si>
    <t>ORD00830</t>
  </si>
  <si>
    <t>ORD00831</t>
  </si>
  <si>
    <t>ORD00832</t>
  </si>
  <si>
    <t>ORD00833</t>
  </si>
  <si>
    <t>ORD00834</t>
  </si>
  <si>
    <t>Customer 397</t>
  </si>
  <si>
    <t>ORD00835</t>
  </si>
  <si>
    <t>ORD00836</t>
  </si>
  <si>
    <t>Customer 479</t>
  </si>
  <si>
    <t>ORD00837</t>
  </si>
  <si>
    <t>2025-06-05</t>
  </si>
  <si>
    <t>Customer 284</t>
  </si>
  <si>
    <t>ORD00838</t>
  </si>
  <si>
    <t>ORD00839</t>
  </si>
  <si>
    <t>C0345</t>
  </si>
  <si>
    <t>ORD00840</t>
  </si>
  <si>
    <t>ORD00841</t>
  </si>
  <si>
    <t>ORD00842</t>
  </si>
  <si>
    <t>C0292</t>
  </si>
  <si>
    <t>ORD00843</t>
  </si>
  <si>
    <t>Customer 148</t>
  </si>
  <si>
    <t>ORD00844</t>
  </si>
  <si>
    <t>2025-01-20</t>
  </si>
  <si>
    <t>ORD00845</t>
  </si>
  <si>
    <t>ORD00846</t>
  </si>
  <si>
    <t>ORD00847</t>
  </si>
  <si>
    <t>ORD00848</t>
  </si>
  <si>
    <t>C0242</t>
  </si>
  <si>
    <t>ORD00849</t>
  </si>
  <si>
    <t>ORD00850</t>
  </si>
  <si>
    <t>ORD00851</t>
  </si>
  <si>
    <t>2025-01-29</t>
  </si>
  <si>
    <t>ORD00852</t>
  </si>
  <si>
    <t>ORD00853</t>
  </si>
  <si>
    <t>ORD00854</t>
  </si>
  <si>
    <t>ORD00855</t>
  </si>
  <si>
    <t>C0311</t>
  </si>
  <si>
    <t>ORD00856</t>
  </si>
  <si>
    <t>ORD00857</t>
  </si>
  <si>
    <t>2025-06-04</t>
  </si>
  <si>
    <t>ORD00858</t>
  </si>
  <si>
    <t>ORD00859</t>
  </si>
  <si>
    <t>ORD00860</t>
  </si>
  <si>
    <t>ORD00861</t>
  </si>
  <si>
    <t>C0290</t>
  </si>
  <si>
    <t>ORD00862</t>
  </si>
  <si>
    <t>C0156</t>
  </si>
  <si>
    <t>ORD00863</t>
  </si>
  <si>
    <t>Customer 411</t>
  </si>
  <si>
    <t>ORD00864</t>
  </si>
  <si>
    <t>ORD00865</t>
  </si>
  <si>
    <t>Customer 129</t>
  </si>
  <si>
    <t>ORD00866</t>
  </si>
  <si>
    <t>C0459</t>
  </si>
  <si>
    <t>ORD00867</t>
  </si>
  <si>
    <t>ORD00868</t>
  </si>
  <si>
    <t>Customer 59</t>
  </si>
  <si>
    <t>ORD00869</t>
  </si>
  <si>
    <t>C0351</t>
  </si>
  <si>
    <t>ORD00870</t>
  </si>
  <si>
    <t>ORD00871</t>
  </si>
  <si>
    <t>2025-02-12</t>
  </si>
  <si>
    <t>Customer 483</t>
  </si>
  <si>
    <t>ORD00872</t>
  </si>
  <si>
    <t>ORD00873</t>
  </si>
  <si>
    <t>2025-05-16</t>
  </si>
  <si>
    <t>Customer 25</t>
  </si>
  <si>
    <t>ORD00874</t>
  </si>
  <si>
    <t>ORD00875</t>
  </si>
  <si>
    <t>ORD00876</t>
  </si>
  <si>
    <t>ORD00877</t>
  </si>
  <si>
    <t>Customer 281</t>
  </si>
  <si>
    <t>ORD00878</t>
  </si>
  <si>
    <t>Customer 153</t>
  </si>
  <si>
    <t>ORD00879</t>
  </si>
  <si>
    <t>Customer 138</t>
  </si>
  <si>
    <t>ORD00880</t>
  </si>
  <si>
    <t>ORD00881</t>
  </si>
  <si>
    <t>ORD00882</t>
  </si>
  <si>
    <t>ORD00883</t>
  </si>
  <si>
    <t>ORD00884</t>
  </si>
  <si>
    <t>2025-07-19</t>
  </si>
  <si>
    <t>ORD00885</t>
  </si>
  <si>
    <t>ORD00886</t>
  </si>
  <si>
    <t>Customer 293</t>
  </si>
  <si>
    <t>ORD00887</t>
  </si>
  <si>
    <t>ORD00888</t>
  </si>
  <si>
    <t>ORD00889</t>
  </si>
  <si>
    <t>Customer 377</t>
  </si>
  <si>
    <t>ORD00890</t>
  </si>
  <si>
    <t>ORD00891</t>
  </si>
  <si>
    <t>ORD00892</t>
  </si>
  <si>
    <t>C0151</t>
  </si>
  <si>
    <t>ORD00893</t>
  </si>
  <si>
    <t>ORD00894</t>
  </si>
  <si>
    <t>ORD00895</t>
  </si>
  <si>
    <t>ORD00896</t>
  </si>
  <si>
    <t>ORD00897</t>
  </si>
  <si>
    <t>ORD00898</t>
  </si>
  <si>
    <t>C0420</t>
  </si>
  <si>
    <t>ORD00899</t>
  </si>
  <si>
    <t>ORD00900</t>
  </si>
  <si>
    <t>ORD00901</t>
  </si>
  <si>
    <t>ORD00902</t>
  </si>
  <si>
    <t>ORD00903</t>
  </si>
  <si>
    <t>C0358</t>
  </si>
  <si>
    <t>Customer 385</t>
  </si>
  <si>
    <t>ORD00904</t>
  </si>
  <si>
    <t>C0394</t>
  </si>
  <si>
    <t>ORD00905</t>
  </si>
  <si>
    <t>C0188</t>
  </si>
  <si>
    <t>ORD00906</t>
  </si>
  <si>
    <t>2025-10-08</t>
  </si>
  <si>
    <t>C0303</t>
  </si>
  <si>
    <t>ORD00907</t>
  </si>
  <si>
    <t>ORD00908</t>
  </si>
  <si>
    <t>Customer 415</t>
  </si>
  <si>
    <t>ORD00909</t>
  </si>
  <si>
    <t>Customer 76</t>
  </si>
  <si>
    <t>ORD00910</t>
  </si>
  <si>
    <t>ORD00911</t>
  </si>
  <si>
    <t>ORD00912</t>
  </si>
  <si>
    <t>ORD00913</t>
  </si>
  <si>
    <t>C0417</t>
  </si>
  <si>
    <t>ORD00914</t>
  </si>
  <si>
    <t>Customer 89</t>
  </si>
  <si>
    <t>ORD00915</t>
  </si>
  <si>
    <t>ORD00916</t>
  </si>
  <si>
    <t>ORD00917</t>
  </si>
  <si>
    <t>ORD00918</t>
  </si>
  <si>
    <t>ORD00919</t>
  </si>
  <si>
    <t>ORD00920</t>
  </si>
  <si>
    <t>ORD00921</t>
  </si>
  <si>
    <t>ORD00922</t>
  </si>
  <si>
    <t>C0148</t>
  </si>
  <si>
    <t>ORD00923</t>
  </si>
  <si>
    <t>ORD00924</t>
  </si>
  <si>
    <t>ORD00925</t>
  </si>
  <si>
    <t>ORD00926</t>
  </si>
  <si>
    <t>2025-07-08</t>
  </si>
  <si>
    <t>Customer 46</t>
  </si>
  <si>
    <t>ORD00927</t>
  </si>
  <si>
    <t>ORD00928</t>
  </si>
  <si>
    <t>ORD00929</t>
  </si>
  <si>
    <t>Customer 81</t>
  </si>
  <si>
    <t>ORD00930</t>
  </si>
  <si>
    <t>ORD00931</t>
  </si>
  <si>
    <t>ORD00932</t>
  </si>
  <si>
    <t>ORD00933</t>
  </si>
  <si>
    <t>ORD00934</t>
  </si>
  <si>
    <t>Customer 436</t>
  </si>
  <si>
    <t>ORD00935</t>
  </si>
  <si>
    <t>2025-07-13</t>
  </si>
  <si>
    <t>ORD00936</t>
  </si>
  <si>
    <t>2025-12-13</t>
  </si>
  <si>
    <t>ORD00937</t>
  </si>
  <si>
    <t>2025-01-18</t>
  </si>
  <si>
    <t>ORD00938</t>
  </si>
  <si>
    <t>ORD00939</t>
  </si>
  <si>
    <t>ORD00940</t>
  </si>
  <si>
    <t>ORD00941</t>
  </si>
  <si>
    <t>Customer 477</t>
  </si>
  <si>
    <t>ORD00942</t>
  </si>
  <si>
    <t>ORD00943</t>
  </si>
  <si>
    <t>ORD00944</t>
  </si>
  <si>
    <t>Customer 222</t>
  </si>
  <si>
    <t>ORD00945</t>
  </si>
  <si>
    <t>ORD00946</t>
  </si>
  <si>
    <t>ORD00947</t>
  </si>
  <si>
    <t>C0498</t>
  </si>
  <si>
    <t>ORD00948</t>
  </si>
  <si>
    <t>C0465</t>
  </si>
  <si>
    <t>ORD00949</t>
  </si>
  <si>
    <t>ORD00950</t>
  </si>
  <si>
    <t>ORD00951</t>
  </si>
  <si>
    <t>ORD00952</t>
  </si>
  <si>
    <t>ORD00953</t>
  </si>
  <si>
    <t>C0333</t>
  </si>
  <si>
    <t>ORD00954</t>
  </si>
  <si>
    <t>ORD00955</t>
  </si>
  <si>
    <t>ORD00956</t>
  </si>
  <si>
    <t>Customer 398</t>
  </si>
  <si>
    <t>ORD00957</t>
  </si>
  <si>
    <t>ORD00958</t>
  </si>
  <si>
    <t>Customer 469</t>
  </si>
  <si>
    <t>ORD00959</t>
  </si>
  <si>
    <t>ORD00960</t>
  </si>
  <si>
    <t>ORD00961</t>
  </si>
  <si>
    <t>ORD00962</t>
  </si>
  <si>
    <t>ORD00963</t>
  </si>
  <si>
    <t>ORD00964</t>
  </si>
  <si>
    <t>C0327</t>
  </si>
  <si>
    <t>ORD00965</t>
  </si>
  <si>
    <t>ORD00966</t>
  </si>
  <si>
    <t>ORD00967</t>
  </si>
  <si>
    <t>2025-02-06</t>
  </si>
  <si>
    <t>C0411</t>
  </si>
  <si>
    <t>ORD00968</t>
  </si>
  <si>
    <t>ORD00969</t>
  </si>
  <si>
    <t>ORD00970</t>
  </si>
  <si>
    <t>ORD00971</t>
  </si>
  <si>
    <t>ORD00972</t>
  </si>
  <si>
    <t>ORD00973</t>
  </si>
  <si>
    <t>ORD00974</t>
  </si>
  <si>
    <t>ORD00975</t>
  </si>
  <si>
    <t>ORD00976</t>
  </si>
  <si>
    <t>ORD00977</t>
  </si>
  <si>
    <t>2025-01-16</t>
  </si>
  <si>
    <t>ORD00978</t>
  </si>
  <si>
    <t>ORD00979</t>
  </si>
  <si>
    <t>ORD00980</t>
  </si>
  <si>
    <t>2025-12-17</t>
  </si>
  <si>
    <t>ORD00981</t>
  </si>
  <si>
    <t>ORD00982</t>
  </si>
  <si>
    <t>ORD00983</t>
  </si>
  <si>
    <t>ORD00984</t>
  </si>
  <si>
    <t>2025-10-23</t>
  </si>
  <si>
    <t>ORD00985</t>
  </si>
  <si>
    <t>ORD00986</t>
  </si>
  <si>
    <t>ORD00987</t>
  </si>
  <si>
    <t>ORD00988</t>
  </si>
  <si>
    <t>ORD00989</t>
  </si>
  <si>
    <t>Customer 34</t>
  </si>
  <si>
    <t>ORD00990</t>
  </si>
  <si>
    <t>ORD00991</t>
  </si>
  <si>
    <t>C0239</t>
  </si>
  <si>
    <t>ORD00992</t>
  </si>
  <si>
    <t>Customer 251</t>
  </si>
  <si>
    <t>ORD00993</t>
  </si>
  <si>
    <t>C0049</t>
  </si>
  <si>
    <t>ORD00994</t>
  </si>
  <si>
    <t>ORD00995</t>
  </si>
  <si>
    <t>ORD00996</t>
  </si>
  <si>
    <t>ORD00997</t>
  </si>
  <si>
    <t>2025-08-29</t>
  </si>
  <si>
    <t>ORD00998</t>
  </si>
  <si>
    <t>ORD00999</t>
  </si>
  <si>
    <t>ORD01000</t>
  </si>
  <si>
    <t>ORD01001</t>
  </si>
  <si>
    <t>ORD01002</t>
  </si>
  <si>
    <t>ORD01003</t>
  </si>
  <si>
    <t>Customer 8</t>
  </si>
  <si>
    <t>ORD01004</t>
  </si>
  <si>
    <t>ORD01005</t>
  </si>
  <si>
    <t>ORD01006</t>
  </si>
  <si>
    <t>ORD01007</t>
  </si>
  <si>
    <t>ORD01008</t>
  </si>
  <si>
    <t>ORD01009</t>
  </si>
  <si>
    <t>Customer 38</t>
  </si>
  <si>
    <t>ORD01010</t>
  </si>
  <si>
    <t>ORD01011</t>
  </si>
  <si>
    <t>ORD01012</t>
  </si>
  <si>
    <t>2025-03-26</t>
  </si>
  <si>
    <t>ORD01013</t>
  </si>
  <si>
    <t>Customer 345</t>
  </si>
  <si>
    <t>ORD01014</t>
  </si>
  <si>
    <t>ORD01015</t>
  </si>
  <si>
    <t>ORD01016</t>
  </si>
  <si>
    <t>ORD01017</t>
  </si>
  <si>
    <t>Customer 429</t>
  </si>
  <si>
    <t>ORD01018</t>
  </si>
  <si>
    <t>ORD01019</t>
  </si>
  <si>
    <t>ORD01020</t>
  </si>
  <si>
    <t>ORD01021</t>
  </si>
  <si>
    <t>ORD01022</t>
  </si>
  <si>
    <t>ORD01023</t>
  </si>
  <si>
    <t>ORD01024</t>
  </si>
  <si>
    <t>Customer 246</t>
  </si>
  <si>
    <t>ORD01025</t>
  </si>
  <si>
    <t>ORD01026</t>
  </si>
  <si>
    <t>ORD01027</t>
  </si>
  <si>
    <t>ORD01028</t>
  </si>
  <si>
    <t>ORD01029</t>
  </si>
  <si>
    <t>ORD01030</t>
  </si>
  <si>
    <t>ORD01031</t>
  </si>
  <si>
    <t>ORD01032</t>
  </si>
  <si>
    <t>ORD01033</t>
  </si>
  <si>
    <t>ORD01034</t>
  </si>
  <si>
    <t>ORD01035</t>
  </si>
  <si>
    <t>ORD01036</t>
  </si>
  <si>
    <t>Customer 497</t>
  </si>
  <si>
    <t>ORD01037</t>
  </si>
  <si>
    <t>ORD01038</t>
  </si>
  <si>
    <t>Customer 64</t>
  </si>
  <si>
    <t>ORD01039</t>
  </si>
  <si>
    <t>ORD01040</t>
  </si>
  <si>
    <t>ORD01041</t>
  </si>
  <si>
    <t>ORD01042</t>
  </si>
  <si>
    <t>ORD01043</t>
  </si>
  <si>
    <t>ORD01044</t>
  </si>
  <si>
    <t>ORD01045</t>
  </si>
  <si>
    <t>ORD01046</t>
  </si>
  <si>
    <t>ORD01047</t>
  </si>
  <si>
    <t>Customer 233</t>
  </si>
  <si>
    <t>ORD01048</t>
  </si>
  <si>
    <t>Customer 383</t>
  </si>
  <si>
    <t>ORD01049</t>
  </si>
  <si>
    <t>ORD01050</t>
  </si>
  <si>
    <t>ORD01051</t>
  </si>
  <si>
    <t>ORD01052</t>
  </si>
  <si>
    <t>ORD01053</t>
  </si>
  <si>
    <t>C0434</t>
  </si>
  <si>
    <t>ORD01054</t>
  </si>
  <si>
    <t>ORD01055</t>
  </si>
  <si>
    <t>ORD01056</t>
  </si>
  <si>
    <t>ORD01057</t>
  </si>
  <si>
    <t>ORD01058</t>
  </si>
  <si>
    <t>Customer 65</t>
  </si>
  <si>
    <t>ORD01059</t>
  </si>
  <si>
    <t>ORD01060</t>
  </si>
  <si>
    <t>ORD01061</t>
  </si>
  <si>
    <t>ORD01062</t>
  </si>
  <si>
    <t>ORD01063</t>
  </si>
  <si>
    <t>ORD01064</t>
  </si>
  <si>
    <t>ORD01065</t>
  </si>
  <si>
    <t>ORD01066</t>
  </si>
  <si>
    <t>2025-05-09</t>
  </si>
  <si>
    <t>ORD01067</t>
  </si>
  <si>
    <t>C0330</t>
  </si>
  <si>
    <t>ORD01068</t>
  </si>
  <si>
    <t>ORD01069</t>
  </si>
  <si>
    <t>ORD01070</t>
  </si>
  <si>
    <t>Customer 389</t>
  </si>
  <si>
    <t>ORD01071</t>
  </si>
  <si>
    <t>ORD01072</t>
  </si>
  <si>
    <t>ORD01073</t>
  </si>
  <si>
    <t>ORD01074</t>
  </si>
  <si>
    <t>ORD01075</t>
  </si>
  <si>
    <t>ORD01076</t>
  </si>
  <si>
    <t>ORD01077</t>
  </si>
  <si>
    <t>ORD01078</t>
  </si>
  <si>
    <t>ORD01079</t>
  </si>
  <si>
    <t>ORD01080</t>
  </si>
  <si>
    <t>C0267</t>
  </si>
  <si>
    <t>ORD01081</t>
  </si>
  <si>
    <t>ORD01082</t>
  </si>
  <si>
    <t>ORD01083</t>
  </si>
  <si>
    <t>ORD01084</t>
  </si>
  <si>
    <t>C0497</t>
  </si>
  <si>
    <t>ORD01085</t>
  </si>
  <si>
    <t>ORD01086</t>
  </si>
  <si>
    <t>ORD01087</t>
  </si>
  <si>
    <t>Customer 240</t>
  </si>
  <si>
    <t>ORD01088</t>
  </si>
  <si>
    <t>C0107</t>
  </si>
  <si>
    <t>ORD01089</t>
  </si>
  <si>
    <t>ORD01090</t>
  </si>
  <si>
    <t>ORD01091</t>
  </si>
  <si>
    <t>ORD01092</t>
  </si>
  <si>
    <t>ORD01093</t>
  </si>
  <si>
    <t>C0282</t>
  </si>
  <si>
    <t>ORD01094</t>
  </si>
  <si>
    <t>ORD01095</t>
  </si>
  <si>
    <t>ORD01096</t>
  </si>
  <si>
    <t>ORD01097</t>
  </si>
  <si>
    <t>ORD01098</t>
  </si>
  <si>
    <t>ORD01099</t>
  </si>
  <si>
    <t>C0175</t>
  </si>
  <si>
    <t>ORD01100</t>
  </si>
  <si>
    <t>ORD01101</t>
  </si>
  <si>
    <t>Customer 18</t>
  </si>
  <si>
    <t>ORD01102</t>
  </si>
  <si>
    <t>Customer 198</t>
  </si>
  <si>
    <t>ORD01103</t>
  </si>
  <si>
    <t>ORD01104</t>
  </si>
  <si>
    <t>ORD01105</t>
  </si>
  <si>
    <t>ORD01106</t>
  </si>
  <si>
    <t>ORD01107</t>
  </si>
  <si>
    <t>ORD01108</t>
  </si>
  <si>
    <t>Customer 173</t>
  </si>
  <si>
    <t>ORD01109</t>
  </si>
  <si>
    <t>ORD01110</t>
  </si>
  <si>
    <t>ORD01111</t>
  </si>
  <si>
    <t>ORD01112</t>
  </si>
  <si>
    <t>ORD01113</t>
  </si>
  <si>
    <t>ORD01114</t>
  </si>
  <si>
    <t>C0109</t>
  </si>
  <si>
    <t>ORD01115</t>
  </si>
  <si>
    <t>ORD01116</t>
  </si>
  <si>
    <t>2025-07-25</t>
  </si>
  <si>
    <t>ORD01117</t>
  </si>
  <si>
    <t>2025-08-17</t>
  </si>
  <si>
    <t>C0159</t>
  </si>
  <si>
    <t>ORD01118</t>
  </si>
  <si>
    <t>C0263</t>
  </si>
  <si>
    <t>ORD01119</t>
  </si>
  <si>
    <t>ORD01120</t>
  </si>
  <si>
    <t>ORD01121</t>
  </si>
  <si>
    <t>ORD01122</t>
  </si>
  <si>
    <t>ORD01123</t>
  </si>
  <si>
    <t>C0086</t>
  </si>
  <si>
    <t>Customer 220</t>
  </si>
  <si>
    <t>ORD01124</t>
  </si>
  <si>
    <t>ORD01125</t>
  </si>
  <si>
    <t>ORD01126</t>
  </si>
  <si>
    <t>ORD01127</t>
  </si>
  <si>
    <t>Customer 193</t>
  </si>
  <si>
    <t>ORD01128</t>
  </si>
  <si>
    <t>ORD01129</t>
  </si>
  <si>
    <t>ORD01130</t>
  </si>
  <si>
    <t>ORD01131</t>
  </si>
  <si>
    <t>Customer 405</t>
  </si>
  <si>
    <t>ORD01132</t>
  </si>
  <si>
    <t>ORD01133</t>
  </si>
  <si>
    <t>C0080</t>
  </si>
  <si>
    <t>ORD01134</t>
  </si>
  <si>
    <t>Customer 100</t>
  </si>
  <si>
    <t>ORD01135</t>
  </si>
  <si>
    <t>ORD01136</t>
  </si>
  <si>
    <t>ORD01137</t>
  </si>
  <si>
    <t>ORD01138</t>
  </si>
  <si>
    <t>ORD01139</t>
  </si>
  <si>
    <t>ORD01140</t>
  </si>
  <si>
    <t>2025-11-25</t>
  </si>
  <si>
    <t>ORD01141</t>
  </si>
  <si>
    <t>ORD01142</t>
  </si>
  <si>
    <t>ORD01143</t>
  </si>
  <si>
    <t>ORD01144</t>
  </si>
  <si>
    <t>ORD01145</t>
  </si>
  <si>
    <t>ORD01146</t>
  </si>
  <si>
    <t>ORD01147</t>
  </si>
  <si>
    <t>ORD01148</t>
  </si>
  <si>
    <t>ORD01149</t>
  </si>
  <si>
    <t>2025-11-06</t>
  </si>
  <si>
    <t>ORD01150</t>
  </si>
  <si>
    <t>Customer 40</t>
  </si>
  <si>
    <t>ORD01151</t>
  </si>
  <si>
    <t>ORD01152</t>
  </si>
  <si>
    <t>C0065</t>
  </si>
  <si>
    <t>ORD01153</t>
  </si>
  <si>
    <t>ORD01154</t>
  </si>
  <si>
    <t>ORD01155</t>
  </si>
  <si>
    <t>ORD01156</t>
  </si>
  <si>
    <t>C0243</t>
  </si>
  <si>
    <t>ORD01157</t>
  </si>
  <si>
    <t>ORD01158</t>
  </si>
  <si>
    <t>ORD01159</t>
  </si>
  <si>
    <t>ORD01160</t>
  </si>
  <si>
    <t>ORD01161</t>
  </si>
  <si>
    <t>ORD01162</t>
  </si>
  <si>
    <t>ORD01163</t>
  </si>
  <si>
    <t>ORD01164</t>
  </si>
  <si>
    <t>Customer 329</t>
  </si>
  <si>
    <t>ORD01165</t>
  </si>
  <si>
    <t>ORD01166</t>
  </si>
  <si>
    <t>ORD01167</t>
  </si>
  <si>
    <t>2025-01-23</t>
  </si>
  <si>
    <t>ORD01168</t>
  </si>
  <si>
    <t>ORD01169</t>
  </si>
  <si>
    <t>ORD01170</t>
  </si>
  <si>
    <t>Customer 426</t>
  </si>
  <si>
    <t>ORD01171</t>
  </si>
  <si>
    <t>ORD01172</t>
  </si>
  <si>
    <t>ORD01173</t>
  </si>
  <si>
    <t>ORD01174</t>
  </si>
  <si>
    <t>ORD01175</t>
  </si>
  <si>
    <t>ORD01176</t>
  </si>
  <si>
    <t>ORD01177</t>
  </si>
  <si>
    <t>ORD01178</t>
  </si>
  <si>
    <t>ORD01179</t>
  </si>
  <si>
    <t>ORD01180</t>
  </si>
  <si>
    <t>C0248</t>
  </si>
  <si>
    <t>ORD01181</t>
  </si>
  <si>
    <t>ORD01182</t>
  </si>
  <si>
    <t>ORD01183</t>
  </si>
  <si>
    <t>ORD01184</t>
  </si>
  <si>
    <t>2025-04-29</t>
  </si>
  <si>
    <t>ORD01185</t>
  </si>
  <si>
    <t>ORD01186</t>
  </si>
  <si>
    <t>ORD01187</t>
  </si>
  <si>
    <t>C0283</t>
  </si>
  <si>
    <t>ORD01188</t>
  </si>
  <si>
    <t>ORD01189</t>
  </si>
  <si>
    <t>ORD01190</t>
  </si>
  <si>
    <t>ORD01191</t>
  </si>
  <si>
    <t>ORD01192</t>
  </si>
  <si>
    <t>ORD01193</t>
  </si>
  <si>
    <t>ORD01194</t>
  </si>
  <si>
    <t>2025-09-20</t>
  </si>
  <si>
    <t>Customer 476</t>
  </si>
  <si>
    <t>ORD01195</t>
  </si>
  <si>
    <t>ORD01196</t>
  </si>
  <si>
    <t>ORD01197</t>
  </si>
  <si>
    <t>ORD01198</t>
  </si>
  <si>
    <t>ORD01199</t>
  </si>
  <si>
    <t>ORD01200</t>
  </si>
  <si>
    <t>C0077</t>
  </si>
  <si>
    <t>ORD01201</t>
  </si>
  <si>
    <t>2025-02-07</t>
  </si>
  <si>
    <t>ORD01202</t>
  </si>
  <si>
    <t>Customer 384</t>
  </si>
  <si>
    <t>ORD01203</t>
  </si>
  <si>
    <t>2025-10-16</t>
  </si>
  <si>
    <t>ORD01204</t>
  </si>
  <si>
    <t>ORD01205</t>
  </si>
  <si>
    <t>ORD01206</t>
  </si>
  <si>
    <t>ORD01207</t>
  </si>
  <si>
    <t>ORD01208</t>
  </si>
  <si>
    <t>ORD01209</t>
  </si>
  <si>
    <t>ORD01210</t>
  </si>
  <si>
    <t>2025-08-06</t>
  </si>
  <si>
    <t>C0052</t>
  </si>
  <si>
    <t>ORD01211</t>
  </si>
  <si>
    <t>Customer 118</t>
  </si>
  <si>
    <t>ORD01212</t>
  </si>
  <si>
    <t>ORD01213</t>
  </si>
  <si>
    <t>ORD01214</t>
  </si>
  <si>
    <t>ORD01215</t>
  </si>
  <si>
    <t>ORD01216</t>
  </si>
  <si>
    <t>ORD01217</t>
  </si>
  <si>
    <t>C0418</t>
  </si>
  <si>
    <t>ORD01218</t>
  </si>
  <si>
    <t>ORD01219</t>
  </si>
  <si>
    <t>ORD01220</t>
  </si>
  <si>
    <t>ORD01221</t>
  </si>
  <si>
    <t>ORD01222</t>
  </si>
  <si>
    <t>ORD01223</t>
  </si>
  <si>
    <t>ORD01224</t>
  </si>
  <si>
    <t>ORD01225</t>
  </si>
  <si>
    <t>ORD01226</t>
  </si>
  <si>
    <t>ORD01227</t>
  </si>
  <si>
    <t>ORD01228</t>
  </si>
  <si>
    <t>ORD01229</t>
  </si>
  <si>
    <t>ORD01230</t>
  </si>
  <si>
    <t>ORD01231</t>
  </si>
  <si>
    <t>C0169</t>
  </si>
  <si>
    <t>ORD01232</t>
  </si>
  <si>
    <t>ORD01233</t>
  </si>
  <si>
    <t>ORD01234</t>
  </si>
  <si>
    <t>C0279</t>
  </si>
  <si>
    <t>ORD01235</t>
  </si>
  <si>
    <t>ORD01236</t>
  </si>
  <si>
    <t>Customer 80</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</si>
  <si>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</si>
  <si>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</si>
  <si>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</si>
  <si>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</si>
  <si>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</si>
  <si>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</si>
  <si>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</si>
  <si>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</si>
  <si>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</si>
  <si>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</si>
  <si>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</si>
  <si>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</si>
  <si>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</si>
  <si>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</si>
  <si>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</si>
  <si>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</si>
  <si>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</si>
  <si>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</si>
  <si>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C0234</t>
  </si>
  <si>
    <t>ORD01255</t>
  </si>
  <si>
    <t>ORD01256</t>
  </si>
  <si>
    <t>ORD01257</t>
  </si>
  <si>
    <t>ORD01258</t>
  </si>
  <si>
    <t>ORD01259</t>
  </si>
  <si>
    <t>ORD01260</t>
  </si>
  <si>
    <t>ORD01261</t>
  </si>
  <si>
    <t>ORD01262</t>
  </si>
  <si>
    <t>2025-09-03</t>
  </si>
  <si>
    <t>ORD01263</t>
  </si>
  <si>
    <t>C0312</t>
  </si>
  <si>
    <t>ORD01264</t>
  </si>
  <si>
    <t>ORD01265</t>
  </si>
  <si>
    <t>Customer 209</t>
  </si>
  <si>
    <t>ORD01266</t>
  </si>
  <si>
    <t>ORD01267</t>
  </si>
  <si>
    <t>C0230</t>
  </si>
  <si>
    <t>ORD01268</t>
  </si>
  <si>
    <t>ORD01269</t>
  </si>
  <si>
    <t>ORD01270</t>
  </si>
  <si>
    <t>ORD01271</t>
  </si>
  <si>
    <t>ORD01272</t>
  </si>
  <si>
    <t>ORD01273</t>
  </si>
  <si>
    <t>ORD01274</t>
  </si>
  <si>
    <t>2025-05-24</t>
  </si>
  <si>
    <t>ORD01275</t>
  </si>
  <si>
    <t>2025-02-03</t>
  </si>
  <si>
    <t>ORD01276</t>
  </si>
  <si>
    <t>ORD01277</t>
  </si>
  <si>
    <t>ORD01278</t>
  </si>
  <si>
    <t>ORD01279</t>
  </si>
  <si>
    <t>ORD01280</t>
  </si>
  <si>
    <t>ORD01281</t>
  </si>
  <si>
    <t>Customer 44</t>
  </si>
  <si>
    <t>ORD01282</t>
  </si>
  <si>
    <t>ORD01283</t>
  </si>
  <si>
    <t>Customer 309</t>
  </si>
  <si>
    <t>ORD01284</t>
  </si>
  <si>
    <t>ORD01285</t>
  </si>
  <si>
    <t>ORD01286</t>
  </si>
  <si>
    <t>ORD01287</t>
  </si>
  <si>
    <t>ORD01288</t>
  </si>
  <si>
    <t>ORD01289</t>
  </si>
  <si>
    <t>ORD01290</t>
  </si>
  <si>
    <t>ORD01291</t>
  </si>
  <si>
    <t>ORD01292</t>
  </si>
  <si>
    <t>ORD01293</t>
  </si>
  <si>
    <t>Customer 355</t>
  </si>
  <si>
    <t>ORD01294</t>
  </si>
  <si>
    <t>ORD01295</t>
  </si>
  <si>
    <t>ORD01296</t>
  </si>
  <si>
    <t>2025-04-09</t>
  </si>
  <si>
    <t>ORD01297</t>
  </si>
  <si>
    <t>ORD01298</t>
  </si>
  <si>
    <t>C0237</t>
  </si>
  <si>
    <t>Customer 460</t>
  </si>
  <si>
    <t>ORD01299</t>
  </si>
  <si>
    <t>ORD01300</t>
  </si>
  <si>
    <t>ORD01301</t>
  </si>
  <si>
    <t>ORD01302</t>
  </si>
  <si>
    <t>ORD01303</t>
  </si>
  <si>
    <t>Customer 109</t>
  </si>
  <si>
    <t>ORD01304</t>
  </si>
  <si>
    <t>2025-04-28</t>
  </si>
  <si>
    <t>ORD01305</t>
  </si>
  <si>
    <t>2025-02-02</t>
  </si>
  <si>
    <t>ORD01306</t>
  </si>
  <si>
    <t>Customer 122</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</si>
  <si>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</si>
  <si>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</si>
  <si>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</si>
  <si>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</si>
  <si>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</si>
  <si>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</si>
  <si>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</si>
  <si>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</si>
  <si>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</si>
  <si>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</si>
  <si>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</si>
  <si>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</si>
  <si>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</si>
  <si>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</si>
  <si>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</si>
  <si>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</si>
  <si>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</si>
  <si>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</si>
  <si>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</si>
  <si>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C0084</t>
  </si>
  <si>
    <t>ORD01326</t>
  </si>
  <si>
    <t>ORD01327</t>
  </si>
  <si>
    <t>ORD01328</t>
  </si>
  <si>
    <t>ORD01329</t>
  </si>
  <si>
    <t>ORD01330</t>
  </si>
  <si>
    <t>ORD01331</t>
  </si>
  <si>
    <t>ORD01332</t>
  </si>
  <si>
    <t>ORD01333</t>
  </si>
  <si>
    <t>ORD01334</t>
  </si>
  <si>
    <t>ORD01335</t>
  </si>
  <si>
    <t>ORD01336</t>
  </si>
  <si>
    <t>ORD01337</t>
  </si>
  <si>
    <t>ORD01338</t>
  </si>
  <si>
    <t>C0141</t>
  </si>
  <si>
    <t>ORD01339</t>
  </si>
  <si>
    <t>ORD01340</t>
  </si>
  <si>
    <t>ORD01341</t>
  </si>
  <si>
    <t>Customer 462</t>
  </si>
  <si>
    <t>ORD01342</t>
  </si>
  <si>
    <t>ORD01343</t>
  </si>
  <si>
    <t>ORD01344</t>
  </si>
  <si>
    <t>ORD01345</t>
  </si>
  <si>
    <t>ORD01346</t>
  </si>
  <si>
    <t>ORD01347</t>
  </si>
  <si>
    <t>ORD01348</t>
  </si>
  <si>
    <t>ORD01349</t>
  </si>
  <si>
    <t>ORD01350</t>
  </si>
  <si>
    <t>C0163</t>
  </si>
  <si>
    <t>ORD01351</t>
  </si>
  <si>
    <t>Customer 347</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</si>
  <si>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</si>
  <si>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</si>
  <si>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</si>
  <si>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</si>
  <si>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</si>
  <si>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</si>
  <si>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</si>
  <si>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</si>
  <si>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</si>
  <si>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</si>
  <si>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</si>
  <si>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</si>
  <si>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</si>
  <si>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</si>
  <si>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</si>
  <si>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</si>
  <si>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</si>
  <si>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</si>
  <si>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</si>
  <si>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</si>
  <si>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</si>
  <si>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</si>
  <si>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</si>
  <si>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</si>
  <si>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</si>
  <si>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</si>
  <si>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</si>
  <si>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</si>
  <si>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</si>
  <si>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</si>
  <si>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Customer 189</t>
  </si>
  <si>
    <t>ORD01382</t>
  </si>
  <si>
    <t>ORD01383</t>
  </si>
  <si>
    <t>ORD01384</t>
  </si>
  <si>
    <t>ORD01385</t>
  </si>
  <si>
    <t>ORD01386</t>
  </si>
  <si>
    <t>ORD01387</t>
  </si>
  <si>
    <t>ORD01388</t>
  </si>
  <si>
    <t>ORD01389</t>
  </si>
  <si>
    <t>ORD01390</t>
  </si>
  <si>
    <t>ORD01391</t>
  </si>
  <si>
    <t>ORD01392</t>
  </si>
  <si>
    <t>2025-01-28</t>
  </si>
  <si>
    <t>ORD01393</t>
  </si>
  <si>
    <t>ORD01394</t>
  </si>
  <si>
    <t>ORD01395</t>
  </si>
  <si>
    <t>ORD01396</t>
  </si>
  <si>
    <t>ORD01397</t>
  </si>
  <si>
    <t>C0001</t>
  </si>
  <si>
    <t>ORD01398</t>
  </si>
  <si>
    <t>ORD01399</t>
  </si>
  <si>
    <t>ORD01400</t>
  </si>
  <si>
    <t>ORD01401</t>
  </si>
  <si>
    <t>ORD01402</t>
  </si>
  <si>
    <t>ORD01403</t>
  </si>
  <si>
    <t>ORD01404</t>
  </si>
  <si>
    <t>ORD01405</t>
  </si>
  <si>
    <t>ORD01406</t>
  </si>
  <si>
    <t>ORD01407</t>
  </si>
  <si>
    <t>ORD01408</t>
  </si>
  <si>
    <t>ORD01409</t>
  </si>
  <si>
    <t>ORD01410</t>
  </si>
  <si>
    <t>C0062</t>
  </si>
  <si>
    <t>ORD01411</t>
  </si>
  <si>
    <t>ORD01412</t>
  </si>
  <si>
    <t>C0444</t>
  </si>
  <si>
    <t>ORD01413</t>
  </si>
  <si>
    <t>ORD01414</t>
  </si>
  <si>
    <t>ORD01415</t>
  </si>
  <si>
    <t>ORD01416</t>
  </si>
  <si>
    <t>ORD01417</t>
  </si>
  <si>
    <t>ORD01418</t>
  </si>
  <si>
    <t>ORD01419</t>
  </si>
  <si>
    <t>C0014</t>
  </si>
  <si>
    <t>ORD01420</t>
  </si>
  <si>
    <t>ORD01421</t>
  </si>
  <si>
    <t>Customer 137</t>
  </si>
  <si>
    <t>ORD01422</t>
  </si>
  <si>
    <t>ORD01423</t>
  </si>
  <si>
    <t>C0364</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</si>
  <si>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</si>
  <si>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</si>
  <si>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</si>
  <si>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</si>
  <si>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</si>
  <si>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</si>
  <si>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</si>
  <si>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</si>
  <si>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</si>
  <si>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</si>
  <si>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</si>
  <si>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</si>
  <si>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</si>
  <si>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</si>
  <si>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</si>
  <si>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</si>
  <si>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2025-11-22</t>
  </si>
  <si>
    <t>ORD01440</t>
  </si>
  <si>
    <t>ORD01441</t>
  </si>
  <si>
    <t>ORD01442</t>
  </si>
  <si>
    <t>ORD01443</t>
  </si>
  <si>
    <t>ORD01444</t>
  </si>
  <si>
    <t>ORD01445</t>
  </si>
  <si>
    <t>ORD01446</t>
  </si>
  <si>
    <t>ORD01447</t>
  </si>
  <si>
    <t>ORD01448</t>
  </si>
  <si>
    <t>ORD01449</t>
  </si>
  <si>
    <t>ORD01450</t>
  </si>
  <si>
    <t>Customer 202</t>
  </si>
  <si>
    <t>ORD01451</t>
  </si>
  <si>
    <t>Customer 63</t>
  </si>
  <si>
    <t>ORD01452</t>
  </si>
  <si>
    <t>ORD01453</t>
  </si>
  <si>
    <t>ORD01454</t>
  </si>
  <si>
    <t>ORD01455</t>
  </si>
  <si>
    <t>ORD01456</t>
  </si>
  <si>
    <t>ORD01457</t>
  </si>
  <si>
    <t>ORD01458</t>
  </si>
  <si>
    <t>ORD01459</t>
  </si>
  <si>
    <t>2025-09-14</t>
  </si>
  <si>
    <t>ORD01460</t>
  </si>
  <si>
    <t>ORD01461</t>
  </si>
  <si>
    <t>ORD01462</t>
  </si>
  <si>
    <t>Customer 252</t>
  </si>
  <si>
    <t>ORD01463</t>
  </si>
  <si>
    <t>ORD01464</t>
  </si>
  <si>
    <t>ORD01465</t>
  </si>
  <si>
    <t>C0222</t>
  </si>
  <si>
    <t>ORD01466</t>
  </si>
  <si>
    <t>ORD01467</t>
  </si>
  <si>
    <t>C0055</t>
  </si>
  <si>
    <t>ORD01468</t>
  </si>
  <si>
    <t>ORD01469</t>
  </si>
  <si>
    <t>ORD01470</t>
  </si>
  <si>
    <t>ORD01471</t>
  </si>
  <si>
    <t>ORD01472</t>
  </si>
  <si>
    <t>ORD01473</t>
  </si>
  <si>
    <t>ORD01474</t>
  </si>
  <si>
    <t>ORD01475</t>
  </si>
  <si>
    <t>ORD01476</t>
  </si>
  <si>
    <t>ORD01477</t>
  </si>
  <si>
    <t>Customer 186</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</si>
  <si>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</si>
  <si>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</si>
  <si>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</si>
  <si>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</si>
  <si>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</si>
  <si>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</si>
  <si>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</si>
  <si>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</si>
  <si>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</si>
  <si>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</si>
  <si>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</si>
  <si>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</si>
  <si>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</si>
  <si>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</si>
  <si>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</si>
  <si>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</si>
  <si>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</si>
  <si>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</si>
  <si>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C0195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</si>
  <si>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</si>
  <si>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</si>
  <si>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</si>
  <si>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</si>
  <si>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</si>
  <si>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</si>
  <si>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</si>
  <si>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</si>
  <si>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</si>
  <si>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</si>
  <si>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</si>
  <si>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</si>
  <si>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</si>
  <si>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</si>
  <si>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</si>
  <si>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</si>
  <si>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</si>
  <si>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</si>
  <si>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</si>
  <si>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</si>
  <si>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</si>
  <si>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</si>
  <si>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</si>
  <si>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</si>
  <si>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</si>
  <si>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</si>
  <si>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</si>
  <si>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</si>
  <si>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</si>
  <si>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</si>
  <si>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</si>
  <si>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</si>
  <si>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</si>
  <si>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</si>
  <si>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</si>
  <si>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</si>
  <si>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</si>
  <si>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</si>
  <si>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</si>
  <si>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</si>
  <si>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</si>
  <si>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</si>
  <si>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</si>
  <si>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</si>
  <si>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</si>
  <si>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</si>
  <si>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</si>
  <si>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</si>
  <si>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</si>
  <si>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</si>
  <si>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</si>
  <si>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</si>
  <si>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</si>
  <si>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</si>
  <si>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</si>
  <si>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</si>
  <si>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</si>
  <si>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</si>
  <si>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C0073</t>
  </si>
  <si>
    <t>ORD01554</t>
  </si>
  <si>
    <t>ORD01555</t>
  </si>
  <si>
    <t>2025-07-23</t>
  </si>
  <si>
    <t>ORD01556</t>
  </si>
  <si>
    <t>ORD01557</t>
  </si>
  <si>
    <t>ORD01558</t>
  </si>
  <si>
    <t>ORD01559</t>
  </si>
  <si>
    <t>ORD01560</t>
  </si>
  <si>
    <t>ORD01561</t>
  </si>
  <si>
    <t>ORD01562</t>
  </si>
  <si>
    <t>ORD01563</t>
  </si>
  <si>
    <t>ORD01564</t>
  </si>
  <si>
    <t>ORD01565</t>
  </si>
  <si>
    <t>ORD01566</t>
  </si>
  <si>
    <t>C0317</t>
  </si>
  <si>
    <t>ORD01567</t>
  </si>
  <si>
    <t>Customer 4</t>
  </si>
  <si>
    <t>ORD01568</t>
  </si>
  <si>
    <t>ORD01569</t>
  </si>
  <si>
    <t>ORD01570</t>
  </si>
  <si>
    <t>C0293</t>
  </si>
  <si>
    <t>ORD01571</t>
  </si>
  <si>
    <t>ORD01572</t>
  </si>
  <si>
    <t>C0396</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</si>
  <si>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</si>
  <si>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</si>
  <si>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</si>
  <si>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</si>
  <si>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</si>
  <si>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</si>
  <si>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</si>
  <si>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</si>
  <si>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</si>
  <si>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</si>
  <si>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</si>
  <si>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</si>
  <si>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</si>
  <si>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</si>
  <si>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</si>
  <si>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</si>
  <si>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</si>
  <si>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</si>
  <si>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</si>
  <si>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</si>
  <si>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</si>
  <si>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</si>
  <si>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</si>
  <si>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</si>
  <si>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</si>
  <si>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</si>
  <si>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</si>
  <si>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</si>
  <si>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</si>
  <si>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</si>
  <si>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</si>
  <si>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</si>
  <si>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</si>
  <si>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</si>
  <si>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</si>
  <si>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</si>
  <si>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</si>
  <si>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</si>
  <si>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</si>
  <si>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</si>
  <si>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</si>
  <si>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</si>
  <si>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</si>
  <si>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</si>
  <si>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</si>
  <si>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Customer 188</t>
  </si>
  <si>
    <t>ORD01618</t>
  </si>
  <si>
    <t>ORD01619</t>
  </si>
  <si>
    <t>2025-11-24</t>
  </si>
  <si>
    <t>ORD01620</t>
  </si>
  <si>
    <t>ORD01621</t>
  </si>
  <si>
    <t>ORD01622</t>
  </si>
  <si>
    <t>Customer 54</t>
  </si>
  <si>
    <t>ORD01623</t>
  </si>
  <si>
    <t>Customer 93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</si>
  <si>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</si>
  <si>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</si>
  <si>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</si>
  <si>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</si>
  <si>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</si>
  <si>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</si>
  <si>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</si>
  <si>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</si>
  <si>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</si>
  <si>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</si>
  <si>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</si>
  <si>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</si>
  <si>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</si>
  <si>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</si>
  <si>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</si>
  <si>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</si>
  <si>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</si>
  <si>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</si>
  <si>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</si>
  <si>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</si>
  <si>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</si>
  <si>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</si>
  <si>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</si>
  <si>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</si>
  <si>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</si>
  <si>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</si>
  <si>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</si>
  <si>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</si>
  <si>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</si>
  <si>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</si>
  <si>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</si>
  <si>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</si>
  <si>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</si>
  <si>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</si>
  <si>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Customer 491</t>
  </si>
  <si>
    <t>ORD01658</t>
  </si>
  <si>
    <t>ORD01659</t>
  </si>
  <si>
    <t>ORD01660</t>
  </si>
  <si>
    <t>ORD01661</t>
  </si>
  <si>
    <t>ORD01662</t>
  </si>
  <si>
    <t>Customer 42</t>
  </si>
  <si>
    <t>ORD01663</t>
  </si>
  <si>
    <t>Customer 300</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</si>
  <si>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</si>
  <si>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</si>
  <si>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</si>
  <si>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</si>
  <si>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</si>
  <si>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</si>
  <si>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</si>
  <si>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</si>
  <si>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</si>
  <si>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</si>
  <si>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</si>
  <si>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</si>
  <si>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</si>
  <si>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</si>
  <si>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</si>
  <si>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</si>
  <si>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</si>
  <si>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</si>
  <si>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</si>
  <si>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</si>
  <si>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</si>
  <si>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</si>
  <si>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</si>
  <si>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</si>
  <si>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</si>
  <si>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</si>
  <si>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Customer 340</t>
  </si>
  <si>
    <t>ORD01690</t>
  </si>
  <si>
    <t>ORD01691</t>
  </si>
  <si>
    <t>ORD01692</t>
  </si>
  <si>
    <t>ORD01693</t>
  </si>
  <si>
    <t>ORD01694</t>
  </si>
  <si>
    <t>ORD01695</t>
  </si>
  <si>
    <t>C0474</t>
  </si>
  <si>
    <t>ORD01696</t>
  </si>
  <si>
    <t>ORD01697</t>
  </si>
  <si>
    <t>ORD01698</t>
  </si>
  <si>
    <t>ORD01699</t>
  </si>
  <si>
    <t>ORD01700</t>
  </si>
  <si>
    <t>ORD01701</t>
  </si>
  <si>
    <t>ORD01702</t>
  </si>
  <si>
    <t>C0002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</si>
  <si>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</si>
  <si>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</si>
  <si>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</si>
  <si>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</si>
  <si>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</si>
  <si>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</si>
  <si>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</si>
  <si>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</si>
  <si>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</si>
  <si>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</si>
  <si>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</si>
  <si>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</si>
  <si>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</si>
  <si>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</si>
  <si>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</si>
  <si>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</si>
  <si>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</si>
  <si>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</si>
  <si>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</si>
  <si>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</si>
  <si>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</si>
  <si>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</si>
  <si>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</si>
  <si>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</si>
  <si>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</si>
  <si>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C0221</t>
  </si>
  <si>
    <t>ORD01728</t>
  </si>
  <si>
    <t>C0272</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</si>
  <si>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</si>
  <si>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</si>
  <si>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</si>
  <si>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</si>
  <si>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</si>
  <si>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</si>
  <si>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</si>
  <si>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</si>
  <si>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</si>
  <si>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</si>
  <si>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</si>
  <si>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</si>
  <si>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</si>
  <si>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</si>
  <si>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</si>
  <si>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</si>
  <si>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</si>
  <si>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</si>
  <si>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Customer 470</t>
  </si>
  <si>
    <t>ORD01747</t>
  </si>
  <si>
    <t>ORD01748</t>
  </si>
  <si>
    <t>ORD01749</t>
  </si>
  <si>
    <t>ORD01750</t>
  </si>
  <si>
    <t>ORD01751</t>
  </si>
  <si>
    <t>ORD01752</t>
  </si>
  <si>
    <t>ORD01753</t>
  </si>
  <si>
    <t>ORD01754</t>
  </si>
  <si>
    <t>ORD01755</t>
  </si>
  <si>
    <t>ORD01756</t>
  </si>
  <si>
    <t>ORD01757</t>
  </si>
  <si>
    <t>ORD01758</t>
  </si>
  <si>
    <t>ORD01759</t>
  </si>
  <si>
    <t>ORD01760</t>
  </si>
  <si>
    <t>Customer 229</t>
  </si>
  <si>
    <t>ORD01761</t>
  </si>
  <si>
    <t>ORD01762</t>
  </si>
  <si>
    <t>ORD01763</t>
  </si>
  <si>
    <t>ORD01764</t>
  </si>
  <si>
    <t>ORD01765</t>
  </si>
  <si>
    <t>ORD01766</t>
  </si>
  <si>
    <t>C0332</t>
  </si>
  <si>
    <t>ORD01767</t>
  </si>
  <si>
    <t>ORD01768</t>
  </si>
  <si>
    <t>ORD01769</t>
  </si>
  <si>
    <t>ORD01770</t>
  </si>
  <si>
    <t>ORD01771</t>
  </si>
  <si>
    <t>ORD01772</t>
  </si>
  <si>
    <t>Customer 393</t>
  </si>
  <si>
    <t>ORD01773</t>
  </si>
  <si>
    <t>C0285</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</si>
  <si>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</si>
  <si>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</si>
  <si>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</si>
  <si>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</si>
  <si>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</si>
  <si>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</si>
  <si>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</si>
  <si>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</si>
  <si>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</si>
  <si>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</si>
  <si>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</si>
  <si>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</si>
  <si>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</si>
  <si>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</si>
  <si>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</si>
  <si>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</si>
  <si>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</si>
  <si>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Customer 473</t>
  </si>
  <si>
    <t>ORD01791</t>
  </si>
  <si>
    <t>C0372</t>
  </si>
  <si>
    <t>ORD01792</t>
  </si>
  <si>
    <t>ORD01793</t>
  </si>
  <si>
    <t>ORD01794</t>
  </si>
  <si>
    <t>ORD01795</t>
  </si>
  <si>
    <t>ORD01796</t>
  </si>
  <si>
    <t>Customer 203</t>
  </si>
  <si>
    <t>ORD01797</t>
  </si>
  <si>
    <t>2025-02-09</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</si>
  <si>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</si>
  <si>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</si>
  <si>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</si>
  <si>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</si>
  <si>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</si>
  <si>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</si>
  <si>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</si>
  <si>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</si>
  <si>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</si>
  <si>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</si>
  <si>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</si>
  <si>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</si>
  <si>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</si>
  <si>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</si>
  <si>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</si>
  <si>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</si>
  <si>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</si>
  <si>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</si>
  <si>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</si>
  <si>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</si>
  <si>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</si>
  <si>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</si>
  <si>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</si>
  <si>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</si>
  <si>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</si>
  <si>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</si>
  <si>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</si>
  <si>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</si>
  <si>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</si>
  <si>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</si>
  <si>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C0343</t>
  </si>
  <si>
    <t>ORD01828</t>
  </si>
  <si>
    <t>ORD01829</t>
  </si>
  <si>
    <t>ORD01830</t>
  </si>
  <si>
    <t>ORD01831</t>
  </si>
  <si>
    <t>ORD01832</t>
  </si>
  <si>
    <t>ORD01833</t>
  </si>
  <si>
    <t>ORD01834</t>
  </si>
  <si>
    <t>ORD01835</t>
  </si>
  <si>
    <t>C0251</t>
  </si>
  <si>
    <t>ORD01836</t>
  </si>
  <si>
    <t>ORD01837</t>
  </si>
  <si>
    <t>ORD01838</t>
  </si>
  <si>
    <t>ORD01839</t>
  </si>
  <si>
    <t>ORD01840</t>
  </si>
  <si>
    <t>ORD01841</t>
  </si>
  <si>
    <t>ORD01842</t>
  </si>
  <si>
    <t>ORD01843</t>
  </si>
  <si>
    <t>ORD01844</t>
  </si>
  <si>
    <t>Customer 230</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</si>
  <si>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</si>
  <si>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</si>
  <si>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</si>
  <si>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</si>
  <si>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</si>
  <si>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</si>
  <si>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</si>
  <si>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</si>
  <si>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</si>
  <si>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</si>
  <si>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</si>
  <si>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</si>
  <si>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</si>
  <si>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</si>
  <si>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</si>
  <si>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</si>
  <si>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</si>
  <si>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</si>
  <si>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</si>
  <si>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</si>
  <si>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</si>
  <si>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</si>
  <si>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</si>
  <si>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</si>
  <si>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</si>
  <si>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</si>
  <si>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</si>
  <si>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</si>
  <si>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</si>
  <si>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</si>
  <si>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</si>
  <si>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</si>
  <si>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</si>
  <si>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</si>
  <si>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</si>
  <si>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</si>
  <si>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</si>
  <si>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</si>
  <si>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</si>
  <si>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</si>
  <si>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</si>
  <si>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</si>
  <si>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</si>
  <si>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</si>
  <si>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</si>
  <si>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</si>
  <si>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</si>
  <si>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</si>
  <si>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</si>
  <si>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</si>
  <si>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</si>
  <si>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</si>
  <si>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</si>
  <si>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Customer 287</t>
  </si>
  <si>
    <t>ORD01898</t>
  </si>
  <si>
    <t>ORD01899</t>
  </si>
  <si>
    <t>ORD01900</t>
  </si>
  <si>
    <t>ORD01901</t>
  </si>
  <si>
    <t>ORD01902</t>
  </si>
  <si>
    <t>ORD01903</t>
  </si>
  <si>
    <t>ORD01904</t>
  </si>
  <si>
    <t>ORD01905</t>
  </si>
  <si>
    <t>ORD01906</t>
  </si>
  <si>
    <t>ORD01907</t>
  </si>
  <si>
    <t>ORD01908</t>
  </si>
  <si>
    <t>ORD01909</t>
  </si>
  <si>
    <t>C0013</t>
  </si>
  <si>
    <t>ORD01910</t>
  </si>
  <si>
    <t>Customer 210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</si>
  <si>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</si>
  <si>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</si>
  <si>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</si>
  <si>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</si>
  <si>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</si>
  <si>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</si>
  <si>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</si>
  <si>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</si>
  <si>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</si>
  <si>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</si>
  <si>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</si>
  <si>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</si>
  <si>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</si>
  <si>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</si>
  <si>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</si>
  <si>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</si>
  <si>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</si>
  <si>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</si>
  <si>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</si>
  <si>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</si>
  <si>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</si>
  <si>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</si>
  <si>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</si>
  <si>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</si>
  <si>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</si>
  <si>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</si>
  <si>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</si>
  <si>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</si>
  <si>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</si>
  <si>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</si>
  <si>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</si>
  <si>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</si>
  <si>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</si>
  <si>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</si>
  <si>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</si>
  <si>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</si>
  <si>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</si>
  <si>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</si>
  <si>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</si>
  <si>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Customer 453</t>
  </si>
  <si>
    <t>ORD01950</t>
  </si>
  <si>
    <t>ORD01951</t>
  </si>
  <si>
    <t>ORD01952</t>
  </si>
  <si>
    <t>ORD01953</t>
  </si>
  <si>
    <t>ORD01954</t>
  </si>
  <si>
    <t>ORD01955</t>
  </si>
  <si>
    <t>ORD01956</t>
  </si>
  <si>
    <t>ORD01957</t>
  </si>
  <si>
    <t>ORD01958</t>
  </si>
  <si>
    <t>ORD01959</t>
  </si>
  <si>
    <t>ORD01960</t>
  </si>
  <si>
    <t>ORD01961</t>
  </si>
  <si>
    <t>2025-01-06</t>
  </si>
  <si>
    <t>ORD01962</t>
  </si>
  <si>
    <t>ORD01963</t>
  </si>
  <si>
    <t>ORD01964</t>
  </si>
  <si>
    <t>ORD01965</t>
  </si>
  <si>
    <t>ORD01966</t>
  </si>
  <si>
    <t>ORD01967</t>
  </si>
  <si>
    <t>ORD01968</t>
  </si>
  <si>
    <t>ORD01969</t>
  </si>
  <si>
    <t>ORD01970</t>
  </si>
  <si>
    <t>ORD01971</t>
  </si>
  <si>
    <t>ORD01972</t>
  </si>
  <si>
    <t>ORD01973</t>
  </si>
  <si>
    <t>Customer 320</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</si>
  <si>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</si>
  <si>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</si>
  <si>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</si>
  <si>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</si>
  <si>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</si>
  <si>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</si>
  <si>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</si>
  <si>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</si>
  <si>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</si>
  <si>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</si>
  <si>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</si>
  <si>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</si>
  <si>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</si>
  <si>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</si>
  <si>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</si>
  <si>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</si>
  <si>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</si>
  <si>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</si>
  <si>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</si>
  <si>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</si>
  <si>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</si>
  <si>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</si>
  <si>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</si>
  <si>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</si>
  <si>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</si>
  <si>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</si>
  <si>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</si>
  <si>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We'll answer questions like:</t>
  </si>
  <si>
    <t>1. Total Sales</t>
  </si>
  <si>
    <t>2. Total Profit</t>
  </si>
  <si>
    <t>3. Average Order Value</t>
  </si>
  <si>
    <t>4. Total Orders</t>
  </si>
  <si>
    <t>5. Best-selling Product</t>
  </si>
  <si>
    <t>6. Best-selling Category</t>
  </si>
  <si>
    <t>7. Top 10 Customers</t>
  </si>
  <si>
    <t>8. Sales by Region</t>
  </si>
  <si>
    <t>9. Monthly Sales Trend</t>
  </si>
  <si>
    <t>10. Payment Method Distribution</t>
  </si>
  <si>
    <t>Month</t>
  </si>
  <si>
    <t>May</t>
  </si>
  <si>
    <t>Total Sales</t>
  </si>
  <si>
    <t>Total Profit</t>
  </si>
  <si>
    <t>Grand Total</t>
  </si>
  <si>
    <t>Count of Order ID</t>
  </si>
  <si>
    <t>Total Orders</t>
  </si>
  <si>
    <t>Count of Customer ID</t>
  </si>
  <si>
    <t>Column1</t>
  </si>
  <si>
    <t xml:space="preserve">Average Order Value </t>
  </si>
  <si>
    <t xml:space="preserve">Total Sales </t>
  </si>
  <si>
    <t>Jan</t>
  </si>
  <si>
    <t>Feb</t>
  </si>
  <si>
    <t>Mar</t>
  </si>
  <si>
    <t>Apr</t>
  </si>
  <si>
    <t>Jun</t>
  </si>
  <si>
    <t>Jul</t>
  </si>
  <si>
    <t>Aug</t>
  </si>
  <si>
    <t>Sep</t>
  </si>
  <si>
    <t>Oct</t>
  </si>
  <si>
    <t>Dec</t>
  </si>
  <si>
    <t>Nov</t>
  </si>
  <si>
    <t>AOV</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</si>
</sst>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4" formatCode="_(&quot;$&quot;* #,##0.00_);_(&quot;$&quot;* \(#,##0.00\);_(&quot;$&quot;* &quot;-&quot;??_);_(@_)"/>
    <numFmt numFmtId="43" formatCode="_(* #,##0.00_);_(* \(#,##0.00\);_(* &quot;-&quot;??_);_(@_)"/>
    <numFmt numFmtId="164" formatCode="_(&quot;$&quot;* #,##0_);_(&quot;$&quot;* \(#,##0\);_(&quot;$&quot;* &quot;-&quot;??_);_(@_)"/>
    <numFmt numFmtId="165" formatCode="000"/>
    <numFmt numFmtId="166" formatCode="[$-F800]dddd\,\ mmmm\ dd\,\ yyyy"/>
    <numFmt numFmtId="167" formatCode="_(* #,##0_);_(* \(#,##0\);_(* &quot;-&quot;??_);_(@_)"/>
    <numFmt numFmtId="168" formatCode="&quot;$&quot;#,##0.00"/>
  </numFmts>
  <fonts count="3" x14ac:knownFonts="1">
    <font>
      <sz val="11"/>
      <color theme="1"/>
      <name val="Trebuchet MS"/>
      <family val="2"/>
      <scheme val="minor"/>
    </font>
    <font>
      <sz val="11"/>
      <color theme="1"/>
      <name val="Trebuchet MS"/>
      <family val="2"/>
      <scheme val="minor"/>
    </font>
    <font>
      <b/>
      <sz val="11"/>
      <color theme="1"/>
      <name val="Trebuchet MS"/>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23">
    <xf numFmtId="0" fontId="0" fillId="0" borderId="0" xfId="0"/>
    <xf numFmtId="0" fontId="0" fillId="0" borderId="0" xfId="0" applyAlignment="1">
      <alignment horizontal="left" vertical="center" indent="1"/>
    </xf>
    <xf numFmtId="9" fontId="0" fillId="0" borderId="0" xfId="2" applyFont="1"/>
    <xf numFmtId="164" fontId="0" fillId="0" borderId="0" xfId="1" applyNumberFormat="1" applyFont="1"/>
    <xf numFmtId="49" fontId="0" fillId="0" borderId="0" xfId="0" applyNumberFormat="1"/>
    <xf numFmtId="2" fontId="0" fillId="0" borderId="0" xfId="0" applyNumberFormat="1"/>
    <xf numFmtId="1" fontId="0" fillId="0" borderId="0" xfId="0" applyNumberFormat="1"/>
    <xf numFmtId="165" fontId="0" fillId="0" borderId="0" xfId="0" applyNumberFormat="1"/>
    <xf numFmtId="0" fontId="0" fillId="0" borderId="0" xfId="0" pivotButton="1"/>
    <xf numFmtId="166" fontId="0" fillId="0" borderId="0" xfId="0" applyNumberFormat="1"/>
    <xf numFmtId="165" fontId="0" fillId="0" borderId="0" xfId="0" applyNumberFormat="1" applyAlignment="1"/>
    <xf numFmtId="165" fontId="0" fillId="0" borderId="0" xfId="0" applyNumberFormat="1" applyFont="1" applyAlignment="1"/>
    <xf numFmtId="164" fontId="0" fillId="0" borderId="0" xfId="0" applyNumberFormat="1"/>
    <xf numFmtId="44" fontId="0" fillId="0" borderId="0" xfId="0" applyNumberFormat="1"/>
    <xf numFmtId="0" fontId="0" fillId="0" borderId="0" xfId="0" applyAlignment="1">
      <alignment horizontal="left"/>
    </xf>
    <xf numFmtId="37" fontId="0" fillId="0" borderId="0" xfId="0" applyNumberFormat="1"/>
    <xf numFmtId="164" fontId="0" fillId="0" borderId="0" xfId="0" applyNumberFormat="1" applyAlignment="1">
      <alignment horizontal="left"/>
    </xf>
    <xf numFmtId="9" fontId="0" fillId="0" borderId="0" xfId="0" applyNumberFormat="1"/>
    <xf numFmtId="0" fontId="2" fillId="0" borderId="0" xfId="0" pivotButton="1" applyFont="1"/>
    <xf numFmtId="167" fontId="0" fillId="0" borderId="0" xfId="3" applyNumberFormat="1" applyFont="1"/>
    <xf numFmtId="14" fontId="0" fillId="0" borderId="0" xfId="0" applyNumberFormat="1"/>
    <xf numFmtId="168" fontId="0" fillId="0" borderId="0" xfId="1" applyNumberFormat="1" applyFont="1"/>
    <xf numFmtId="0" fontId="0" fillId="2" borderId="0" xfId="0" applyFill="1"/>
  </cellXfs>
  <cellStyles count="4">
    <cellStyle name="Comma" xfId="3" builtinId="3"/>
    <cellStyle name="Currency" xfId="1" builtinId="4"/>
    <cellStyle name="Normal" xfId="0" builtinId="0"/>
    <cellStyle name="Percent" xfId="2" builtinId="5"/>
  </cellStyles>
  <dxfs count="59">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Trebuchet MS"/>
        <scheme val="minor"/>
      </font>
    </dxf>
    <dxf>
      <numFmt numFmtId="164" formatCode="_(&quot;$&quot;* #,##0_);_(&quot;$&quot;* \(#,##0\);_(&quot;$&quot;* &quot;-&quot;??_);_(@_)"/>
    </dxf>
    <dxf>
      <numFmt numFmtId="165" formatCode="000"/>
      <alignment horizontal="general" vertical="bottom" textRotation="0" wrapText="0" indent="0" justifyLastLine="0" shrinkToFit="0" readingOrder="0"/>
    </dxf>
    <dxf>
      <numFmt numFmtId="19" formatCode="dd/mm/yy"/>
    </dxf>
    <dxf>
      <numFmt numFmtId="166" formatCode="[$-F800]dddd\,\ mmmm\ dd\,\ yyyy"/>
    </dxf>
    <dxf>
      <fill>
        <patternFill patternType="none">
          <fgColor indexed="64"/>
          <bgColor indexed="65"/>
        </patternFill>
      </fill>
    </dxf>
    <dxf>
      <numFmt numFmtId="1" formatCode="0"/>
    </dxf>
    <dxf>
      <numFmt numFmtId="164" formatCode="_(&quot;$&quot;* #,##0_);_(&quot;$&quot;* \(#,##0\);_(&quot;$&quot;* &quot;-&quot;??_);_(@_)"/>
    </dxf>
    <dxf>
      <numFmt numFmtId="164" formatCode="_(&quot;$&quot;* #,##0_);_(&quot;$&quot;* \(#,##0\);_(&quot;$&quot;* &quot;-&quot;??_);_(@_)"/>
    </dxf>
    <dxf>
      <numFmt numFmtId="5" formatCode="#,##0_);\(#,##0\)"/>
    </dxf>
    <dxf>
      <numFmt numFmtId="34" formatCode="_(&quot;$&quot;* #,##0.00_);_(&quot;$&quot;* \(#,##0.00\);_(&quot;$&quot;* &quot;-&quot;??_);_(@_)"/>
    </dxf>
    <dxf>
      <numFmt numFmtId="164" formatCode="_(&quot;$&quot;* #,##0_);_(&quot;$&quot;* \(#,##0\);_(&quot;$&quot;* &quot;-&quot;??_);_(@_)"/>
    </dxf>
    <dxf>
      <numFmt numFmtId="34" formatCode="_(&quot;$&quot;* #,##0.00_);_(&quot;$&quot;* \(#,##0.00\);_(&quot;$&quot;* &quot;-&quot;??_);_(@_)"/>
    </dxf>
    <dxf>
      <numFmt numFmtId="5" formatCode="#,##0_);\(#,##0\)"/>
    </dxf>
    <dxf>
      <numFmt numFmtId="34" formatCode="_(&quot;$&quot;* #,##0.00_);_(&quot;$&quot;* \(#,##0.00\);_(&quot;$&quot;* &quot;-&quot;??_);_(@_)"/>
    </dxf>
    <dxf>
      <font>
        <b/>
      </font>
    </dxf>
    <dxf>
      <numFmt numFmtId="164" formatCode="_(&quot;$&quot;* #,##0_);_(&quot;$&quot;* \(#,##0\);_(&quot;$&quot;* &quot;-&quot;??_);_(@_)"/>
    </dxf>
    <dxf>
      <numFmt numFmtId="5" formatCode="#,##0_);\(#,##0\)"/>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5" formatCode="#,##0_);\(#,##0\)"/>
    </dxf>
    <dxf>
      <numFmt numFmtId="34" formatCode="_(&quot;$&quot;* #,##0.00_);_(&quot;$&quot;* \(#,##0.00\);_(&quot;$&quot;* &quot;-&quot;??_);_(@_)"/>
    </dxf>
    <dxf>
      <numFmt numFmtId="2" formatCode="0.00"/>
    </dxf>
    <dxf>
      <numFmt numFmtId="169" formatCode="_([$$-409]* #,##0.00_);_([$$-409]* \(#,##0.00\);_([$$-409]* &quot;-&quot;??_);_(@_)"/>
    </dxf>
    <dxf>
      <numFmt numFmtId="164" formatCode="_(&quot;$&quot;* #,##0_);_(&quot;$&quot;* \(#,##0\);_(&quot;$&quot;* &quot;-&quot;??_);_(@_)"/>
    </dxf>
    <dxf>
      <numFmt numFmtId="34" formatCode="_(&quot;$&quot;* #,##0.00_);_(&quot;$&quot;* \(#,##0.00\);_(&quot;$&quot;* &quot;-&quot;??_);_(@_)"/>
    </dxf>
    <dxf>
      <numFmt numFmtId="5" formatCode="#,##0_);\(#,##0\)"/>
    </dxf>
    <dxf>
      <numFmt numFmtId="34" formatCode="_(&quot;$&quot;* #,##0.00_);_(&quot;$&quot;* \(#,##0.00\);_(&quot;$&quot;* &quot;-&quot;??_);_(@_)"/>
    </dxf>
    <dxf>
      <numFmt numFmtId="13" formatCode="0%"/>
    </dxf>
    <dxf>
      <numFmt numFmtId="14" formatCode="0.00%"/>
    </dxf>
    <dxf>
      <numFmt numFmtId="164" formatCode="_(&quot;$&quot;* #,##0_);_(&quot;$&quot;* \(#,##0\);_(&quot;$&quot;* &quot;-&quot;??_);_(@_)"/>
    </dxf>
    <dxf>
      <numFmt numFmtId="34" formatCode="_(&quot;$&quot;* #,##0.00_);_(&quot;$&quot;* \(#,##0.00\);_(&quot;$&quot;* &quot;-&quot;??_);_(@_)"/>
    </dxf>
    <dxf>
      <numFmt numFmtId="13" formatCode="0%"/>
    </dxf>
    <dxf>
      <numFmt numFmtId="13" formatCode="0%"/>
    </dxf>
    <dxf>
      <numFmt numFmtId="13" formatCode="0%"/>
    </dxf>
    <dxf>
      <numFmt numFmtId="14" formatCode="0.00%"/>
    </dxf>
    <dxf>
      <numFmt numFmtId="164" formatCode="_(&quot;$&quot;* #,##0_);_(&quot;$&quot;* \(#,##0\);_(&quot;$&quot;* &quot;-&quot;??_);_(@_)"/>
    </dxf>
    <dxf>
      <numFmt numFmtId="5" formatCode="#,##0_);\(#,##0\)"/>
    </dxf>
    <dxf>
      <numFmt numFmtId="34" formatCode="_(&quot;$&quot;* #,##0.00_);_(&quot;$&quot;* \(#,##0.00\);_(&quot;$&quot;* &quot;-&quot;??_);_(@_)"/>
    </dxf>
    <dxf>
      <numFmt numFmtId="5" formatCode="#,##0_);\(#,##0\)"/>
    </dxf>
    <dxf>
      <numFmt numFmtId="34" formatCode="_(&quot;$&quot;* #,##0.00_);_(&quot;$&quot;* \(#,##0.00\);_(&quot;$&quot;* &quot;-&quot;??_);_(@_)"/>
    </dxf>
    <dxf>
      <font>
        <b/>
      </font>
    </dxf>
    <dxf>
      <numFmt numFmtId="164" formatCode="_(&quot;$&quot;* #,##0_);_(&quot;$&quot;* \(#,##0\);_(&quot;$&quot;* &quot;-&quot;??_);_(@_)"/>
    </dxf>
    <dxf>
      <numFmt numFmtId="5" formatCode="#,##0_);\(#,##0\)"/>
    </dxf>
    <dxf>
      <numFmt numFmtId="34" formatCode="_(&quot;$&quot;* #,##0.00_);_(&quot;$&quot;* \(#,##0.00\);_(&quot;$&quot;* &quot;-&quot;??_);_(@_)"/>
    </dxf>
    <dxf>
      <numFmt numFmtId="164" formatCode="_(&quot;$&quot;* #,##0_);_(&quot;$&quot;* \(#,##0\);_(&quot;$&quot;* &quot;-&quot;??_);_(@_)"/>
    </dxf>
    <dxf>
      <numFmt numFmtId="5" formatCode="#,##0_);\(#,##0\)"/>
    </dxf>
    <dxf>
      <numFmt numFmtId="34" formatCode="_(&quot;$&quot;* #,##0.00_);_(&quot;$&quot;* \(#,##0.00\);_(&quot;$&quot;* &quot;-&quot;??_);_(@_)"/>
    </dxf>
    <dxf>
      <font>
        <b/>
      </font>
    </dxf>
    <dxf>
      <numFmt numFmtId="164" formatCode="_(&quot;$&quot;* #,##0_);_(&quot;$&quot;* \(#,##0\);_(&quot;$&quot;* &quot;-&quot;??_);_(@_)"/>
    </dxf>
    <dxf>
      <numFmt numFmtId="164" formatCode="_(&quot;$&quot;* #,##0_);_(&quot;$&quot;* \(#,##0\);_(&quot;$&quot;* &quot;-&quot;??_);_(@_)"/>
    </dxf>
    <dxf>
      <numFmt numFmtId="5" formatCode="#,##0_);\(#,##0\)"/>
    </dxf>
    <dxf>
      <numFmt numFmtId="34" formatCode="_(&quot;$&quot;* #,##0.00_);_(&quot;$&quot;* \(#,##0.0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 FINAL.xlsx]PIVOT TABLE!PivotTable6</c:name>
    <c:fmtId val="3"/>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solidFill>
                  <a:schemeClr val="tx2"/>
                </a:solidFill>
              </a:rPr>
              <a:t>TOTAL</a:t>
            </a:r>
            <a:r>
              <a:rPr lang="en-US" sz="1050" b="1" baseline="0">
                <a:solidFill>
                  <a:schemeClr val="tx2"/>
                </a:solidFill>
              </a:rPr>
              <a:t> SALES BY PRODUCT CATEGORY</a:t>
            </a:r>
            <a:endParaRPr lang="en-US" sz="1050" b="1">
              <a:solidFill>
                <a:schemeClr val="tx2"/>
              </a:solidFill>
            </a:endParaRPr>
          </a:p>
        </c:rich>
      </c:tx>
      <c:layout>
        <c:manualLayout>
          <c:xMode val="edge"/>
          <c:yMode val="edge"/>
          <c:x val="0.18053653672280959"/>
          <c:y val="4.0287766741232522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3921819281421863E-2"/>
          <c:y val="0.18819304079057075"/>
          <c:w val="0.92106136811361894"/>
          <c:h val="0.67622601860809606"/>
        </c:manualLayout>
      </c:layout>
      <c:barChart>
        <c:barDir val="col"/>
        <c:grouping val="clustered"/>
        <c:varyColors val="0"/>
        <c:ser>
          <c:idx val="0"/>
          <c:order val="0"/>
          <c:tx>
            <c:strRef>
              <c:f>'PIVOT TABLE'!$C$6</c:f>
              <c:strCache>
                <c:ptCount val="1"/>
                <c:pt idx="0">
                  <c:v>Total</c:v>
                </c:pt>
              </c:strCache>
            </c:strRef>
          </c:tx>
          <c:spPr>
            <a:solidFill>
              <a:schemeClr val="accent1"/>
            </a:solidFill>
            <a:ln>
              <a:noFill/>
            </a:ln>
            <a:effectLst/>
          </c:spPr>
          <c:invertIfNegative val="0"/>
          <c:dLbls>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TABLE'!$B$7:$B$11</c:f>
              <c:strCache>
                <c:ptCount val="4"/>
                <c:pt idx="0">
                  <c:v>Fashion</c:v>
                </c:pt>
                <c:pt idx="1">
                  <c:v>Electronics</c:v>
                </c:pt>
                <c:pt idx="2">
                  <c:v>Home</c:v>
                </c:pt>
                <c:pt idx="3">
                  <c:v>Groceries</c:v>
                </c:pt>
              </c:strCache>
            </c:strRef>
          </c:cat>
          <c:val>
            <c:numRef>
              <c:f>'PIVOT TABLE'!$C$7:$C$11</c:f>
              <c:numCache>
                <c:formatCode>_("$"* #,##0_);_("$"* \(#,##0\);_("$"* "-"??_);_(@_)</c:formatCode>
                <c:ptCount val="4"/>
                <c:pt idx="0">
                  <c:v>286687.5199999999</c:v>
                </c:pt>
                <c:pt idx="1">
                  <c:v>275026.58999999997</c:v>
                </c:pt>
                <c:pt idx="2">
                  <c:v>255617.61000000028</c:v>
                </c:pt>
                <c:pt idx="3">
                  <c:v>246153.9699999998</c:v>
                </c:pt>
              </c:numCache>
            </c:numRef>
          </c:val>
        </c:ser>
        <c:dLbls>
          <c:dLblPos val="outEnd"/>
          <c:showLegendKey val="0"/>
          <c:showVal val="1"/>
          <c:showCatName val="0"/>
          <c:showSerName val="0"/>
          <c:showPercent val="0"/>
          <c:showBubbleSize val="0"/>
        </c:dLbls>
        <c:gapWidth val="219"/>
        <c:overlap val="-27"/>
        <c:axId val="309812920"/>
        <c:axId val="309812136"/>
      </c:barChart>
      <c:catAx>
        <c:axId val="3098129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2">
                    <a:lumMod val="75000"/>
                  </a:schemeClr>
                </a:solidFill>
                <a:latin typeface="+mn-lt"/>
                <a:ea typeface="+mn-ea"/>
                <a:cs typeface="+mn-cs"/>
              </a:defRPr>
            </a:pPr>
            <a:endParaRPr lang="en-US"/>
          </a:p>
        </c:txPr>
        <c:crossAx val="309812136"/>
        <c:crosses val="autoZero"/>
        <c:auto val="1"/>
        <c:lblAlgn val="ctr"/>
        <c:lblOffset val="100"/>
        <c:noMultiLvlLbl val="0"/>
      </c:catAx>
      <c:valAx>
        <c:axId val="309812136"/>
        <c:scaling>
          <c:orientation val="minMax"/>
        </c:scaling>
        <c:delete val="1"/>
        <c:axPos val="l"/>
        <c:numFmt formatCode="_(&quot;$&quot;* #,##0_);_(&quot;$&quot;* \(#,##0\);_(&quot;$&quot;* &quot;-&quot;??_);_(@_)" sourceLinked="1"/>
        <c:majorTickMark val="none"/>
        <c:minorTickMark val="none"/>
        <c:tickLblPos val="nextTo"/>
        <c:crossAx val="309812920"/>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 FINAL.xlsx]PIVOT TABLE!PivotTable10</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tx2"/>
                </a:solidFill>
              </a:rPr>
              <a:t>TOTAL</a:t>
            </a:r>
            <a:r>
              <a:rPr lang="en-US" sz="1050" b="1" baseline="0">
                <a:solidFill>
                  <a:schemeClr val="tx2"/>
                </a:solidFill>
              </a:rPr>
              <a:t> SALES BY REGION</a:t>
            </a:r>
            <a:endParaRPr lang="en-US" sz="1050" b="1">
              <a:solidFill>
                <a:schemeClr val="tx2"/>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dLbl>
          <c:idx val="0"/>
          <c:layout>
            <c:manualLayout>
              <c:x val="1.5767607808690423E-2"/>
              <c:y val="3.205623319571867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TABLE'!$I$19</c:f>
              <c:strCache>
                <c:ptCount val="1"/>
                <c:pt idx="0">
                  <c:v>Total</c:v>
                </c:pt>
              </c:strCache>
            </c:strRef>
          </c:tx>
          <c:spPr>
            <a:solidFill>
              <a:schemeClr val="accent1"/>
            </a:solidFill>
            <a:ln>
              <a:noFill/>
            </a:ln>
            <a:effectLst/>
          </c:spPr>
          <c:invertIfNegative val="0"/>
          <c:dPt>
            <c:idx val="3"/>
            <c:invertIfNegative val="0"/>
            <c:bubble3D val="0"/>
          </c:dPt>
          <c:dLbls>
            <c:dLbl>
              <c:idx val="3"/>
              <c:layout>
                <c:manualLayout>
                  <c:x val="1.5767607808690423E-2"/>
                  <c:y val="3.2056233195718674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TABLE'!$H$20:$H$25</c:f>
              <c:strCache>
                <c:ptCount val="5"/>
                <c:pt idx="0">
                  <c:v>Port Harcourt</c:v>
                </c:pt>
                <c:pt idx="1">
                  <c:v>Lagos</c:v>
                </c:pt>
                <c:pt idx="2">
                  <c:v>Abuja</c:v>
                </c:pt>
                <c:pt idx="3">
                  <c:v>Ibadan</c:v>
                </c:pt>
                <c:pt idx="4">
                  <c:v>Kano</c:v>
                </c:pt>
              </c:strCache>
            </c:strRef>
          </c:cat>
          <c:val>
            <c:numRef>
              <c:f>'PIVOT TABLE'!$I$20:$I$25</c:f>
              <c:numCache>
                <c:formatCode>_("$"* #,##0_);_("$"* \(#,##0\);_("$"* "-"??_);_(@_)</c:formatCode>
                <c:ptCount val="5"/>
                <c:pt idx="0">
                  <c:v>227289.12000000011</c:v>
                </c:pt>
                <c:pt idx="1">
                  <c:v>220750.78000000003</c:v>
                </c:pt>
                <c:pt idx="2">
                  <c:v>212676.13</c:v>
                </c:pt>
                <c:pt idx="3">
                  <c:v>210433.77999999988</c:v>
                </c:pt>
                <c:pt idx="4">
                  <c:v>192335.88000000006</c:v>
                </c:pt>
              </c:numCache>
            </c:numRef>
          </c:val>
        </c:ser>
        <c:dLbls>
          <c:showLegendKey val="0"/>
          <c:showVal val="0"/>
          <c:showCatName val="0"/>
          <c:showSerName val="0"/>
          <c:showPercent val="0"/>
          <c:showBubbleSize val="0"/>
        </c:dLbls>
        <c:gapWidth val="219"/>
        <c:overlap val="-27"/>
        <c:axId val="309811352"/>
        <c:axId val="309808216"/>
      </c:barChart>
      <c:catAx>
        <c:axId val="3098113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2">
                    <a:lumMod val="75000"/>
                  </a:schemeClr>
                </a:solidFill>
                <a:latin typeface="+mn-lt"/>
                <a:ea typeface="+mn-ea"/>
                <a:cs typeface="+mn-cs"/>
              </a:defRPr>
            </a:pPr>
            <a:endParaRPr lang="en-US"/>
          </a:p>
        </c:txPr>
        <c:crossAx val="309808216"/>
        <c:crosses val="autoZero"/>
        <c:auto val="1"/>
        <c:lblAlgn val="ctr"/>
        <c:lblOffset val="100"/>
        <c:noMultiLvlLbl val="0"/>
      </c:catAx>
      <c:valAx>
        <c:axId val="309808216"/>
        <c:scaling>
          <c:orientation val="minMax"/>
        </c:scaling>
        <c:delete val="1"/>
        <c:axPos val="l"/>
        <c:numFmt formatCode="_(&quot;$&quot;* #,##0_);_(&quot;$&quot;* \(#,##0\);_(&quot;$&quot;* &quot;-&quot;??_);_(@_)" sourceLinked="1"/>
        <c:majorTickMark val="none"/>
        <c:minorTickMark val="none"/>
        <c:tickLblPos val="nextTo"/>
        <c:crossAx val="3098113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 FINAL.xlsx]PIVOT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tx2"/>
                </a:solidFill>
              </a:rPr>
              <a:t>MONTHLY</a:t>
            </a:r>
            <a:r>
              <a:rPr lang="en-US" sz="1050" b="1" baseline="0">
                <a:solidFill>
                  <a:schemeClr val="tx2"/>
                </a:solidFill>
              </a:rPr>
              <a:t> SALES TREND</a:t>
            </a:r>
            <a:endParaRPr lang="en-US" sz="1050" b="1">
              <a:solidFill>
                <a:schemeClr val="tx2"/>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6"/>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6"/>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6"/>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8"/>
          <c:spPr>
            <a:solidFill>
              <a:schemeClr val="accent1"/>
            </a:solidFill>
            <a:ln w="9525">
              <a:solidFill>
                <a:schemeClr val="accent1"/>
              </a:solidFill>
            </a:ln>
            <a:effectLst/>
          </c:spPr>
        </c:marker>
      </c:pivotFmt>
    </c:pivotFmts>
    <c:plotArea>
      <c:layout>
        <c:manualLayout>
          <c:layoutTarget val="inner"/>
          <c:xMode val="edge"/>
          <c:yMode val="edge"/>
          <c:x val="5.681863746344161E-2"/>
          <c:y val="0.16161198539253685"/>
          <c:w val="0.93252818594374365"/>
          <c:h val="0.69116056990769759"/>
        </c:manualLayout>
      </c:layout>
      <c:lineChart>
        <c:grouping val="standard"/>
        <c:varyColors val="0"/>
        <c:ser>
          <c:idx val="0"/>
          <c:order val="0"/>
          <c:tx>
            <c:strRef>
              <c:f>'PIVOT TABLE'!$F$6</c:f>
              <c:strCache>
                <c:ptCount val="1"/>
                <c:pt idx="0">
                  <c:v>Total</c:v>
                </c:pt>
              </c:strCache>
            </c:strRef>
          </c:tx>
          <c:spPr>
            <a:ln w="31750" cap="rnd">
              <a:solidFill>
                <a:schemeClr val="accent1"/>
              </a:solidFill>
              <a:round/>
            </a:ln>
            <a:effectLst/>
          </c:spPr>
          <c:marker>
            <c:symbol val="circle"/>
            <c:size val="8"/>
            <c:spPr>
              <a:solidFill>
                <a:schemeClr val="accent1"/>
              </a:solidFill>
              <a:ln w="9525">
                <a:solidFill>
                  <a:schemeClr val="accent1"/>
                </a:solidFill>
              </a:ln>
              <a:effectLst/>
            </c:spPr>
          </c:marker>
          <c:cat>
            <c:strRef>
              <c:f>'PIVOT TABLE'!$E$7:$E$19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TABLE'!$F$7:$F$19</c:f>
              <c:numCache>
                <c:formatCode>0%</c:formatCode>
                <c:ptCount val="12"/>
                <c:pt idx="0">
                  <c:v>8.1140480602047399E-2</c:v>
                </c:pt>
                <c:pt idx="1">
                  <c:v>7.2164845020152552E-2</c:v>
                </c:pt>
                <c:pt idx="2">
                  <c:v>9.0084014200510806E-2</c:v>
                </c:pt>
                <c:pt idx="3">
                  <c:v>8.8578173534239121E-2</c:v>
                </c:pt>
                <c:pt idx="4">
                  <c:v>9.020032041992028E-2</c:v>
                </c:pt>
                <c:pt idx="5">
                  <c:v>8.801769584694645E-2</c:v>
                </c:pt>
                <c:pt idx="6">
                  <c:v>7.2016154726068801E-2</c:v>
                </c:pt>
                <c:pt idx="7">
                  <c:v>9.3921019285177182E-2</c:v>
                </c:pt>
                <c:pt idx="8">
                  <c:v>7.8476382695849875E-2</c:v>
                </c:pt>
                <c:pt idx="9">
                  <c:v>8.7305274413236336E-2</c:v>
                </c:pt>
                <c:pt idx="10">
                  <c:v>7.4892319425567441E-2</c:v>
                </c:pt>
                <c:pt idx="11">
                  <c:v>8.3203319830283784E-2</c:v>
                </c:pt>
              </c:numCache>
            </c:numRef>
          </c:val>
          <c:smooth val="1"/>
        </c:ser>
        <c:dLbls>
          <c:showLegendKey val="0"/>
          <c:showVal val="0"/>
          <c:showCatName val="0"/>
          <c:showSerName val="0"/>
          <c:showPercent val="0"/>
          <c:showBubbleSize val="0"/>
        </c:dLbls>
        <c:marker val="1"/>
        <c:smooth val="0"/>
        <c:axId val="309805472"/>
        <c:axId val="309810568"/>
      </c:lineChart>
      <c:catAx>
        <c:axId val="3098054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2">
                    <a:lumMod val="75000"/>
                  </a:schemeClr>
                </a:solidFill>
                <a:latin typeface="+mn-lt"/>
                <a:ea typeface="+mn-ea"/>
                <a:cs typeface="+mn-cs"/>
              </a:defRPr>
            </a:pPr>
            <a:endParaRPr lang="en-US"/>
          </a:p>
        </c:txPr>
        <c:crossAx val="309810568"/>
        <c:crosses val="autoZero"/>
        <c:auto val="1"/>
        <c:lblAlgn val="ctr"/>
        <c:lblOffset val="100"/>
        <c:noMultiLvlLbl val="0"/>
      </c:catAx>
      <c:valAx>
        <c:axId val="309810568"/>
        <c:scaling>
          <c:orientation val="minMax"/>
        </c:scaling>
        <c:delete val="1"/>
        <c:axPos val="l"/>
        <c:numFmt formatCode="0%" sourceLinked="1"/>
        <c:majorTickMark val="none"/>
        <c:minorTickMark val="none"/>
        <c:tickLblPos val="nextTo"/>
        <c:crossAx val="3098054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 FINAL.xlsx]PIVOT TABLE!PivotTable5</c:name>
    <c:fmtId val="24"/>
  </c:pivotSource>
  <c:chart>
    <c:title>
      <c:tx>
        <c:rich>
          <a:bodyPr rot="0" spcFirstLastPara="1" vertOverflow="ellipsis" vert="horz" wrap="square" anchor="ctr" anchorCtr="1"/>
          <a:lstStyle/>
          <a:p>
            <a:pPr algn="ctr" rtl="0">
              <a:defRPr lang="en-US" sz="1050" b="1" i="0" u="none" strike="noStrike" kern="1200" spc="0" baseline="0">
                <a:solidFill>
                  <a:schemeClr val="tx2"/>
                </a:solidFill>
                <a:latin typeface="+mn-lt"/>
                <a:ea typeface="+mn-ea"/>
                <a:cs typeface="+mn-cs"/>
              </a:defRPr>
            </a:pPr>
            <a:r>
              <a:rPr lang="en-US" sz="1050" b="1" i="0" u="none" strike="noStrike" kern="1200" spc="0" baseline="0">
                <a:solidFill>
                  <a:schemeClr val="tx2"/>
                </a:solidFill>
                <a:latin typeface="+mn-lt"/>
                <a:ea typeface="+mn-ea"/>
                <a:cs typeface="+mn-cs"/>
              </a:rPr>
              <a:t>TOP 10 PRODUCTS BY SALES</a:t>
            </a:r>
          </a:p>
        </c:rich>
      </c:tx>
      <c:layout/>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numFmt formatCode="_(&quot;$&quot;* #,##0_);_(&quot;$&quot;* \(#,##0\);_(&quot;$&quot;* &quot;-&quot;??_);_(@_)"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dLbl>
          <c:idx val="0"/>
          <c:layout>
            <c:manualLayout>
              <c:x val="0"/>
              <c:y val="-1.8729100278109933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TABLE'!$C$19</c:f>
              <c:strCache>
                <c:ptCount val="1"/>
                <c:pt idx="0">
                  <c:v>Total</c:v>
                </c:pt>
              </c:strCache>
            </c:strRef>
          </c:tx>
          <c:spPr>
            <a:solidFill>
              <a:schemeClr val="accent1"/>
            </a:solidFill>
            <a:ln>
              <a:noFill/>
            </a:ln>
            <a:effectLst/>
          </c:spPr>
          <c:invertIfNegative val="0"/>
          <c:dPt>
            <c:idx val="9"/>
            <c:invertIfNegative val="0"/>
            <c:bubble3D val="0"/>
          </c:dPt>
          <c:dLbls>
            <c:dLbl>
              <c:idx val="9"/>
              <c:layout>
                <c:manualLayout>
                  <c:x val="0"/>
                  <c:y val="-1.8729100278109933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numFmt formatCode="_(&quot;$&quot;* #,##0_);_(&quot;$&quot;* \(#,##0\);_(&quot;$&quot;* &quot;-&quot;??_);_(@_)"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TABLE'!$B$20:$B$30</c:f>
              <c:strCache>
                <c:ptCount val="10"/>
                <c:pt idx="0">
                  <c:v>Cooking Oil</c:v>
                </c:pt>
                <c:pt idx="1">
                  <c:v>Kettle</c:v>
                </c:pt>
                <c:pt idx="2">
                  <c:v>Speaker</c:v>
                </c:pt>
                <c:pt idx="3">
                  <c:v>Pasta</c:v>
                </c:pt>
                <c:pt idx="4">
                  <c:v>Sneakers</c:v>
                </c:pt>
                <c:pt idx="5">
                  <c:v>Blender</c:v>
                </c:pt>
                <c:pt idx="6">
                  <c:v>Rice</c:v>
                </c:pt>
                <c:pt idx="7">
                  <c:v>Fan</c:v>
                </c:pt>
                <c:pt idx="8">
                  <c:v>T-Shirt</c:v>
                </c:pt>
                <c:pt idx="9">
                  <c:v>Jeans</c:v>
                </c:pt>
              </c:strCache>
            </c:strRef>
          </c:cat>
          <c:val>
            <c:numRef>
              <c:f>'PIVOT TABLE'!$C$20:$C$30</c:f>
              <c:numCache>
                <c:formatCode>#,##0_);\(#,##0\)</c:formatCode>
                <c:ptCount val="10"/>
                <c:pt idx="0">
                  <c:v>76082.609999999986</c:v>
                </c:pt>
                <c:pt idx="1">
                  <c:v>78028.580000000031</c:v>
                </c:pt>
                <c:pt idx="2">
                  <c:v>78041.25999999998</c:v>
                </c:pt>
                <c:pt idx="3">
                  <c:v>80099.379999999932</c:v>
                </c:pt>
                <c:pt idx="4">
                  <c:v>85361.640000000029</c:v>
                </c:pt>
                <c:pt idx="5">
                  <c:v>86611.449999999968</c:v>
                </c:pt>
                <c:pt idx="6">
                  <c:v>89971.979999999967</c:v>
                </c:pt>
                <c:pt idx="7">
                  <c:v>90977.580000000016</c:v>
                </c:pt>
                <c:pt idx="8">
                  <c:v>97532.420000000027</c:v>
                </c:pt>
                <c:pt idx="9">
                  <c:v>103793.46000000004</c:v>
                </c:pt>
              </c:numCache>
            </c:numRef>
          </c:val>
        </c:ser>
        <c:dLbls>
          <c:dLblPos val="outEnd"/>
          <c:showLegendKey val="0"/>
          <c:showVal val="1"/>
          <c:showCatName val="0"/>
          <c:showSerName val="0"/>
          <c:showPercent val="0"/>
          <c:showBubbleSize val="0"/>
        </c:dLbls>
        <c:gapWidth val="182"/>
        <c:axId val="309807432"/>
        <c:axId val="309807040"/>
      </c:barChart>
      <c:catAx>
        <c:axId val="3098074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100" b="1" i="0" u="none" strike="noStrike" kern="1200" baseline="0">
                <a:solidFill>
                  <a:schemeClr val="tx2">
                    <a:lumMod val="75000"/>
                  </a:schemeClr>
                </a:solidFill>
                <a:latin typeface="+mn-lt"/>
                <a:ea typeface="+mn-ea"/>
                <a:cs typeface="+mn-cs"/>
              </a:defRPr>
            </a:pPr>
            <a:endParaRPr lang="en-US"/>
          </a:p>
        </c:txPr>
        <c:crossAx val="309807040"/>
        <c:crosses val="autoZero"/>
        <c:auto val="1"/>
        <c:lblAlgn val="ctr"/>
        <c:lblOffset val="100"/>
        <c:noMultiLvlLbl val="0"/>
      </c:catAx>
      <c:valAx>
        <c:axId val="309807040"/>
        <c:scaling>
          <c:orientation val="minMax"/>
        </c:scaling>
        <c:delete val="1"/>
        <c:axPos val="b"/>
        <c:numFmt formatCode="#,##0_);\(#,##0\)" sourceLinked="1"/>
        <c:majorTickMark val="none"/>
        <c:minorTickMark val="none"/>
        <c:tickLblPos val="nextTo"/>
        <c:crossAx val="3098074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 FINAL.xlsx]PIVOT TABLE!PivotTable12</c:name>
    <c:fmtId val="30"/>
  </c:pivotSource>
  <c:chart>
    <c:title>
      <c:tx>
        <c:rich>
          <a:bodyPr rot="0" spcFirstLastPara="1" vertOverflow="ellipsis" vert="horz" wrap="square" anchor="ctr" anchorCtr="1"/>
          <a:lstStyle/>
          <a:p>
            <a:pPr algn="ctr" rtl="0">
              <a:defRPr lang="en-US" sz="1050" b="1" i="0" u="none" strike="noStrike" kern="1200" spc="0" baseline="0">
                <a:solidFill>
                  <a:schemeClr val="tx2"/>
                </a:solidFill>
                <a:latin typeface="+mn-lt"/>
                <a:ea typeface="+mn-ea"/>
                <a:cs typeface="+mn-cs"/>
              </a:defRPr>
            </a:pPr>
            <a:r>
              <a:rPr lang="en-US" sz="1050" b="1" i="0" u="none" strike="noStrike" kern="1200" spc="0" baseline="0">
                <a:solidFill>
                  <a:schemeClr val="tx2"/>
                </a:solidFill>
                <a:latin typeface="+mn-lt"/>
                <a:ea typeface="+mn-ea"/>
                <a:cs typeface="+mn-cs"/>
              </a:rPr>
              <a:t>PAYMENT TYPE DISTRIBUTION</a:t>
            </a:r>
          </a:p>
        </c:rich>
      </c:tx>
      <c:layout/>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TABLE'!$L$6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TABLE'!$K$7:$K$10</c:f>
              <c:strCache>
                <c:ptCount val="3"/>
                <c:pt idx="0">
                  <c:v>Transfer</c:v>
                </c:pt>
                <c:pt idx="1">
                  <c:v>Cash</c:v>
                </c:pt>
                <c:pt idx="2">
                  <c:v>Card</c:v>
                </c:pt>
              </c:strCache>
            </c:strRef>
          </c:cat>
          <c:val>
            <c:numRef>
              <c:f>'PIVOT TABLE'!$L$7:$L$10</c:f>
              <c:numCache>
                <c:formatCode>0%</c:formatCode>
                <c:ptCount val="3"/>
                <c:pt idx="0">
                  <c:v>0.34300000000000003</c:v>
                </c:pt>
                <c:pt idx="1">
                  <c:v>0.33300000000000002</c:v>
                </c:pt>
                <c:pt idx="2">
                  <c:v>0.32400000000000001</c:v>
                </c:pt>
              </c:numCache>
            </c:numRef>
          </c:val>
        </c:ser>
        <c:dLbls>
          <c:dLblPos val="outEnd"/>
          <c:showLegendKey val="0"/>
          <c:showVal val="1"/>
          <c:showCatName val="0"/>
          <c:showSerName val="0"/>
          <c:showPercent val="0"/>
          <c:showBubbleSize val="0"/>
        </c:dLbls>
        <c:gapWidth val="219"/>
        <c:overlap val="-27"/>
        <c:axId val="309809000"/>
        <c:axId val="309809392"/>
      </c:barChart>
      <c:catAx>
        <c:axId val="3098090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09809392"/>
        <c:crosses val="autoZero"/>
        <c:auto val="1"/>
        <c:lblAlgn val="ctr"/>
        <c:lblOffset val="100"/>
        <c:noMultiLvlLbl val="0"/>
      </c:catAx>
      <c:valAx>
        <c:axId val="309809392"/>
        <c:scaling>
          <c:orientation val="minMax"/>
        </c:scaling>
        <c:delete val="1"/>
        <c:axPos val="l"/>
        <c:numFmt formatCode="0%" sourceLinked="1"/>
        <c:majorTickMark val="none"/>
        <c:minorTickMark val="none"/>
        <c:tickLblPos val="nextTo"/>
        <c:crossAx val="3098090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6</xdr:col>
      <xdr:colOff>1553633</xdr:colOff>
      <xdr:row>24</xdr:row>
      <xdr:rowOff>13758</xdr:rowOff>
    </xdr:from>
    <xdr:ext cx="65" cy="172932"/>
    <xdr:sp macro="" textlink="">
      <xdr:nvSpPr>
        <xdr:cNvPr id="2" name="TextBox 1"/>
        <xdr:cNvSpPr txBox="1"/>
      </xdr:nvSpPr>
      <xdr:spPr>
        <a:xfrm>
          <a:off x="8083550" y="5051425"/>
          <a:ext cx="65" cy="1729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285751</xdr:colOff>
      <xdr:row>1</xdr:row>
      <xdr:rowOff>0</xdr:rowOff>
    </xdr:from>
    <xdr:to>
      <xdr:col>19</xdr:col>
      <xdr:colOff>190501</xdr:colOff>
      <xdr:row>30</xdr:row>
      <xdr:rowOff>163286</xdr:rowOff>
    </xdr:to>
    <xdr:sp macro="" textlink="">
      <xdr:nvSpPr>
        <xdr:cNvPr id="3" name="Rectangle 2"/>
        <xdr:cNvSpPr/>
      </xdr:nvSpPr>
      <xdr:spPr>
        <a:xfrm>
          <a:off x="966108" y="204107"/>
          <a:ext cx="12151179" cy="6082393"/>
        </a:xfrm>
        <a:prstGeom prst="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atin typeface="Calibri" panose="020F0502020204030204" pitchFamily="34" charset="0"/>
            <a:cs typeface="Calibri" panose="020F0502020204030204" pitchFamily="34" charset="0"/>
          </a:endParaRPr>
        </a:p>
      </xdr:txBody>
    </xdr:sp>
    <xdr:clientData/>
  </xdr:twoCellAnchor>
  <xdr:twoCellAnchor>
    <xdr:from>
      <xdr:col>1</xdr:col>
      <xdr:colOff>272144</xdr:colOff>
      <xdr:row>1</xdr:row>
      <xdr:rowOff>13607</xdr:rowOff>
    </xdr:from>
    <xdr:to>
      <xdr:col>3</xdr:col>
      <xdr:colOff>285751</xdr:colOff>
      <xdr:row>30</xdr:row>
      <xdr:rowOff>149679</xdr:rowOff>
    </xdr:to>
    <xdr:sp macro="" textlink="">
      <xdr:nvSpPr>
        <xdr:cNvPr id="4" name="Rectangle 3"/>
        <xdr:cNvSpPr/>
      </xdr:nvSpPr>
      <xdr:spPr>
        <a:xfrm>
          <a:off x="952501" y="217714"/>
          <a:ext cx="1374321" cy="6055179"/>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atin typeface="Calibri" panose="020F0502020204030204" pitchFamily="34" charset="0"/>
            <a:cs typeface="Calibri" panose="020F0502020204030204" pitchFamily="34" charset="0"/>
          </a:endParaRPr>
        </a:p>
      </xdr:txBody>
    </xdr:sp>
    <xdr:clientData/>
  </xdr:twoCellAnchor>
  <xdr:twoCellAnchor>
    <xdr:from>
      <xdr:col>3</xdr:col>
      <xdr:colOff>367393</xdr:colOff>
      <xdr:row>1</xdr:row>
      <xdr:rowOff>13607</xdr:rowOff>
    </xdr:from>
    <xdr:to>
      <xdr:col>10</xdr:col>
      <xdr:colOff>503465</xdr:colOff>
      <xdr:row>4</xdr:row>
      <xdr:rowOff>-1</xdr:rowOff>
    </xdr:to>
    <xdr:sp macro="" textlink="">
      <xdr:nvSpPr>
        <xdr:cNvPr id="20" name="TextBox 19"/>
        <xdr:cNvSpPr txBox="1"/>
      </xdr:nvSpPr>
      <xdr:spPr>
        <a:xfrm>
          <a:off x="2408464" y="217714"/>
          <a:ext cx="4898572" cy="598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solidFill>
              <a:latin typeface="Calibri" panose="020F0502020204030204" pitchFamily="34" charset="0"/>
              <a:cs typeface="Calibri" panose="020F0502020204030204" pitchFamily="34" charset="0"/>
            </a:rPr>
            <a:t>RETAIL SALES PERFORMANCE DASHBOARD</a:t>
          </a:r>
        </a:p>
        <a:p>
          <a:r>
            <a:rPr lang="en-US" sz="1200" b="1">
              <a:solidFill>
                <a:schemeClr val="tx2"/>
              </a:solidFill>
              <a:latin typeface="Calibri" panose="020F0502020204030204" pitchFamily="34" charset="0"/>
              <a:cs typeface="Calibri" panose="020F0502020204030204" pitchFamily="34" charset="0"/>
            </a:rPr>
            <a:t>JANUARY -DECEMBER 2025</a:t>
          </a:r>
        </a:p>
      </xdr:txBody>
    </xdr:sp>
    <xdr:clientData/>
  </xdr:twoCellAnchor>
  <xdr:twoCellAnchor>
    <xdr:from>
      <xdr:col>3</xdr:col>
      <xdr:colOff>394608</xdr:colOff>
      <xdr:row>9</xdr:row>
      <xdr:rowOff>81643</xdr:rowOff>
    </xdr:from>
    <xdr:to>
      <xdr:col>8</xdr:col>
      <xdr:colOff>394609</xdr:colOff>
      <xdr:row>19</xdr:row>
      <xdr:rowOff>108856</xdr:rowOff>
    </xdr:to>
    <xdr:grpSp>
      <xdr:nvGrpSpPr>
        <xdr:cNvPr id="12" name="Group 11"/>
        <xdr:cNvGrpSpPr/>
      </xdr:nvGrpSpPr>
      <xdr:grpSpPr>
        <a:xfrm>
          <a:off x="2466296" y="2010456"/>
          <a:ext cx="3452813" cy="2170338"/>
          <a:chOff x="1347107" y="1619250"/>
          <a:chExt cx="3061608" cy="1932213"/>
        </a:xfrm>
      </xdr:grpSpPr>
      <xdr:sp macro="" textlink="">
        <xdr:nvSpPr>
          <xdr:cNvPr id="10" name="Rounded Rectangle 9"/>
          <xdr:cNvSpPr/>
        </xdr:nvSpPr>
        <xdr:spPr>
          <a:xfrm>
            <a:off x="1360715" y="1619250"/>
            <a:ext cx="3048000" cy="193221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atin typeface="Calibri" panose="020F0502020204030204" pitchFamily="34" charset="0"/>
              <a:cs typeface="Calibri" panose="020F0502020204030204" pitchFamily="34" charset="0"/>
            </a:endParaRPr>
          </a:p>
        </xdr:txBody>
      </xdr:sp>
      <xdr:graphicFrame macro="">
        <xdr:nvGraphicFramePr>
          <xdr:cNvPr id="21" name="Chart 20"/>
          <xdr:cNvGraphicFramePr>
            <a:graphicFrameLocks/>
          </xdr:cNvGraphicFramePr>
        </xdr:nvGraphicFramePr>
        <xdr:xfrm>
          <a:off x="1347107" y="1660071"/>
          <a:ext cx="2939142" cy="1789697"/>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8</xdr:col>
      <xdr:colOff>571501</xdr:colOff>
      <xdr:row>9</xdr:row>
      <xdr:rowOff>81643</xdr:rowOff>
    </xdr:from>
    <xdr:to>
      <xdr:col>13</xdr:col>
      <xdr:colOff>557894</xdr:colOff>
      <xdr:row>19</xdr:row>
      <xdr:rowOff>108856</xdr:rowOff>
    </xdr:to>
    <xdr:grpSp>
      <xdr:nvGrpSpPr>
        <xdr:cNvPr id="13" name="Group 12"/>
        <xdr:cNvGrpSpPr/>
      </xdr:nvGrpSpPr>
      <xdr:grpSpPr>
        <a:xfrm>
          <a:off x="6096001" y="2010456"/>
          <a:ext cx="3439206" cy="2170338"/>
          <a:chOff x="4585607" y="1619250"/>
          <a:chExt cx="3048000" cy="1932213"/>
        </a:xfrm>
      </xdr:grpSpPr>
      <xdr:sp macro="" textlink="">
        <xdr:nvSpPr>
          <xdr:cNvPr id="19" name="Rounded Rectangle 18"/>
          <xdr:cNvSpPr/>
        </xdr:nvSpPr>
        <xdr:spPr>
          <a:xfrm>
            <a:off x="4585607" y="1619250"/>
            <a:ext cx="3048000" cy="193221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atin typeface="Calibri" panose="020F0502020204030204" pitchFamily="34" charset="0"/>
              <a:cs typeface="Calibri" panose="020F0502020204030204" pitchFamily="34" charset="0"/>
            </a:endParaRPr>
          </a:p>
        </xdr:txBody>
      </xdr:sp>
      <xdr:graphicFrame macro="">
        <xdr:nvGraphicFramePr>
          <xdr:cNvPr id="29" name="Chart 28"/>
          <xdr:cNvGraphicFramePr>
            <a:graphicFrameLocks/>
          </xdr:cNvGraphicFramePr>
        </xdr:nvGraphicFramePr>
        <xdr:xfrm>
          <a:off x="4653643" y="1673678"/>
          <a:ext cx="2898321" cy="1850571"/>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14</xdr:col>
      <xdr:colOff>2</xdr:colOff>
      <xdr:row>9</xdr:row>
      <xdr:rowOff>68037</xdr:rowOff>
    </xdr:from>
    <xdr:to>
      <xdr:col>19</xdr:col>
      <xdr:colOff>103416</xdr:colOff>
      <xdr:row>30</xdr:row>
      <xdr:rowOff>89809</xdr:rowOff>
    </xdr:to>
    <xdr:sp macro="" textlink="">
      <xdr:nvSpPr>
        <xdr:cNvPr id="17" name="Rounded Rectangle 16"/>
        <xdr:cNvSpPr/>
      </xdr:nvSpPr>
      <xdr:spPr>
        <a:xfrm>
          <a:off x="9525002" y="1905001"/>
          <a:ext cx="3505200" cy="4308022"/>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atin typeface="Calibri" panose="020F0502020204030204" pitchFamily="34" charset="0"/>
            <a:cs typeface="Calibri" panose="020F0502020204030204" pitchFamily="34" charset="0"/>
          </a:endParaRPr>
        </a:p>
      </xdr:txBody>
    </xdr:sp>
    <xdr:clientData/>
  </xdr:twoCellAnchor>
  <xdr:twoCellAnchor>
    <xdr:from>
      <xdr:col>8</xdr:col>
      <xdr:colOff>563337</xdr:colOff>
      <xdr:row>19</xdr:row>
      <xdr:rowOff>198664</xdr:rowOff>
    </xdr:from>
    <xdr:to>
      <xdr:col>13</xdr:col>
      <xdr:colOff>574114</xdr:colOff>
      <xdr:row>30</xdr:row>
      <xdr:rowOff>101237</xdr:rowOff>
    </xdr:to>
    <xdr:grpSp>
      <xdr:nvGrpSpPr>
        <xdr:cNvPr id="38" name="Group 37"/>
        <xdr:cNvGrpSpPr/>
      </xdr:nvGrpSpPr>
      <xdr:grpSpPr>
        <a:xfrm>
          <a:off x="6087837" y="4270602"/>
          <a:ext cx="3463590" cy="2260010"/>
          <a:chOff x="4577443" y="3660321"/>
          <a:chExt cx="3048000" cy="1978479"/>
        </a:xfrm>
      </xdr:grpSpPr>
      <xdr:sp macro="" textlink="">
        <xdr:nvSpPr>
          <xdr:cNvPr id="16" name="Rounded Rectangle 15"/>
          <xdr:cNvSpPr/>
        </xdr:nvSpPr>
        <xdr:spPr>
          <a:xfrm>
            <a:off x="4577443" y="3706587"/>
            <a:ext cx="3048000" cy="193221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atin typeface="Calibri" panose="020F0502020204030204" pitchFamily="34" charset="0"/>
              <a:cs typeface="Calibri" panose="020F0502020204030204" pitchFamily="34" charset="0"/>
            </a:endParaRPr>
          </a:p>
        </xdr:txBody>
      </xdr:sp>
      <xdr:graphicFrame macro="">
        <xdr:nvGraphicFramePr>
          <xdr:cNvPr id="32" name="Chart 31"/>
          <xdr:cNvGraphicFramePr>
            <a:graphicFrameLocks/>
          </xdr:cNvGraphicFramePr>
        </xdr:nvGraphicFramePr>
        <xdr:xfrm>
          <a:off x="4577445" y="3660321"/>
          <a:ext cx="3015341" cy="190499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3</xdr:col>
      <xdr:colOff>383723</xdr:colOff>
      <xdr:row>20</xdr:row>
      <xdr:rowOff>24341</xdr:rowOff>
    </xdr:from>
    <xdr:to>
      <xdr:col>8</xdr:col>
      <xdr:colOff>367404</xdr:colOff>
      <xdr:row>30</xdr:row>
      <xdr:rowOff>46039</xdr:rowOff>
    </xdr:to>
    <xdr:sp macro="" textlink="">
      <xdr:nvSpPr>
        <xdr:cNvPr id="15" name="Rounded Rectangle 14"/>
        <xdr:cNvSpPr/>
      </xdr:nvSpPr>
      <xdr:spPr>
        <a:xfrm>
          <a:off x="2424794" y="4106484"/>
          <a:ext cx="3385467" cy="206276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atin typeface="Calibri" panose="020F0502020204030204" pitchFamily="34" charset="0"/>
            <a:cs typeface="Calibri" panose="020F0502020204030204" pitchFamily="34" charset="0"/>
          </a:endParaRPr>
        </a:p>
      </xdr:txBody>
    </xdr:sp>
    <xdr:clientData/>
  </xdr:twoCellAnchor>
  <xdr:twoCellAnchor>
    <xdr:from>
      <xdr:col>13</xdr:col>
      <xdr:colOff>304796</xdr:colOff>
      <xdr:row>4</xdr:row>
      <xdr:rowOff>28574</xdr:rowOff>
    </xdr:from>
    <xdr:to>
      <xdr:col>16</xdr:col>
      <xdr:colOff>275405</xdr:colOff>
      <xdr:row>8</xdr:row>
      <xdr:rowOff>126546</xdr:rowOff>
    </xdr:to>
    <xdr:grpSp>
      <xdr:nvGrpSpPr>
        <xdr:cNvPr id="44" name="Group 43"/>
        <xdr:cNvGrpSpPr/>
      </xdr:nvGrpSpPr>
      <xdr:grpSpPr>
        <a:xfrm>
          <a:off x="9282109" y="885824"/>
          <a:ext cx="2042296" cy="955222"/>
          <a:chOff x="6958691" y="615042"/>
          <a:chExt cx="2095547" cy="879023"/>
        </a:xfrm>
      </xdr:grpSpPr>
      <xdr:sp macro="" textlink="">
        <xdr:nvSpPr>
          <xdr:cNvPr id="8" name="Rounded Rectangle 7"/>
          <xdr:cNvSpPr/>
        </xdr:nvSpPr>
        <xdr:spPr>
          <a:xfrm>
            <a:off x="7108369" y="631371"/>
            <a:ext cx="1792224" cy="862694"/>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atin typeface="Calibri" panose="020F0502020204030204" pitchFamily="34" charset="0"/>
              <a:cs typeface="Calibri" panose="020F0502020204030204" pitchFamily="34" charset="0"/>
            </a:endParaRPr>
          </a:p>
        </xdr:txBody>
      </xdr:sp>
      <xdr:sp macro="" textlink="'PIVOT TABLE'!G5">
        <xdr:nvSpPr>
          <xdr:cNvPr id="35" name="TextBox 34"/>
          <xdr:cNvSpPr txBox="1"/>
        </xdr:nvSpPr>
        <xdr:spPr>
          <a:xfrm>
            <a:off x="7353298" y="925286"/>
            <a:ext cx="1360714"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F99A68-D436-483B-A43F-0EE716D014AA}" type="TxLink">
              <a:rPr lang="en-US" sz="1800" b="1" i="0" u="none" strike="noStrike">
                <a:solidFill>
                  <a:schemeClr val="tx2"/>
                </a:solidFill>
                <a:latin typeface="Calibri" panose="020F0502020204030204" pitchFamily="34" charset="0"/>
                <a:ea typeface="+mn-ea"/>
                <a:cs typeface="Calibri" panose="020F0502020204030204" pitchFamily="34" charset="0"/>
              </a:rPr>
              <a:pPr marL="0" indent="0" algn="ctr"/>
              <a:t> $532 </a:t>
            </a:fld>
            <a:endParaRPr lang="en-US" sz="1800" b="1" i="0" u="none" strike="noStrike">
              <a:solidFill>
                <a:schemeClr val="tx2"/>
              </a:solidFill>
              <a:latin typeface="Calibri" panose="020F0502020204030204" pitchFamily="34" charset="0"/>
              <a:ea typeface="+mn-ea"/>
              <a:cs typeface="Calibri" panose="020F0502020204030204" pitchFamily="34" charset="0"/>
            </a:endParaRPr>
          </a:p>
        </xdr:txBody>
      </xdr:sp>
      <xdr:sp macro="" textlink="">
        <xdr:nvSpPr>
          <xdr:cNvPr id="37" name="TextBox 36"/>
          <xdr:cNvSpPr txBox="1"/>
        </xdr:nvSpPr>
        <xdr:spPr>
          <a:xfrm>
            <a:off x="6958691" y="615042"/>
            <a:ext cx="2095547" cy="389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tx2"/>
                </a:solidFill>
                <a:latin typeface="Calibri" panose="020F0502020204030204" pitchFamily="34" charset="0"/>
                <a:ea typeface="+mn-ea"/>
                <a:cs typeface="Calibri" panose="020F0502020204030204" pitchFamily="34" charset="0"/>
              </a:rPr>
              <a:t>AOV</a:t>
            </a:r>
          </a:p>
        </xdr:txBody>
      </xdr:sp>
    </xdr:grpSp>
    <xdr:clientData/>
  </xdr:twoCellAnchor>
  <xdr:twoCellAnchor>
    <xdr:from>
      <xdr:col>1</xdr:col>
      <xdr:colOff>272144</xdr:colOff>
      <xdr:row>1</xdr:row>
      <xdr:rowOff>63954</xdr:rowOff>
    </xdr:from>
    <xdr:to>
      <xdr:col>3</xdr:col>
      <xdr:colOff>57152</xdr:colOff>
      <xdr:row>8</xdr:row>
      <xdr:rowOff>13607</xdr:rowOff>
    </xdr:to>
    <mc:AlternateContent xmlns:mc="http://schemas.openxmlformats.org/markup-compatibility/2006" xmlns:a14="http://schemas.microsoft.com/office/drawing/2010/main">
      <mc:Choice Requires="a14">
        <xdr:graphicFrame macro="">
          <xdr:nvGraphicFramePr>
            <xdr:cNvPr id="46"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52501" y="268061"/>
              <a:ext cx="1145722" cy="13784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272144</xdr:colOff>
      <xdr:row>8</xdr:row>
      <xdr:rowOff>122464</xdr:rowOff>
    </xdr:from>
    <xdr:to>
      <xdr:col>3</xdr:col>
      <xdr:colOff>54430</xdr:colOff>
      <xdr:row>15</xdr:row>
      <xdr:rowOff>74458</xdr:rowOff>
    </xdr:to>
    <mc:AlternateContent xmlns:mc="http://schemas.openxmlformats.org/markup-compatibility/2006" xmlns:a14="http://schemas.microsoft.com/office/drawing/2010/main">
      <mc:Choice Requires="a14">
        <xdr:graphicFrame macro="">
          <xdr:nvGraphicFramePr>
            <xdr:cNvPr id="4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01" y="1755321"/>
              <a:ext cx="1143000" cy="1380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272144</xdr:colOff>
      <xdr:row>23</xdr:row>
      <xdr:rowOff>163286</xdr:rowOff>
    </xdr:from>
    <xdr:to>
      <xdr:col>3</xdr:col>
      <xdr:colOff>54430</xdr:colOff>
      <xdr:row>30</xdr:row>
      <xdr:rowOff>115280</xdr:rowOff>
    </xdr:to>
    <mc:AlternateContent xmlns:mc="http://schemas.openxmlformats.org/markup-compatibility/2006" xmlns:a14="http://schemas.microsoft.com/office/drawing/2010/main">
      <mc:Choice Requires="a14">
        <xdr:graphicFrame macro="">
          <xdr:nvGraphicFramePr>
            <xdr:cNvPr id="49"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52501" y="4857750"/>
              <a:ext cx="1143000" cy="1380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272144</xdr:colOff>
      <xdr:row>16</xdr:row>
      <xdr:rowOff>27217</xdr:rowOff>
    </xdr:from>
    <xdr:to>
      <xdr:col>3</xdr:col>
      <xdr:colOff>54430</xdr:colOff>
      <xdr:row>22</xdr:row>
      <xdr:rowOff>183318</xdr:rowOff>
    </xdr:to>
    <mc:AlternateContent xmlns:mc="http://schemas.openxmlformats.org/markup-compatibility/2006" xmlns:a14="http://schemas.microsoft.com/office/drawing/2010/main">
      <mc:Choice Requires="a14">
        <xdr:graphicFrame macro="">
          <xdr:nvGraphicFramePr>
            <xdr:cNvPr id="52"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52501" y="3292931"/>
              <a:ext cx="1143000" cy="1380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27216</xdr:colOff>
      <xdr:row>9</xdr:row>
      <xdr:rowOff>163287</xdr:rowOff>
    </xdr:from>
    <xdr:to>
      <xdr:col>19</xdr:col>
      <xdr:colOff>40822</xdr:colOff>
      <xdr:row>29</xdr:row>
      <xdr:rowOff>149679</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421821</xdr:colOff>
      <xdr:row>4</xdr:row>
      <xdr:rowOff>28574</xdr:rowOff>
    </xdr:from>
    <xdr:to>
      <xdr:col>6</xdr:col>
      <xdr:colOff>392429</xdr:colOff>
      <xdr:row>8</xdr:row>
      <xdr:rowOff>126546</xdr:rowOff>
    </xdr:to>
    <xdr:grpSp>
      <xdr:nvGrpSpPr>
        <xdr:cNvPr id="14" name="Group 13"/>
        <xdr:cNvGrpSpPr/>
      </xdr:nvGrpSpPr>
      <xdr:grpSpPr>
        <a:xfrm>
          <a:off x="2493509" y="885824"/>
          <a:ext cx="2042295" cy="955222"/>
          <a:chOff x="1510391" y="654503"/>
          <a:chExt cx="2468880" cy="917123"/>
        </a:xfrm>
      </xdr:grpSpPr>
      <xdr:sp macro="" textlink="">
        <xdr:nvSpPr>
          <xdr:cNvPr id="5" name="Rounded Rectangle 4"/>
          <xdr:cNvSpPr/>
        </xdr:nvSpPr>
        <xdr:spPr>
          <a:xfrm>
            <a:off x="1510391" y="654503"/>
            <a:ext cx="2468880" cy="917123"/>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atin typeface="Calibri" panose="020F0502020204030204" pitchFamily="34" charset="0"/>
              <a:cs typeface="Calibri" panose="020F0502020204030204" pitchFamily="34" charset="0"/>
            </a:endParaRPr>
          </a:p>
        </xdr:txBody>
      </xdr:sp>
      <xdr:sp macro="" textlink="'PIVOT TABLE'!H8">
        <xdr:nvSpPr>
          <xdr:cNvPr id="2" name="TextBox 1"/>
          <xdr:cNvSpPr txBox="1"/>
        </xdr:nvSpPr>
        <xdr:spPr>
          <a:xfrm>
            <a:off x="1754208" y="988237"/>
            <a:ext cx="1868714" cy="475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2B0071-5C7F-4B9B-9B1D-CC19AA0D2B36}" type="TxLink">
              <a:rPr lang="en-US" sz="1800" b="1" i="0" u="none" strike="noStrike">
                <a:solidFill>
                  <a:schemeClr val="tx2"/>
                </a:solidFill>
                <a:latin typeface="Calibri" panose="020F0502020204030204" pitchFamily="34" charset="0"/>
                <a:ea typeface="+mn-ea"/>
                <a:cs typeface="Calibri" panose="020F0502020204030204" pitchFamily="34" charset="0"/>
              </a:rPr>
              <a:pPr marL="0" indent="0" algn="ctr"/>
              <a:t>$1.06M</a:t>
            </a:fld>
            <a:endParaRPr lang="en-US" sz="1800" b="1" i="0" u="none" strike="noStrike">
              <a:solidFill>
                <a:schemeClr val="tx2"/>
              </a:solidFill>
              <a:latin typeface="Calibri" panose="020F0502020204030204" pitchFamily="34" charset="0"/>
              <a:ea typeface="+mn-ea"/>
              <a:cs typeface="Calibri" panose="020F0502020204030204" pitchFamily="34" charset="0"/>
            </a:endParaRPr>
          </a:p>
        </xdr:txBody>
      </xdr:sp>
      <xdr:sp macro="" textlink="">
        <xdr:nvSpPr>
          <xdr:cNvPr id="11" name="TextBox 10"/>
          <xdr:cNvSpPr txBox="1"/>
        </xdr:nvSpPr>
        <xdr:spPr>
          <a:xfrm>
            <a:off x="1660434" y="657425"/>
            <a:ext cx="2056266" cy="304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tx2"/>
                </a:solidFill>
                <a:latin typeface="Calibri" panose="020F0502020204030204" pitchFamily="34" charset="0"/>
                <a:ea typeface="+mn-ea"/>
                <a:cs typeface="Calibri" panose="020F0502020204030204" pitchFamily="34" charset="0"/>
              </a:rPr>
              <a:t>TOTAL SALES </a:t>
            </a:r>
          </a:p>
        </xdr:txBody>
      </xdr:sp>
      <xdr:pic>
        <xdr:nvPicPr>
          <xdr:cNvPr id="26" name="Picture 2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605643" y="830037"/>
            <a:ext cx="462643" cy="462643"/>
          </a:xfrm>
          <a:prstGeom prst="rect">
            <a:avLst/>
          </a:prstGeom>
        </xdr:spPr>
      </xdr:pic>
    </xdr:grpSp>
    <xdr:clientData/>
  </xdr:twoCellAnchor>
  <xdr:twoCellAnchor>
    <xdr:from>
      <xdr:col>7</xdr:col>
      <xdr:colOff>13606</xdr:colOff>
      <xdr:row>4</xdr:row>
      <xdr:rowOff>35378</xdr:rowOff>
    </xdr:from>
    <xdr:to>
      <xdr:col>9</xdr:col>
      <xdr:colOff>676885</xdr:colOff>
      <xdr:row>8</xdr:row>
      <xdr:rowOff>133350</xdr:rowOff>
    </xdr:to>
    <xdr:grpSp>
      <xdr:nvGrpSpPr>
        <xdr:cNvPr id="23" name="Group 22"/>
        <xdr:cNvGrpSpPr/>
      </xdr:nvGrpSpPr>
      <xdr:grpSpPr>
        <a:xfrm>
          <a:off x="4847544" y="892628"/>
          <a:ext cx="2044404" cy="955222"/>
          <a:chOff x="4231816" y="661307"/>
          <a:chExt cx="2475684" cy="926194"/>
        </a:xfrm>
      </xdr:grpSpPr>
      <xdr:grpSp>
        <xdr:nvGrpSpPr>
          <xdr:cNvPr id="9" name="Group 8"/>
          <xdr:cNvGrpSpPr/>
        </xdr:nvGrpSpPr>
        <xdr:grpSpPr>
          <a:xfrm>
            <a:off x="4231816" y="661307"/>
            <a:ext cx="2475684" cy="926194"/>
            <a:chOff x="4218209" y="654503"/>
            <a:chExt cx="2468880" cy="917123"/>
          </a:xfrm>
        </xdr:grpSpPr>
        <xdr:sp macro="" textlink="">
          <xdr:nvSpPr>
            <xdr:cNvPr id="6" name="Rounded Rectangle 5"/>
            <xdr:cNvSpPr/>
          </xdr:nvSpPr>
          <xdr:spPr>
            <a:xfrm>
              <a:off x="4218209" y="654503"/>
              <a:ext cx="2468880" cy="917123"/>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atin typeface="Calibri" panose="020F0502020204030204" pitchFamily="34" charset="0"/>
                <a:cs typeface="Calibri" panose="020F0502020204030204" pitchFamily="34" charset="0"/>
              </a:endParaRPr>
            </a:p>
          </xdr:txBody>
        </xdr:sp>
        <xdr:sp macro="" textlink="'PIVOT TABLE'!K21">
          <xdr:nvSpPr>
            <xdr:cNvPr id="28" name="TextBox 27"/>
            <xdr:cNvSpPr txBox="1"/>
          </xdr:nvSpPr>
          <xdr:spPr>
            <a:xfrm>
              <a:off x="4574558" y="988237"/>
              <a:ext cx="1868714" cy="475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C74839-A100-4A60-A0FD-8B6B396CE337}" type="TxLink">
                <a:rPr lang="en-US" sz="1800" b="1" i="0" u="none" strike="noStrike">
                  <a:solidFill>
                    <a:schemeClr val="tx2"/>
                  </a:solidFill>
                  <a:latin typeface="Calibri" panose="020F0502020204030204" pitchFamily="34" charset="0"/>
                  <a:ea typeface="+mn-ea"/>
                  <a:cs typeface="Calibri" panose="020F0502020204030204" pitchFamily="34" charset="0"/>
                </a:rPr>
                <a:pPr marL="0" indent="0" algn="ctr"/>
                <a:t>$205K</a:t>
              </a:fld>
              <a:endParaRPr lang="en-US" sz="1800" b="1" i="0" u="none" strike="noStrike">
                <a:solidFill>
                  <a:schemeClr val="tx2"/>
                </a:solidFill>
                <a:latin typeface="Calibri" panose="020F0502020204030204" pitchFamily="34" charset="0"/>
                <a:ea typeface="+mn-ea"/>
                <a:cs typeface="Calibri" panose="020F0502020204030204" pitchFamily="34" charset="0"/>
              </a:endParaRPr>
            </a:p>
          </xdr:txBody>
        </xdr:sp>
        <xdr:sp macro="" textlink="">
          <xdr:nvSpPr>
            <xdr:cNvPr id="33" name="TextBox 32"/>
            <xdr:cNvSpPr txBox="1"/>
          </xdr:nvSpPr>
          <xdr:spPr>
            <a:xfrm>
              <a:off x="4405760" y="657425"/>
              <a:ext cx="2225062"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tx2"/>
                  </a:solidFill>
                  <a:latin typeface="Calibri" panose="020F0502020204030204" pitchFamily="34" charset="0"/>
                  <a:ea typeface="+mn-ea"/>
                  <a:cs typeface="Calibri" panose="020F0502020204030204" pitchFamily="34" charset="0"/>
                </a:rPr>
                <a:t>TOTAL</a:t>
              </a:r>
              <a:r>
                <a:rPr lang="en-US" sz="1800" b="1" i="0" u="none" strike="noStrike">
                  <a:solidFill>
                    <a:schemeClr val="tx2"/>
                  </a:solidFill>
                  <a:latin typeface="Calibri" panose="020F0502020204030204" pitchFamily="34" charset="0"/>
                  <a:ea typeface="+mn-ea"/>
                  <a:cs typeface="Calibri" panose="020F0502020204030204" pitchFamily="34" charset="0"/>
                </a:rPr>
                <a:t> </a:t>
              </a:r>
              <a:r>
                <a:rPr lang="en-US" sz="1400" b="1" i="0" u="none" strike="noStrike">
                  <a:solidFill>
                    <a:schemeClr val="tx2"/>
                  </a:solidFill>
                  <a:latin typeface="Calibri" panose="020F0502020204030204" pitchFamily="34" charset="0"/>
                  <a:ea typeface="+mn-ea"/>
                  <a:cs typeface="Calibri" panose="020F0502020204030204" pitchFamily="34" charset="0"/>
                </a:rPr>
                <a:t>PROFIT</a:t>
              </a:r>
              <a:r>
                <a:rPr lang="en-US" sz="1800" b="1" i="0" u="none" strike="noStrike">
                  <a:solidFill>
                    <a:schemeClr val="tx2"/>
                  </a:solidFill>
                  <a:latin typeface="Calibri" panose="020F0502020204030204" pitchFamily="34" charset="0"/>
                  <a:ea typeface="+mn-ea"/>
                  <a:cs typeface="Calibri" panose="020F0502020204030204" pitchFamily="34" charset="0"/>
                </a:rPr>
                <a:t> </a:t>
              </a:r>
            </a:p>
          </xdr:txBody>
        </xdr:sp>
      </xdr:grpSp>
      <xdr:pic>
        <xdr:nvPicPr>
          <xdr:cNvPr id="27" name="Picture 26"/>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340679" y="830037"/>
            <a:ext cx="512456" cy="512456"/>
          </a:xfrm>
          <a:prstGeom prst="rect">
            <a:avLst/>
          </a:prstGeom>
        </xdr:spPr>
      </xdr:pic>
    </xdr:grpSp>
    <xdr:clientData/>
  </xdr:twoCellAnchor>
  <xdr:twoCellAnchor>
    <xdr:from>
      <xdr:col>10</xdr:col>
      <xdr:colOff>302075</xdr:colOff>
      <xdr:row>4</xdr:row>
      <xdr:rowOff>1360</xdr:rowOff>
    </xdr:from>
    <xdr:to>
      <xdr:col>13</xdr:col>
      <xdr:colOff>272683</xdr:colOff>
      <xdr:row>8</xdr:row>
      <xdr:rowOff>99332</xdr:rowOff>
    </xdr:to>
    <xdr:grpSp>
      <xdr:nvGrpSpPr>
        <xdr:cNvPr id="24" name="Group 23"/>
        <xdr:cNvGrpSpPr/>
      </xdr:nvGrpSpPr>
      <xdr:grpSpPr>
        <a:xfrm>
          <a:off x="7207700" y="858610"/>
          <a:ext cx="2042296" cy="955222"/>
          <a:chOff x="7037613" y="627289"/>
          <a:chExt cx="2560728" cy="944337"/>
        </a:xfrm>
      </xdr:grpSpPr>
      <xdr:grpSp>
        <xdr:nvGrpSpPr>
          <xdr:cNvPr id="42" name="Group 41"/>
          <xdr:cNvGrpSpPr/>
        </xdr:nvGrpSpPr>
        <xdr:grpSpPr>
          <a:xfrm>
            <a:off x="7037613" y="627289"/>
            <a:ext cx="2560728" cy="944337"/>
            <a:chOff x="5214259" y="589444"/>
            <a:chExt cx="1888366" cy="888293"/>
          </a:xfrm>
        </xdr:grpSpPr>
        <xdr:sp macro="" textlink="">
          <xdr:nvSpPr>
            <xdr:cNvPr id="7" name="Rounded Rectangle 6"/>
            <xdr:cNvSpPr/>
          </xdr:nvSpPr>
          <xdr:spPr>
            <a:xfrm>
              <a:off x="5214259" y="615043"/>
              <a:ext cx="1792224" cy="862694"/>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atin typeface="Calibri" panose="020F0502020204030204" pitchFamily="34" charset="0"/>
                <a:cs typeface="Calibri" panose="020F0502020204030204" pitchFamily="34" charset="0"/>
              </a:endParaRPr>
            </a:p>
          </xdr:txBody>
        </xdr:sp>
        <xdr:sp macro="" textlink="'PIVOT TABLE'!K24">
          <xdr:nvSpPr>
            <xdr:cNvPr id="30" name="TextBox 29"/>
            <xdr:cNvSpPr txBox="1"/>
          </xdr:nvSpPr>
          <xdr:spPr>
            <a:xfrm>
              <a:off x="5391149" y="925286"/>
              <a:ext cx="1360714"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F94D3D-94F1-4A3F-BCD3-8AE970D3A233}" type="TxLink">
                <a:rPr lang="en-US" sz="1800" b="1" i="0" u="none" strike="noStrike">
                  <a:solidFill>
                    <a:schemeClr val="tx2"/>
                  </a:solidFill>
                  <a:latin typeface="Calibri" panose="020F0502020204030204" pitchFamily="34" charset="0"/>
                  <a:ea typeface="+mn-ea"/>
                  <a:cs typeface="Calibri" panose="020F0502020204030204" pitchFamily="34" charset="0"/>
                </a:rPr>
                <a:pPr marL="0" indent="0" algn="ctr"/>
                <a:t> 2,000 </a:t>
              </a:fld>
              <a:endParaRPr lang="en-US" sz="1800" b="1" i="0" u="none" strike="noStrike">
                <a:solidFill>
                  <a:schemeClr val="tx2"/>
                </a:solidFill>
                <a:latin typeface="Calibri" panose="020F0502020204030204" pitchFamily="34" charset="0"/>
                <a:ea typeface="+mn-ea"/>
                <a:cs typeface="Calibri" panose="020F0502020204030204" pitchFamily="34" charset="0"/>
              </a:endParaRPr>
            </a:p>
          </xdr:txBody>
        </xdr:sp>
        <xdr:sp macro="" textlink="">
          <xdr:nvSpPr>
            <xdr:cNvPr id="34" name="TextBox 33"/>
            <xdr:cNvSpPr txBox="1"/>
          </xdr:nvSpPr>
          <xdr:spPr>
            <a:xfrm>
              <a:off x="5281991" y="589444"/>
              <a:ext cx="1820634" cy="378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tx2"/>
                  </a:solidFill>
                  <a:latin typeface="Calibri" panose="020F0502020204030204" pitchFamily="34" charset="0"/>
                  <a:ea typeface="+mn-ea"/>
                  <a:cs typeface="Calibri" panose="020F0502020204030204" pitchFamily="34" charset="0"/>
                </a:rPr>
                <a:t>TOTAL ORDERS </a:t>
              </a:r>
            </a:p>
          </xdr:txBody>
        </xdr:sp>
      </xdr:grpSp>
      <xdr:pic>
        <xdr:nvPicPr>
          <xdr:cNvPr id="31" name="Picture 30"/>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116857" y="830037"/>
            <a:ext cx="530358" cy="530358"/>
          </a:xfrm>
          <a:prstGeom prst="rect">
            <a:avLst/>
          </a:prstGeom>
        </xdr:spPr>
      </xdr:pic>
    </xdr:grpSp>
    <xdr:clientData/>
  </xdr:twoCellAnchor>
  <xdr:twoCellAnchor>
    <xdr:from>
      <xdr:col>16</xdr:col>
      <xdr:colOff>244926</xdr:colOff>
      <xdr:row>4</xdr:row>
      <xdr:rowOff>27214</xdr:rowOff>
    </xdr:from>
    <xdr:to>
      <xdr:col>19</xdr:col>
      <xdr:colOff>215534</xdr:colOff>
      <xdr:row>8</xdr:row>
      <xdr:rowOff>125186</xdr:rowOff>
    </xdr:to>
    <xdr:grpSp>
      <xdr:nvGrpSpPr>
        <xdr:cNvPr id="39" name="Group 38"/>
        <xdr:cNvGrpSpPr/>
      </xdr:nvGrpSpPr>
      <xdr:grpSpPr>
        <a:xfrm>
          <a:off x="11293926" y="884464"/>
          <a:ext cx="2042296" cy="955222"/>
          <a:chOff x="11130640" y="843643"/>
          <a:chExt cx="2011680" cy="914400"/>
        </a:xfrm>
      </xdr:grpSpPr>
      <xdr:grpSp>
        <xdr:nvGrpSpPr>
          <xdr:cNvPr id="48" name="Group 47"/>
          <xdr:cNvGrpSpPr/>
        </xdr:nvGrpSpPr>
        <xdr:grpSpPr>
          <a:xfrm>
            <a:off x="11130640" y="843643"/>
            <a:ext cx="2011680" cy="914400"/>
            <a:chOff x="6958691" y="615042"/>
            <a:chExt cx="2095547" cy="879023"/>
          </a:xfrm>
        </xdr:grpSpPr>
        <xdr:sp macro="" textlink="">
          <xdr:nvSpPr>
            <xdr:cNvPr id="50" name="Rounded Rectangle 49"/>
            <xdr:cNvSpPr/>
          </xdr:nvSpPr>
          <xdr:spPr>
            <a:xfrm>
              <a:off x="7108369" y="631371"/>
              <a:ext cx="1792224" cy="862694"/>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atin typeface="Calibri" panose="020F0502020204030204" pitchFamily="34" charset="0"/>
                <a:cs typeface="Calibri" panose="020F0502020204030204" pitchFamily="34" charset="0"/>
              </a:endParaRPr>
            </a:p>
          </xdr:txBody>
        </xdr:sp>
        <xdr:sp macro="" textlink="">
          <xdr:nvSpPr>
            <xdr:cNvPr id="54" name="TextBox 53"/>
            <xdr:cNvSpPr txBox="1"/>
          </xdr:nvSpPr>
          <xdr:spPr>
            <a:xfrm>
              <a:off x="6958691" y="615042"/>
              <a:ext cx="2095547" cy="389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tx2"/>
                  </a:solidFill>
                  <a:latin typeface="Calibri" panose="020F0502020204030204" pitchFamily="34" charset="0"/>
                  <a:ea typeface="+mn-ea"/>
                  <a:cs typeface="Calibri" panose="020F0502020204030204" pitchFamily="34" charset="0"/>
                </a:rPr>
                <a:t>CUSTOMER</a:t>
              </a:r>
              <a:r>
                <a:rPr lang="en-US" sz="1400" b="1" i="0" u="none" strike="noStrike" baseline="0">
                  <a:solidFill>
                    <a:schemeClr val="tx2"/>
                  </a:solidFill>
                  <a:latin typeface="Calibri" panose="020F0502020204030204" pitchFamily="34" charset="0"/>
                  <a:ea typeface="+mn-ea"/>
                  <a:cs typeface="Calibri" panose="020F0502020204030204" pitchFamily="34" charset="0"/>
                </a:rPr>
                <a:t> COUNT</a:t>
              </a:r>
              <a:endParaRPr lang="en-US" sz="1400" b="1" i="0" u="none" strike="noStrike">
                <a:solidFill>
                  <a:schemeClr val="tx2"/>
                </a:solidFill>
                <a:latin typeface="Calibri" panose="020F0502020204030204" pitchFamily="34" charset="0"/>
                <a:ea typeface="+mn-ea"/>
                <a:cs typeface="Calibri" panose="020F0502020204030204" pitchFamily="34" charset="0"/>
              </a:endParaRPr>
            </a:p>
          </xdr:txBody>
        </xdr:sp>
      </xdr:grpSp>
      <xdr:sp macro="" textlink="">
        <xdr:nvSpPr>
          <xdr:cNvPr id="36" name="TextBox 35"/>
          <xdr:cNvSpPr txBox="1"/>
        </xdr:nvSpPr>
        <xdr:spPr>
          <a:xfrm>
            <a:off x="11715750" y="1211036"/>
            <a:ext cx="843642"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solidFill>
                  <a:schemeClr val="tx2"/>
                </a:solidFill>
                <a:latin typeface="Calibri" panose="020F0502020204030204" pitchFamily="34" charset="0"/>
                <a:ea typeface="+mn-ea"/>
                <a:cs typeface="Calibri" panose="020F0502020204030204" pitchFamily="34" charset="0"/>
              </a:rPr>
              <a:t>489</a:t>
            </a:r>
          </a:p>
        </xdr:txBody>
      </xdr:sp>
    </xdr:grpSp>
    <xdr:clientData/>
  </xdr:twoCellAnchor>
  <xdr:twoCellAnchor editAs="oneCell">
    <xdr:from>
      <xdr:col>16</xdr:col>
      <xdr:colOff>435429</xdr:colOff>
      <xdr:row>5</xdr:row>
      <xdr:rowOff>149678</xdr:rowOff>
    </xdr:from>
    <xdr:to>
      <xdr:col>17</xdr:col>
      <xdr:colOff>175696</xdr:colOff>
      <xdr:row>7</xdr:row>
      <xdr:rowOff>162088</xdr:rowOff>
    </xdr:to>
    <xdr:pic>
      <xdr:nvPicPr>
        <xdr:cNvPr id="43" name="Picture 42"/>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321143" y="1170214"/>
          <a:ext cx="420624" cy="420624"/>
        </a:xfrm>
        <a:prstGeom prst="rect">
          <a:avLst/>
        </a:prstGeom>
      </xdr:spPr>
    </xdr:pic>
    <xdr:clientData/>
  </xdr:twoCellAnchor>
  <xdr:twoCellAnchor>
    <xdr:from>
      <xdr:col>3</xdr:col>
      <xdr:colOff>557893</xdr:colOff>
      <xdr:row>20</xdr:row>
      <xdr:rowOff>95249</xdr:rowOff>
    </xdr:from>
    <xdr:to>
      <xdr:col>8</xdr:col>
      <xdr:colOff>217713</xdr:colOff>
      <xdr:row>29</xdr:row>
      <xdr:rowOff>176893</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20.574698495373" createdVersion="5" refreshedVersion="5" minRefreshableVersion="3" recordCount="2000">
  <cacheSource type="worksheet">
    <worksheetSource name="Table1"/>
  </cacheSource>
  <cacheFields count="17">
    <cacheField name="Order ID" numFmtId="0">
      <sharedItems count="20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 v="ORD01201"/>
        <s v="ORD01202"/>
        <s v="ORD01203"/>
        <s v="ORD01204"/>
        <s v="ORD01205"/>
        <s v="ORD01206"/>
        <s v="ORD01207"/>
        <s v="ORD01208"/>
        <s v="ORD01209"/>
        <s v="ORD01210"/>
        <s v="ORD01211"/>
        <s v="ORD01212"/>
        <s v="ORD01213"/>
        <s v="ORD01214"/>
        <s v="ORD01215"/>
        <s v="ORD01216"/>
        <s v="ORD01217"/>
        <s v="ORD01218"/>
        <s v="ORD01219"/>
        <s v="ORD01220"/>
        <s v="ORD01221"/>
        <s v="ORD01222"/>
        <s v="ORD01223"/>
        <s v="ORD01224"/>
        <s v="ORD01225"/>
        <s v="ORD01226"/>
        <s v="ORD01227"/>
        <s v="ORD01228"/>
        <s v="ORD01229"/>
        <s v="ORD01230"/>
        <s v="ORD01231"/>
        <s v="ORD01232"/>
        <s v="ORD01233"/>
        <s v="ORD01234"/>
        <s v="ORD01235"/>
        <s v="ORD01236"/>
        <s v="ORD01237"/>
        <s v="ORD01238"/>
        <s v="ORD01239"/>
        <s v="ORD01240"/>
        <s v="ORD01241"/>
        <s v="ORD01242"/>
        <s v="ORD01243"/>
        <s v="ORD01244"/>
        <s v="ORD01245"/>
        <s v="ORD01246"/>
        <s v="ORD01247"/>
        <s v="ORD01248"/>
        <s v="ORD01249"/>
        <s v="ORD01250"/>
        <s v="ORD01251"/>
        <s v="ORD01252"/>
        <s v="ORD01253"/>
        <s v="ORD01254"/>
        <s v="ORD01255"/>
        <s v="ORD01256"/>
        <s v="ORD01257"/>
        <s v="ORD01258"/>
        <s v="ORD01259"/>
        <s v="ORD01260"/>
        <s v="ORD01261"/>
        <s v="ORD01262"/>
        <s v="ORD01263"/>
        <s v="ORD01264"/>
        <s v="ORD01265"/>
        <s v="ORD01266"/>
        <s v="ORD01267"/>
        <s v="ORD01268"/>
        <s v="ORD01269"/>
        <s v="ORD01270"/>
        <s v="ORD01271"/>
        <s v="ORD01272"/>
        <s v="ORD01273"/>
        <s v="ORD01274"/>
        <s v="ORD01275"/>
        <s v="ORD01276"/>
        <s v="ORD01277"/>
        <s v="ORD01278"/>
        <s v="ORD01279"/>
        <s v="ORD01280"/>
        <s v="ORD01281"/>
        <s v="ORD01282"/>
        <s v="ORD01283"/>
        <s v="ORD01284"/>
        <s v="ORD01285"/>
        <s v="ORD01286"/>
        <s v="ORD01287"/>
        <s v="ORD01288"/>
        <s v="ORD01289"/>
        <s v="ORD01290"/>
        <s v="ORD01291"/>
        <s v="ORD01292"/>
        <s v="ORD01293"/>
        <s v="ORD01294"/>
        <s v="ORD01295"/>
        <s v="ORD01296"/>
        <s v="ORD01297"/>
        <s v="ORD01298"/>
        <s v="ORD01299"/>
        <s v="ORD01300"/>
        <s v="ORD01301"/>
        <s v="ORD01302"/>
        <s v="ORD01303"/>
        <s v="ORD01304"/>
        <s v="ORD01305"/>
        <s v="ORD01306"/>
        <s v="ORD01307"/>
        <s v="ORD01308"/>
        <s v="ORD01309"/>
        <s v="ORD01310"/>
        <s v="ORD01311"/>
        <s v="ORD01312"/>
        <s v="ORD01313"/>
        <s v="ORD01314"/>
        <s v="ORD01315"/>
        <s v="ORD01316"/>
        <s v="ORD01317"/>
        <s v="ORD01318"/>
        <s v="ORD01319"/>
        <s v="ORD01320"/>
        <s v="ORD01321"/>
        <s v="ORD01322"/>
        <s v="ORD01323"/>
        <s v="ORD01324"/>
        <s v="ORD01325"/>
        <s v="ORD01326"/>
        <s v="ORD01327"/>
        <s v="ORD01328"/>
        <s v="ORD01329"/>
        <s v="ORD01330"/>
        <s v="ORD01331"/>
        <s v="ORD01332"/>
        <s v="ORD01333"/>
        <s v="ORD01334"/>
        <s v="ORD01335"/>
        <s v="ORD01336"/>
        <s v="ORD01337"/>
        <s v="ORD01338"/>
        <s v="ORD01339"/>
        <s v="ORD01340"/>
        <s v="ORD01341"/>
        <s v="ORD01342"/>
        <s v="ORD01343"/>
        <s v="ORD01344"/>
        <s v="ORD01345"/>
        <s v="ORD01346"/>
        <s v="ORD01347"/>
        <s v="ORD01348"/>
        <s v="ORD01349"/>
        <s v="ORD01350"/>
        <s v="ORD01351"/>
        <s v="ORD01352"/>
        <s v="ORD01353"/>
        <s v="ORD01354"/>
        <s v="ORD01355"/>
        <s v="ORD01356"/>
        <s v="ORD01357"/>
        <s v="ORD01358"/>
        <s v="ORD01359"/>
        <s v="ORD01360"/>
        <s v="ORD01361"/>
        <s v="ORD01362"/>
        <s v="ORD01363"/>
        <s v="ORD01364"/>
        <s v="ORD01365"/>
        <s v="ORD01366"/>
        <s v="ORD01367"/>
        <s v="ORD01368"/>
        <s v="ORD01369"/>
        <s v="ORD01370"/>
        <s v="ORD01371"/>
        <s v="ORD01372"/>
        <s v="ORD01373"/>
        <s v="ORD01374"/>
        <s v="ORD01375"/>
        <s v="ORD01376"/>
        <s v="ORD01377"/>
        <s v="ORD01378"/>
        <s v="ORD01379"/>
        <s v="ORD01380"/>
        <s v="ORD01381"/>
        <s v="ORD01382"/>
        <s v="ORD01383"/>
        <s v="ORD01384"/>
        <s v="ORD01385"/>
        <s v="ORD01386"/>
        <s v="ORD01387"/>
        <s v="ORD01388"/>
        <s v="ORD01389"/>
        <s v="ORD01390"/>
        <s v="ORD01391"/>
        <s v="ORD01392"/>
        <s v="ORD01393"/>
        <s v="ORD01394"/>
        <s v="ORD01395"/>
        <s v="ORD01396"/>
        <s v="ORD01397"/>
        <s v="ORD01398"/>
        <s v="ORD01399"/>
        <s v="ORD01400"/>
        <s v="ORD01401"/>
        <s v="ORD01402"/>
        <s v="ORD01403"/>
        <s v="ORD01404"/>
        <s v="ORD01405"/>
        <s v="ORD01406"/>
        <s v="ORD01407"/>
        <s v="ORD01408"/>
        <s v="ORD01409"/>
        <s v="ORD01410"/>
        <s v="ORD01411"/>
        <s v="ORD01412"/>
        <s v="ORD01413"/>
        <s v="ORD01414"/>
        <s v="ORD01415"/>
        <s v="ORD01416"/>
        <s v="ORD01417"/>
        <s v="ORD01418"/>
        <s v="ORD01419"/>
        <s v="ORD01420"/>
        <s v="ORD01421"/>
        <s v="ORD01422"/>
        <s v="ORD01423"/>
        <s v="ORD01424"/>
        <s v="ORD01425"/>
        <s v="ORD01426"/>
        <s v="ORD01427"/>
        <s v="ORD01428"/>
        <s v="ORD01429"/>
        <s v="ORD01430"/>
        <s v="ORD01431"/>
        <s v="ORD01432"/>
        <s v="ORD01433"/>
        <s v="ORD01434"/>
        <s v="ORD01435"/>
        <s v="ORD01436"/>
        <s v="ORD01437"/>
        <s v="ORD01438"/>
        <s v="ORD01439"/>
        <s v="ORD01440"/>
        <s v="ORD01441"/>
        <s v="ORD01442"/>
        <s v="ORD01443"/>
        <s v="ORD01444"/>
        <s v="ORD01445"/>
        <s v="ORD01446"/>
        <s v="ORD01447"/>
        <s v="ORD01448"/>
        <s v="ORD01449"/>
        <s v="ORD01450"/>
        <s v="ORD01451"/>
        <s v="ORD01452"/>
        <s v="ORD01453"/>
        <s v="ORD01454"/>
        <s v="ORD01455"/>
        <s v="ORD01456"/>
        <s v="ORD01457"/>
        <s v="ORD01458"/>
        <s v="ORD01459"/>
        <s v="ORD01460"/>
        <s v="ORD01461"/>
        <s v="ORD01462"/>
        <s v="ORD01463"/>
        <s v="ORD01464"/>
        <s v="ORD01465"/>
        <s v="ORD01466"/>
        <s v="ORD01467"/>
        <s v="ORD01468"/>
        <s v="ORD01469"/>
        <s v="ORD01470"/>
        <s v="ORD01471"/>
        <s v="ORD01472"/>
        <s v="ORD01473"/>
        <s v="ORD01474"/>
        <s v="ORD01475"/>
        <s v="ORD01476"/>
        <s v="ORD01477"/>
        <s v="ORD01478"/>
        <s v="ORD01479"/>
        <s v="ORD01480"/>
        <s v="ORD01481"/>
        <s v="ORD01482"/>
        <s v="ORD01483"/>
        <s v="ORD01484"/>
        <s v="ORD01485"/>
        <s v="ORD01486"/>
        <s v="ORD01487"/>
        <s v="ORD01488"/>
        <s v="ORD01489"/>
        <s v="ORD01490"/>
        <s v="ORD01491"/>
        <s v="ORD01492"/>
        <s v="ORD01493"/>
        <s v="ORD01494"/>
        <s v="ORD01495"/>
        <s v="ORD01496"/>
        <s v="ORD01497"/>
        <s v="ORD01498"/>
        <s v="ORD01499"/>
        <s v="ORD01500"/>
        <s v="ORD01501"/>
        <s v="ORD01502"/>
        <s v="ORD01503"/>
        <s v="ORD01504"/>
        <s v="ORD01505"/>
        <s v="ORD01506"/>
        <s v="ORD01507"/>
        <s v="ORD01508"/>
        <s v="ORD01509"/>
        <s v="ORD01510"/>
        <s v="ORD01511"/>
        <s v="ORD01512"/>
        <s v="ORD01513"/>
        <s v="ORD01514"/>
        <s v="ORD01515"/>
        <s v="ORD01516"/>
        <s v="ORD01517"/>
        <s v="ORD01518"/>
        <s v="ORD01519"/>
        <s v="ORD01520"/>
        <s v="ORD01521"/>
        <s v="ORD01522"/>
        <s v="ORD01523"/>
        <s v="ORD01524"/>
        <s v="ORD01525"/>
        <s v="ORD01526"/>
        <s v="ORD01527"/>
        <s v="ORD01528"/>
        <s v="ORD01529"/>
        <s v="ORD01530"/>
        <s v="ORD01531"/>
        <s v="ORD01532"/>
        <s v="ORD01533"/>
        <s v="ORD01534"/>
        <s v="ORD01535"/>
        <s v="ORD01536"/>
        <s v="ORD01537"/>
        <s v="ORD01538"/>
        <s v="ORD01539"/>
        <s v="ORD01540"/>
        <s v="ORD01541"/>
        <s v="ORD01542"/>
        <s v="ORD01543"/>
        <s v="ORD01544"/>
        <s v="ORD01545"/>
        <s v="ORD01546"/>
        <s v="ORD01547"/>
        <s v="ORD01548"/>
        <s v="ORD01549"/>
        <s v="ORD01550"/>
        <s v="ORD01551"/>
        <s v="ORD01552"/>
        <s v="ORD01553"/>
        <s v="ORD01554"/>
        <s v="ORD01555"/>
        <s v="ORD01556"/>
        <s v="ORD01557"/>
        <s v="ORD01558"/>
        <s v="ORD01559"/>
        <s v="ORD01560"/>
        <s v="ORD01561"/>
        <s v="ORD01562"/>
        <s v="ORD01563"/>
        <s v="ORD01564"/>
        <s v="ORD01565"/>
        <s v="ORD01566"/>
        <s v="ORD01567"/>
        <s v="ORD01568"/>
        <s v="ORD01569"/>
        <s v="ORD01570"/>
        <s v="ORD01571"/>
        <s v="ORD01572"/>
        <s v="ORD01573"/>
        <s v="ORD01574"/>
        <s v="ORD01575"/>
        <s v="ORD01576"/>
        <s v="ORD01577"/>
        <s v="ORD01578"/>
        <s v="ORD01579"/>
        <s v="ORD01580"/>
        <s v="ORD01581"/>
        <s v="ORD01582"/>
        <s v="ORD01583"/>
        <s v="ORD01584"/>
        <s v="ORD01585"/>
        <s v="ORD01586"/>
        <s v="ORD01587"/>
        <s v="ORD01588"/>
        <s v="ORD01589"/>
        <s v="ORD01590"/>
        <s v="ORD01591"/>
        <s v="ORD01592"/>
        <s v="ORD01593"/>
        <s v="ORD01594"/>
        <s v="ORD01595"/>
        <s v="ORD01596"/>
        <s v="ORD01597"/>
        <s v="ORD01598"/>
        <s v="ORD01599"/>
        <s v="ORD01600"/>
        <s v="ORD01601"/>
        <s v="ORD01602"/>
        <s v="ORD01603"/>
        <s v="ORD01604"/>
        <s v="ORD01605"/>
        <s v="ORD01606"/>
        <s v="ORD01607"/>
        <s v="ORD01608"/>
        <s v="ORD01609"/>
        <s v="ORD01610"/>
        <s v="ORD01611"/>
        <s v="ORD01612"/>
        <s v="ORD01613"/>
        <s v="ORD01614"/>
        <s v="ORD01615"/>
        <s v="ORD01616"/>
        <s v="ORD01617"/>
        <s v="ORD01618"/>
        <s v="ORD01619"/>
        <s v="ORD01620"/>
        <s v="ORD01621"/>
        <s v="ORD01622"/>
        <s v="ORD01623"/>
        <s v="ORD01624"/>
        <s v="ORD01625"/>
        <s v="ORD01626"/>
        <s v="ORD01627"/>
        <s v="ORD01628"/>
        <s v="ORD01629"/>
        <s v="ORD01630"/>
        <s v="ORD01631"/>
        <s v="ORD01632"/>
        <s v="ORD01633"/>
        <s v="ORD01634"/>
        <s v="ORD01635"/>
        <s v="ORD01636"/>
        <s v="ORD01637"/>
        <s v="ORD01638"/>
        <s v="ORD01639"/>
        <s v="ORD01640"/>
        <s v="ORD01641"/>
        <s v="ORD01642"/>
        <s v="ORD01643"/>
        <s v="ORD01644"/>
        <s v="ORD01645"/>
        <s v="ORD01646"/>
        <s v="ORD01647"/>
        <s v="ORD01648"/>
        <s v="ORD01649"/>
        <s v="ORD01650"/>
        <s v="ORD01651"/>
        <s v="ORD01652"/>
        <s v="ORD01653"/>
        <s v="ORD01654"/>
        <s v="ORD01655"/>
        <s v="ORD01656"/>
        <s v="ORD01657"/>
        <s v="ORD01658"/>
        <s v="ORD01659"/>
        <s v="ORD01660"/>
        <s v="ORD01661"/>
        <s v="ORD01662"/>
        <s v="ORD01663"/>
        <s v="ORD01664"/>
        <s v="ORD01665"/>
        <s v="ORD01666"/>
        <s v="ORD01667"/>
        <s v="ORD01668"/>
        <s v="ORD01669"/>
        <s v="ORD01670"/>
        <s v="ORD01671"/>
        <s v="ORD01672"/>
        <s v="ORD01673"/>
        <s v="ORD01674"/>
        <s v="ORD01675"/>
        <s v="ORD01676"/>
        <s v="ORD01677"/>
        <s v="ORD01678"/>
        <s v="ORD01679"/>
        <s v="ORD01680"/>
        <s v="ORD01681"/>
        <s v="ORD01682"/>
        <s v="ORD01683"/>
        <s v="ORD01684"/>
        <s v="ORD01685"/>
        <s v="ORD01686"/>
        <s v="ORD01687"/>
        <s v="ORD01688"/>
        <s v="ORD01689"/>
        <s v="ORD01690"/>
        <s v="ORD01691"/>
        <s v="ORD01692"/>
        <s v="ORD01693"/>
        <s v="ORD01694"/>
        <s v="ORD01695"/>
        <s v="ORD01696"/>
        <s v="ORD01697"/>
        <s v="ORD01698"/>
        <s v="ORD01699"/>
        <s v="ORD01700"/>
        <s v="ORD01701"/>
        <s v="ORD01702"/>
        <s v="ORD01703"/>
        <s v="ORD01704"/>
        <s v="ORD01705"/>
        <s v="ORD01706"/>
        <s v="ORD01707"/>
        <s v="ORD01708"/>
        <s v="ORD01709"/>
        <s v="ORD01710"/>
        <s v="ORD01711"/>
        <s v="ORD01712"/>
        <s v="ORD01713"/>
        <s v="ORD01714"/>
        <s v="ORD01715"/>
        <s v="ORD01716"/>
        <s v="ORD01717"/>
        <s v="ORD01718"/>
        <s v="ORD01719"/>
        <s v="ORD01720"/>
        <s v="ORD01721"/>
        <s v="ORD01722"/>
        <s v="ORD01723"/>
        <s v="ORD01724"/>
        <s v="ORD01725"/>
        <s v="ORD01726"/>
        <s v="ORD01727"/>
        <s v="ORD01728"/>
        <s v="ORD01729"/>
        <s v="ORD01730"/>
        <s v="ORD01731"/>
        <s v="ORD01732"/>
        <s v="ORD01733"/>
        <s v="ORD01734"/>
        <s v="ORD01735"/>
        <s v="ORD01736"/>
        <s v="ORD01737"/>
        <s v="ORD01738"/>
        <s v="ORD01739"/>
        <s v="ORD01740"/>
        <s v="ORD01741"/>
        <s v="ORD01742"/>
        <s v="ORD01743"/>
        <s v="ORD01744"/>
        <s v="ORD01745"/>
        <s v="ORD01746"/>
        <s v="ORD01747"/>
        <s v="ORD01748"/>
        <s v="ORD01749"/>
        <s v="ORD01750"/>
        <s v="ORD01751"/>
        <s v="ORD01752"/>
        <s v="ORD01753"/>
        <s v="ORD01754"/>
        <s v="ORD01755"/>
        <s v="ORD01756"/>
        <s v="ORD01757"/>
        <s v="ORD01758"/>
        <s v="ORD01759"/>
        <s v="ORD01760"/>
        <s v="ORD01761"/>
        <s v="ORD01762"/>
        <s v="ORD01763"/>
        <s v="ORD01764"/>
        <s v="ORD01765"/>
        <s v="ORD01766"/>
        <s v="ORD01767"/>
        <s v="ORD01768"/>
        <s v="ORD01769"/>
        <s v="ORD01770"/>
        <s v="ORD01771"/>
        <s v="ORD01772"/>
        <s v="ORD01773"/>
        <s v="ORD01774"/>
        <s v="ORD01775"/>
        <s v="ORD01776"/>
        <s v="ORD01777"/>
        <s v="ORD01778"/>
        <s v="ORD01779"/>
        <s v="ORD01780"/>
        <s v="ORD01781"/>
        <s v="ORD01782"/>
        <s v="ORD01783"/>
        <s v="ORD01784"/>
        <s v="ORD01785"/>
        <s v="ORD01786"/>
        <s v="ORD01787"/>
        <s v="ORD01788"/>
        <s v="ORD01789"/>
        <s v="ORD01790"/>
        <s v="ORD01791"/>
        <s v="ORD01792"/>
        <s v="ORD01793"/>
        <s v="ORD01794"/>
        <s v="ORD01795"/>
        <s v="ORD01796"/>
        <s v="ORD01797"/>
        <s v="ORD01798"/>
        <s v="ORD01799"/>
        <s v="ORD01800"/>
        <s v="ORD01801"/>
        <s v="ORD01802"/>
        <s v="ORD01803"/>
        <s v="ORD01804"/>
        <s v="ORD01805"/>
        <s v="ORD01806"/>
        <s v="ORD01807"/>
        <s v="ORD01808"/>
        <s v="ORD01809"/>
        <s v="ORD01810"/>
        <s v="ORD01811"/>
        <s v="ORD01812"/>
        <s v="ORD01813"/>
        <s v="ORD01814"/>
        <s v="ORD01815"/>
        <s v="ORD01816"/>
        <s v="ORD01817"/>
        <s v="ORD01818"/>
        <s v="ORD01819"/>
        <s v="ORD01820"/>
        <s v="ORD01821"/>
        <s v="ORD01822"/>
        <s v="ORD01823"/>
        <s v="ORD01824"/>
        <s v="ORD01825"/>
        <s v="ORD01826"/>
        <s v="ORD01827"/>
        <s v="ORD01828"/>
        <s v="ORD01829"/>
        <s v="ORD01830"/>
        <s v="ORD01831"/>
        <s v="ORD01832"/>
        <s v="ORD01833"/>
        <s v="ORD01834"/>
        <s v="ORD01835"/>
        <s v="ORD01836"/>
        <s v="ORD01837"/>
        <s v="ORD01838"/>
        <s v="ORD01839"/>
        <s v="ORD01840"/>
        <s v="ORD01841"/>
        <s v="ORD01842"/>
        <s v="ORD01843"/>
        <s v="ORD01844"/>
        <s v="ORD01845"/>
        <s v="ORD01846"/>
        <s v="ORD01847"/>
        <s v="ORD01848"/>
        <s v="ORD01849"/>
        <s v="ORD01850"/>
        <s v="ORD01851"/>
        <s v="ORD01852"/>
        <s v="ORD01853"/>
        <s v="ORD01854"/>
        <s v="ORD01855"/>
        <s v="ORD01856"/>
        <s v="ORD01857"/>
        <s v="ORD01858"/>
        <s v="ORD01859"/>
        <s v="ORD01860"/>
        <s v="ORD01861"/>
        <s v="ORD01862"/>
        <s v="ORD01863"/>
        <s v="ORD01864"/>
        <s v="ORD01865"/>
        <s v="ORD01866"/>
        <s v="ORD01867"/>
        <s v="ORD01868"/>
        <s v="ORD01869"/>
        <s v="ORD01870"/>
        <s v="ORD01871"/>
        <s v="ORD01872"/>
        <s v="ORD01873"/>
        <s v="ORD01874"/>
        <s v="ORD01875"/>
        <s v="ORD01876"/>
        <s v="ORD01877"/>
        <s v="ORD01878"/>
        <s v="ORD01879"/>
        <s v="ORD01880"/>
        <s v="ORD01881"/>
        <s v="ORD01882"/>
        <s v="ORD01883"/>
        <s v="ORD01884"/>
        <s v="ORD01885"/>
        <s v="ORD01886"/>
        <s v="ORD01887"/>
        <s v="ORD01888"/>
        <s v="ORD01889"/>
        <s v="ORD01890"/>
        <s v="ORD01891"/>
        <s v="ORD01892"/>
        <s v="ORD01893"/>
        <s v="ORD01894"/>
        <s v="ORD01895"/>
        <s v="ORD01896"/>
        <s v="ORD01897"/>
        <s v="ORD01898"/>
        <s v="ORD01899"/>
        <s v="ORD01900"/>
        <s v="ORD01901"/>
        <s v="ORD01902"/>
        <s v="ORD01903"/>
        <s v="ORD01904"/>
        <s v="ORD01905"/>
        <s v="ORD01906"/>
        <s v="ORD01907"/>
        <s v="ORD01908"/>
        <s v="ORD01909"/>
        <s v="ORD01910"/>
        <s v="ORD01911"/>
        <s v="ORD01912"/>
        <s v="ORD01913"/>
        <s v="ORD01914"/>
        <s v="ORD01915"/>
        <s v="ORD01916"/>
        <s v="ORD01917"/>
        <s v="ORD01918"/>
        <s v="ORD01919"/>
        <s v="ORD01920"/>
        <s v="ORD01921"/>
        <s v="ORD01922"/>
        <s v="ORD01923"/>
        <s v="ORD01924"/>
        <s v="ORD01925"/>
        <s v="ORD01926"/>
        <s v="ORD01927"/>
        <s v="ORD01928"/>
        <s v="ORD01929"/>
        <s v="ORD01930"/>
        <s v="ORD01931"/>
        <s v="ORD01932"/>
        <s v="ORD01933"/>
        <s v="ORD01934"/>
        <s v="ORD01935"/>
        <s v="ORD01936"/>
        <s v="ORD01937"/>
        <s v="ORD01938"/>
        <s v="ORD01939"/>
        <s v="ORD01940"/>
        <s v="ORD01941"/>
        <s v="ORD01942"/>
        <s v="ORD01943"/>
        <s v="ORD01944"/>
        <s v="ORD01945"/>
        <s v="ORD01946"/>
        <s v="ORD01947"/>
        <s v="ORD01948"/>
        <s v="ORD01949"/>
        <s v="ORD01950"/>
        <s v="ORD01951"/>
        <s v="ORD01952"/>
        <s v="ORD01953"/>
        <s v="ORD01954"/>
        <s v="ORD01955"/>
        <s v="ORD01956"/>
        <s v="ORD01957"/>
        <s v="ORD01958"/>
        <s v="ORD01959"/>
        <s v="ORD01960"/>
        <s v="ORD01961"/>
        <s v="ORD01962"/>
        <s v="ORD01963"/>
        <s v="ORD01964"/>
        <s v="ORD01965"/>
        <s v="ORD01966"/>
        <s v="ORD01967"/>
        <s v="ORD01968"/>
        <s v="ORD01969"/>
        <s v="ORD01970"/>
        <s v="ORD01971"/>
        <s v="ORD01972"/>
        <s v="ORD01973"/>
        <s v="ORD01974"/>
        <s v="ORD01975"/>
        <s v="ORD01976"/>
        <s v="ORD01977"/>
        <s v="ORD01978"/>
        <s v="ORD01979"/>
        <s v="ORD01980"/>
        <s v="ORD01981"/>
        <s v="ORD01982"/>
        <s v="ORD01983"/>
        <s v="ORD01984"/>
        <s v="ORD01985"/>
        <s v="ORD01986"/>
        <s v="ORD01987"/>
        <s v="ORD01988"/>
        <s v="ORD01989"/>
        <s v="ORD01990"/>
        <s v="ORD01991"/>
        <s v="ORD01992"/>
        <s v="ORD01993"/>
        <s v="ORD01994"/>
        <s v="ORD01995"/>
        <s v="ORD01996"/>
        <s v="ORD01997"/>
        <s v="ORD01998"/>
        <s v="ORD01999"/>
        <s v="ORD02000"/>
      </sharedItems>
    </cacheField>
    <cacheField name="Order Date" numFmtId="166">
      <sharedItems/>
    </cacheField>
    <cacheField name="Month" numFmtId="166">
      <sharedItems count="12">
        <s v="August"/>
        <s v="September"/>
        <s v="June"/>
        <s v="December"/>
        <s v="July"/>
        <s v="January"/>
        <s v="October"/>
        <s v="March"/>
        <s v="February"/>
        <s v="April"/>
        <s v="November"/>
        <s v="May"/>
      </sharedItems>
    </cacheField>
    <cacheField name="Customer ID" numFmtId="0">
      <sharedItems count="489">
        <s v="C0399"/>
        <s v="C0397"/>
        <s v="C0006"/>
        <s v="C0390"/>
        <s v="C0051"/>
        <s v="C0386"/>
        <s v="C0068"/>
        <s v="C0090"/>
        <s v="C0469"/>
        <s v="C0035"/>
        <s v="C0066"/>
        <s v="C0258"/>
        <s v="C0198"/>
        <s v="C0083"/>
        <s v="C0371"/>
        <s v="C0484"/>
        <s v="C0231"/>
        <s v="C0365"/>
        <s v="C0369"/>
        <s v="C0438"/>
        <s v="C0477"/>
        <s v="C0075"/>
        <s v="C0031"/>
        <s v="C0296"/>
        <s v="C0426"/>
        <s v="C0069"/>
        <s v="C0064"/>
        <s v="C0173"/>
        <s v="C0233"/>
        <s v="C0172"/>
        <s v="C0058"/>
        <s v="C0437"/>
        <s v="C0155"/>
        <s v="C0302"/>
        <s v="C0072"/>
        <s v="C0206"/>
        <s v="C0113"/>
        <s v="C0108"/>
        <s v="C0129"/>
        <s v="C0200"/>
        <s v="C0379"/>
        <s v="C0116"/>
        <s v="C0486"/>
        <s v="C0368"/>
        <s v="C0306"/>
        <s v="C0286"/>
        <s v="C0079"/>
        <s v="C0112"/>
        <s v="C0373"/>
        <s v="C0252"/>
        <s v="C0475"/>
        <s v="C0199"/>
        <s v="C0463"/>
        <s v="C0360"/>
        <s v="C0042"/>
        <s v="C0443"/>
        <s v="C0295"/>
        <s v="C0375"/>
        <s v="C0067"/>
        <s v="C0255"/>
        <s v="C0401"/>
        <s v="C0219"/>
        <s v="C0406"/>
        <s v="C0105"/>
        <s v="C0193"/>
        <s v="C0021"/>
        <s v="C0473"/>
        <s v="C0304"/>
        <s v="C0363"/>
        <s v="C0342"/>
        <s v="C0152"/>
        <s v="C0225"/>
        <s v="C0256"/>
        <s v="C0270"/>
        <s v="C0135"/>
        <s v="C0177"/>
        <s v="C0350"/>
        <s v="C0164"/>
        <s v="C0187"/>
        <s v="C0127"/>
        <s v="C0076"/>
        <s v="C0346"/>
        <s v="C0204"/>
        <s v="C0414"/>
        <s v="C0134"/>
        <s v="C0280"/>
        <s v="C0036"/>
        <s v="C0139"/>
        <s v="C0308"/>
        <s v="C0300"/>
        <s v="C0281"/>
        <s v="C0020"/>
        <s v="C0015"/>
        <s v="C0453"/>
        <s v="C0440"/>
        <s v="C0376"/>
        <s v="C0383"/>
        <s v="C0249"/>
        <s v="C0479"/>
        <s v="C0254"/>
        <s v="C0496"/>
        <s v="C0212"/>
        <s v="C0244"/>
        <s v="C0404"/>
        <s v="C0122"/>
        <s v="C0176"/>
        <s v="C0167"/>
        <s v="C0277"/>
        <s v="C0196"/>
        <s v="C0017"/>
        <s v="C0261"/>
        <s v="C0228"/>
        <s v="C0316"/>
        <s v="C0040"/>
        <s v="C0123"/>
        <s v="C0430"/>
        <s v="C0294"/>
        <s v="C0132"/>
        <s v="C0445"/>
        <s v="C0318"/>
        <s v="C0416"/>
        <s v="C0103"/>
        <s v="C0044"/>
        <s v="C0189"/>
        <s v="C0288"/>
        <s v="C0186"/>
        <s v="C0320"/>
        <s v="C0165"/>
        <s v="C0494"/>
        <s v="C0178"/>
        <s v="C0078"/>
        <s v="C0452"/>
        <s v="C0374"/>
        <s v="C0429"/>
        <s v="C0339"/>
        <s v="C0456"/>
        <s v="C0307"/>
        <s v="C0183"/>
        <s v="C0093"/>
        <s v="C0340"/>
        <s v="C0435"/>
        <s v="C0471"/>
        <s v="C0322"/>
        <s v="C0008"/>
        <s v="C0099"/>
        <s v="C0382"/>
        <s v="C0009"/>
        <s v="C0427"/>
        <s v="C0393"/>
        <s v="C0110"/>
        <s v="C0071"/>
        <s v="C0264"/>
        <s v="C0029"/>
        <s v="C0460"/>
        <s v="C0111"/>
        <s v="C0483"/>
        <s v="C0162"/>
        <s v="C0016"/>
        <s v="C0349"/>
        <s v="C0048"/>
        <s v="C0182"/>
        <s v="C0131"/>
        <s v="C0481"/>
        <s v="C0082"/>
        <s v="C0425"/>
        <s v="C0207"/>
        <s v="C0174"/>
        <s v="C0063"/>
        <s v="C0422"/>
        <s v="C0269"/>
        <s v="C0478"/>
        <s v="C0464"/>
        <s v="C0081"/>
        <s v="C0100"/>
        <s v="C0297"/>
        <s v="C0291"/>
        <s v="C0184"/>
        <s v="C0274"/>
        <s v="C0007"/>
        <s v="C0412"/>
        <s v="C0224"/>
        <s v="C0003"/>
        <s v="C0403"/>
        <s v="C0370"/>
        <s v="C0074"/>
        <s v="C0117"/>
        <s v="C0202"/>
        <s v="C0102"/>
        <s v="C0226"/>
        <s v="C0380"/>
        <s v="C0046"/>
        <s v="C0284"/>
        <s v="C0235"/>
        <s v="C0026"/>
        <s v="C0436"/>
        <s v="C0011"/>
        <s v="C0407"/>
        <s v="C0413"/>
        <s v="C0119"/>
        <s v="C0041"/>
        <s v="C0377"/>
        <s v="C0104"/>
        <s v="C0448"/>
        <s v="C0499"/>
        <s v="C0331"/>
        <s v="C0431"/>
        <s v="C0106"/>
        <s v="C0432"/>
        <s v="C0050"/>
        <s v="C0347"/>
        <s v="C0389"/>
        <s v="C0032"/>
        <s v="C0315"/>
        <s v="C0143"/>
        <s v="C0157"/>
        <s v="C0467"/>
        <s v="C0203"/>
        <s v="C0419"/>
        <s v="C0213"/>
        <s v="C0324"/>
        <s v="C0455"/>
        <s v="C0391"/>
        <s v="C0314"/>
        <s v="C0493"/>
        <s v="C0056"/>
        <s v="C0338"/>
        <s v="C0457"/>
        <s v="C0310"/>
        <s v="C0238"/>
        <s v="C0441"/>
        <s v="C0215"/>
        <s v="C0287"/>
        <s v="C0247"/>
        <s v="C0424"/>
        <s v="C0480"/>
        <s v="C0462"/>
        <s v="C0201"/>
        <s v="C0192"/>
        <s v="C0266"/>
        <s v="C0341"/>
        <s v="C0442"/>
        <s v="C0299"/>
        <s v="C0271"/>
        <s v="C0185"/>
        <s v="C0262"/>
        <s v="C0223"/>
        <s v="C0012"/>
        <s v="C0421"/>
        <s v="C0278"/>
        <s v="C0039"/>
        <s v="C0094"/>
        <s v="C0400"/>
        <s v="C0220"/>
        <s v="C0323"/>
        <s v="C0268"/>
        <s v="C0489"/>
        <s v="C0161"/>
        <s v="C0166"/>
        <s v="C0209"/>
        <s v="C0120"/>
        <s v="C0033"/>
        <s v="C0142"/>
        <s v="C0179"/>
        <s v="C0045"/>
        <s v="C0229"/>
        <s v="C0115"/>
        <s v="C0336"/>
        <s v="C0335"/>
        <s v="C0388"/>
        <s v="C0495"/>
        <s v="C0392"/>
        <s v="C0428"/>
        <s v="C0210"/>
        <s v="C0140"/>
        <s v="C0488"/>
        <s v="C0128"/>
        <s v="C0289"/>
        <s v="C0171"/>
        <s v="C0260"/>
        <s v="C0214"/>
        <s v="C0476"/>
        <s v="C0395"/>
        <s v="C0057"/>
        <s v="C0088"/>
        <s v="C0275"/>
        <s v="C0352"/>
        <s v="C0472"/>
        <s v="C0043"/>
        <s v="C0146"/>
        <s v="C0361"/>
        <s v="C0160"/>
        <s v="C0408"/>
        <s v="C0126"/>
        <s v="C0240"/>
        <s v="C0227"/>
        <s v="C0149"/>
        <s v="C0101"/>
        <s v="C0124"/>
        <s v="C0468"/>
        <s v="C0217"/>
        <s v="C0089"/>
        <s v="C0485"/>
        <s v="C0451"/>
        <s v="C0357"/>
        <s v="C0470"/>
        <s v="C0491"/>
        <s v="C0144"/>
        <s v="C0461"/>
        <s v="C0257"/>
        <s v="C0433"/>
        <s v="C0018"/>
        <s v="C0180"/>
        <s v="C0028"/>
        <s v="C0125"/>
        <s v="C0197"/>
        <s v="C0353"/>
        <s v="C0098"/>
        <s v="C0130"/>
        <s v="C0137"/>
        <s v="C0232"/>
        <s v="C0218"/>
        <s v="C0348"/>
        <s v="C0138"/>
        <s v="C0387"/>
        <s v="C0487"/>
        <s v="C0356"/>
        <s v="C0216"/>
        <s v="C0313"/>
        <s v="C0366"/>
        <s v="C0004"/>
        <s v="C0276"/>
        <s v="C0005"/>
        <s v="C0410"/>
        <s v="C0378"/>
        <s v="C0194"/>
        <s v="C0133"/>
        <s v="C0053"/>
        <s v="C0087"/>
        <s v="C0367"/>
        <s v="C0121"/>
        <s v="C0490"/>
        <s v="C0439"/>
        <s v="C0423"/>
        <s v="C0355"/>
        <s v="C0415"/>
        <s v="C0205"/>
        <s v="C0328"/>
        <s v="C0326"/>
        <s v="C0145"/>
        <s v="C0245"/>
        <s v="C0265"/>
        <s v="C0458"/>
        <s v="C0273"/>
        <s v="C0466"/>
        <s v="C0010"/>
        <s v="C0023"/>
        <s v="C0118"/>
        <s v="C0037"/>
        <s v="C0449"/>
        <s v="C0409"/>
        <s v="C0236"/>
        <s v="C0482"/>
        <s v="C0191"/>
        <s v="C0402"/>
        <s v="C0385"/>
        <s v="C0447"/>
        <s v="C0070"/>
        <s v="C0168"/>
        <s v="C0096"/>
        <s v="C0060"/>
        <s v="C0097"/>
        <s v="C0450"/>
        <s v="C0337"/>
        <s v="C0344"/>
        <s v="C0250"/>
        <s v="C0492"/>
        <s v="C0091"/>
        <s v="C0211"/>
        <s v="C0158"/>
        <s v="C0334"/>
        <s v="C0022"/>
        <s v="C0321"/>
        <s v="C0259"/>
        <s v="C0362"/>
        <s v="C0054"/>
        <s v="C0170"/>
        <s v="C0025"/>
        <s v="C0381"/>
        <s v="C0153"/>
        <s v="C0147"/>
        <s v="C0500"/>
        <s v="C0181"/>
        <s v="C0030"/>
        <s v="C0325"/>
        <s v="C0446"/>
        <s v="C0190"/>
        <s v="C0384"/>
        <s v="C0034"/>
        <s v="C0454"/>
        <s v="C0253"/>
        <s v="C0114"/>
        <s v="C0019"/>
        <s v="C0241"/>
        <s v="C0092"/>
        <s v="C0061"/>
        <s v="C0024"/>
        <s v="C0405"/>
        <s v="C0208"/>
        <s v="C0095"/>
        <s v="C0329"/>
        <s v="C0047"/>
        <s v="C0246"/>
        <s v="C0301"/>
        <s v="C0059"/>
        <s v="C0150"/>
        <s v="C0136"/>
        <s v="C0345"/>
        <s v="C0292"/>
        <s v="C0242"/>
        <s v="C0311"/>
        <s v="C0290"/>
        <s v="C0156"/>
        <s v="C0459"/>
        <s v="C0351"/>
        <s v="C0151"/>
        <s v="C0420"/>
        <s v="C0358"/>
        <s v="C0394"/>
        <s v="C0188"/>
        <s v="C0303"/>
        <s v="C0417"/>
        <s v="C0148"/>
        <s v="C0498"/>
        <s v="C0465"/>
        <s v="C0333"/>
        <s v="C0327"/>
        <s v="C0411"/>
        <s v="C0239"/>
        <s v="C0049"/>
        <s v="C0434"/>
        <s v="C0330"/>
        <s v="C0267"/>
        <s v="C0497"/>
        <s v="C0107"/>
        <s v="C0282"/>
        <s v="C0175"/>
        <s v="C0109"/>
        <s v="C0159"/>
        <s v="C0263"/>
        <s v="C0086"/>
        <s v="C0080"/>
        <s v="C0065"/>
        <s v="C0243"/>
        <s v="C0248"/>
        <s v="C0283"/>
        <s v="C0077"/>
        <s v="C0052"/>
        <s v="C0418"/>
        <s v="C0169"/>
        <s v="C0279"/>
        <s v="C0234"/>
        <s v="C0312"/>
        <s v="C0230"/>
        <s v="C0237"/>
        <s v="C0084"/>
        <s v="C0141"/>
        <s v="C0163"/>
        <s v="C0001"/>
        <s v="C0062"/>
        <s v="C0444"/>
        <s v="C0014"/>
        <s v="C0364"/>
        <s v="C0222"/>
        <s v="C0055"/>
        <s v="C0195"/>
        <s v="C0073"/>
        <s v="C0317"/>
        <s v="C0293"/>
        <s v="C0396"/>
        <s v="C0474"/>
        <s v="C0002"/>
        <s v="C0221"/>
        <s v="C0272"/>
        <s v="C0332"/>
        <s v="C0285"/>
        <s v="C0372"/>
        <s v="C0343"/>
        <s v="C0251"/>
        <s v="C0013"/>
      </sharedItems>
    </cacheField>
    <cacheField name="Customer Name" numFmtId="165">
      <sharedItems count="493">
        <s v="Customer 315"/>
        <s v="Customer 311"/>
        <s v="Customer 73"/>
        <s v="Customer 303"/>
        <s v="Customer 7"/>
        <s v="Customer 448"/>
        <s v="Customer 461"/>
        <s v="Customer 262"/>
        <s v="Customer 362"/>
        <s v="Customer 144"/>
        <s v="Customer 206"/>
        <s v="Customer 435"/>
        <s v="Customer 48"/>
        <s v="Customer 499"/>
        <s v="Customer 496"/>
        <s v="Customer 396"/>
        <s v="Customer 62"/>
        <s v="Customer 278"/>
        <s v="Customer 156"/>
        <s v="Customer 133"/>
        <s v="Customer 269"/>
        <s v="Customer 253"/>
        <s v="Customer 277"/>
        <s v="Customer 187"/>
        <s v="Customer 113"/>
        <s v="Customer 299"/>
        <s v="Customer 279"/>
        <s v="Customer 363"/>
        <s v="Customer 157"/>
        <s v="Customer 276"/>
        <s v="Customer 225"/>
        <s v="Customer 221"/>
        <s v="Customer 464"/>
        <s v="Customer 307"/>
        <s v="Customer 87"/>
        <s v="Customer 295"/>
        <s v="Customer 178"/>
        <s v="Customer 484"/>
        <s v="Customer 443"/>
        <s v="Customer 162"/>
        <s v="Customer 354"/>
        <s v="Customer 135"/>
        <s v="Customer 454"/>
        <s v="Customer 6"/>
        <s v="Customer 446"/>
        <s v="Customer 17"/>
        <s v="Customer 257"/>
        <s v="Customer 47"/>
        <s v="Customer 199"/>
        <s v="Customer 367"/>
        <s v="Customer 324"/>
        <s v="Customer 104"/>
        <s v="Customer 117"/>
        <s v="Customer 361"/>
        <s v="Customer 330"/>
        <s v="Customer 183"/>
        <s v="Customer 283"/>
        <s v="Customer 392"/>
        <s v="Customer 326"/>
        <s v="Customer 51"/>
        <s v="Customer 375"/>
        <s v="Customer 196"/>
        <s v="Customer 33"/>
        <s v="Customer 91"/>
        <s v="Customer 314"/>
        <s v="Customer 332"/>
        <s v="Customer 217"/>
        <s v="Customer 374"/>
        <s v="Customer 185"/>
        <s v="Customer 489"/>
        <s v="Customer 31"/>
        <s v="Customer 1"/>
        <s v="Customer 163"/>
        <s v="Customer 158"/>
        <s v="Customer 331"/>
        <s v="Customer 37"/>
        <s v="Customer 207"/>
        <s v="Customer 191"/>
        <s v="Customer 249"/>
        <s v="Customer 408"/>
        <s v="Customer 338"/>
        <s v="Customer 13"/>
        <s v="Customer 102"/>
        <s v="Customer 441"/>
        <s v="Customer 241"/>
        <s v="Customer 260"/>
        <s v="Customer 343"/>
        <s v="Customer 360"/>
        <s v="Customer 96"/>
        <s v="Customer 463"/>
        <s v="Customer 422"/>
        <s v="Customer 235"/>
        <s v="Customer 110"/>
        <s v="Customer 286"/>
        <s v="Customer 294"/>
        <s v="Customer 366"/>
        <s v="Customer 243"/>
        <s v="Customer 335"/>
        <s v="Customer 214"/>
        <s v="Customer 447"/>
        <s v="Customer 205"/>
        <s v="Customer 43"/>
        <s v="Customer 402"/>
        <s v="Customer 28"/>
        <s v="Customer 197"/>
        <s v="Customer 57"/>
        <s v="Customer 152"/>
        <s v="Customer 255"/>
        <s v="Customer 413"/>
        <s v="Customer 140"/>
        <s v="Customer 333"/>
        <s v="Customer 218"/>
        <s v="Customer 15"/>
        <s v="Customer 258"/>
        <s v="Customer 2"/>
        <s v="Customer 90"/>
        <s v="Customer 475"/>
        <s v="Customer 131"/>
        <s v="Customer 19"/>
        <s v="Customer 166"/>
        <s v="Customer 439"/>
        <s v="Customer 376"/>
        <s v="Customer 99"/>
        <s v="Customer 400"/>
        <s v="Customer 459"/>
        <s v="Customer 66"/>
        <s v="Customer 342"/>
        <s v="Customer 394"/>
        <s v="Customer 50"/>
        <s v="Customer 409"/>
        <s v="Customer 370"/>
        <s v="Customer 95"/>
        <s v="Customer 168"/>
        <s v="Customer 111"/>
        <s v="Customer 323"/>
        <s v="Customer 182"/>
        <s v="Customer 161"/>
        <s v="Customer 481"/>
        <s v="Customer 274"/>
        <s v="Customer 356"/>
        <s v="Customer 120"/>
        <s v="Customer 145"/>
        <s v="Customer 263"/>
        <s v="Customer 208"/>
        <s v="Customer 395"/>
        <s v="Customer 245"/>
        <s v="Customer 116"/>
        <s v="Customer 136"/>
        <s v="Customer 71"/>
        <s v="Customer 130"/>
        <s v="Customer 401"/>
        <s v="Customer 143"/>
        <s v="Customer 425"/>
        <s v="Customer 84"/>
        <s v="Customer 164"/>
        <s v="Customer 455"/>
        <s v="Customer 386"/>
        <s v="Customer 79"/>
        <s v="Customer 434"/>
        <s v="Customer 30"/>
        <s v="Customer 98"/>
        <s v="Customer 399"/>
        <s v="Customer 234"/>
        <s v="Customer 172"/>
        <s v="Customer 493"/>
        <s v="Customer 381"/>
        <s v="Customer 474"/>
        <s v="Customer 204"/>
        <s v="Customer 226"/>
        <s v="Customer 232"/>
        <s v="Customer 82"/>
        <s v="Customer 128"/>
        <s v="Customer 364"/>
        <s v="Customer 177"/>
        <s v="Customer 132"/>
        <s v="Customer 127"/>
        <s v="Customer 244"/>
        <s v="Customer 259"/>
        <s v="Customer 139"/>
        <s v="Customer 108"/>
        <s v="Customer 498"/>
        <s v="Customer 70"/>
        <s v="Customer 298"/>
        <s v="Customer 334"/>
        <s v="Customer 494"/>
        <s v="Customer 414"/>
        <s v="Customer 184"/>
        <s v="Customer 167"/>
        <s v="Customer 101"/>
        <s v="Customer 52"/>
        <s v="Customer 388"/>
        <s v="Customer 285"/>
        <s v="Customer 313"/>
        <s v="Customer 39"/>
        <s v="Customer 387"/>
        <s v="Customer 423"/>
        <s v="Customer 200"/>
        <s v="Customer 301"/>
        <s v="Customer 318"/>
        <s v="Customer 471"/>
        <s v="Customer 431"/>
        <s v="Customer 107"/>
        <s v="Customer 420"/>
        <s v="Customer 468"/>
        <s v="Customer 119"/>
        <s v="Customer 480"/>
        <s v="Customer 23"/>
        <s v="Customer 12"/>
        <s v="Customer 35"/>
        <s v="Customer 150"/>
        <s v="Customer 373"/>
        <s v="Customer 266"/>
        <s v="Customer 103"/>
        <s v="Customer 180"/>
        <s v="Customer 310"/>
        <s v="Customer 219"/>
        <s v="Customer 421"/>
        <s v="Customer 67"/>
        <s v="Customer 379"/>
        <s v="Customer 159"/>
        <s v="Customer 485"/>
        <s v="Customer 416"/>
        <s v="Customer 430"/>
        <s v="Customer 212"/>
        <s v="Customer 292"/>
        <s v="Customer 465"/>
        <s v="Customer 77"/>
        <s v="Customer 125"/>
        <s v="Customer 83"/>
        <s v="Customer 291"/>
        <s v="Customer 490"/>
        <s v="Customer 288"/>
        <s v="Customer 213"/>
        <s v="Customer 11"/>
        <s v="Customer 29"/>
        <s v="Customer 68"/>
        <s v="Customer 433"/>
        <s v="Customer 146"/>
        <s v="Customer 224"/>
        <s v="Customer 403"/>
        <s v="Customer 357"/>
        <s v="Customer 58"/>
        <s v="Customer 325"/>
        <s v="Customer 495"/>
        <s v="Customer 457"/>
        <s v="Customer 10"/>
        <s v="Customer 407"/>
        <s v="Customer 321"/>
        <s v="Customer 147"/>
        <s v="Customer 124"/>
        <s v="Customer 86"/>
        <s v="Customer 72"/>
        <s v="Customer 14"/>
        <s v="Customer 282"/>
        <s v="Customer 289"/>
        <s v="Customer 472"/>
        <s v="Customer 160"/>
        <s v="Customer 322"/>
        <s v="Customer 141"/>
        <s v="Customer 56"/>
        <s v="Customer 165"/>
        <s v="Customer 142"/>
        <s v="Customer 170"/>
        <s v="Customer 410"/>
        <s v="Customer 55"/>
        <s v="Customer 27"/>
        <s v="Customer 478"/>
        <s v="Customer 352"/>
        <s v="Customer 254"/>
        <s v="Customer 192"/>
        <s v="Customer 290"/>
        <s v="Customer 248"/>
        <s v="Customer 9"/>
        <s v="Customer 3"/>
        <s v="Customer 195"/>
        <s v="Customer 49"/>
        <s v="Customer 456"/>
        <s v="Customer 114"/>
        <s v="Customer 428"/>
        <s v="Customer 223"/>
        <s v="Customer 304"/>
        <s v="Customer 432"/>
        <s v="Customer 45"/>
        <s v="Customer 121"/>
        <s v="Customer 308"/>
        <s v="Customer 487"/>
        <s v="Customer 348"/>
        <s v="Customer 296"/>
        <s v="Customer 327"/>
        <s v="Customer 351"/>
        <s v="Customer 404"/>
        <s v="Customer 126"/>
        <s v="Customer 256"/>
        <s v="Customer 275"/>
        <s v="Customer 271"/>
        <s v="Customer 452"/>
        <s v="Customer 365"/>
        <s v="Customer 418"/>
        <s v="Customer 319"/>
        <s v="Customer 390"/>
        <s v="Customer 336"/>
        <s v="Customer 449"/>
        <s v="Customer 458"/>
        <s v="Customer 280"/>
        <s v="Customer 112"/>
        <s v="Customer 442"/>
        <s v="Customer 53"/>
        <s v="Customer 227"/>
        <s v="Customer 236"/>
        <s v="Customer 174"/>
        <s v="Customer 317"/>
        <s v="Customer 231"/>
        <s v="Customer 419"/>
        <s v="Customer 194"/>
        <s v="Customer 238"/>
        <s v="Customer 444"/>
        <s v="Customer 412"/>
        <s v="Customer 268"/>
        <s v="Customer 250"/>
        <s v="Customer 181"/>
        <s v="Customer 500"/>
        <s v="Customer 466"/>
        <s v="Customer 171"/>
        <s v="Customer 492"/>
        <s v="Customer 482"/>
        <s v="Customer 316"/>
        <s v="Customer 445"/>
        <s v="Customer 339"/>
        <s v="Customer 215"/>
        <s v="Customer 450"/>
        <s v="Customer 21"/>
        <s v="Customer 427"/>
        <s v="Customer 36"/>
        <s v="Customer 344"/>
        <s v="Customer 328"/>
        <s v="Customer 467"/>
        <s v="Customer 190"/>
        <s v="Customer 451"/>
        <s v="Customer 337"/>
        <s v="Customer 372"/>
        <s v="Customer 26"/>
        <s v="Customer 380"/>
        <s v="Customer 267"/>
        <s v="Customer 92"/>
        <s v="Customer 69"/>
        <s v="Customer 169"/>
        <s v="Customer 61"/>
        <s v="Customer 438"/>
        <s v="Customer 106"/>
        <s v="Customer 60"/>
        <s v="Customer 149"/>
        <s v="Customer 201"/>
        <s v="Customer 272"/>
        <s v="Customer 273"/>
        <s v="Customer 97"/>
        <s v="Customer 371"/>
        <s v="Customer 216"/>
        <s v="Customer 22"/>
        <s v="Customer 341"/>
        <s v="Customer 264"/>
        <s v="Customer 378"/>
        <s v="Customer 302"/>
        <s v="Customer 312"/>
        <s v="Customer 247"/>
        <s v="Customer 369"/>
        <s v="Customer 237"/>
        <s v="Customer 74"/>
        <s v="Customer 368"/>
        <s v="Customer 105"/>
        <s v="Customer 94"/>
        <s v="Customer 211"/>
        <s v="Customer 350"/>
        <s v="Customer 85"/>
        <s v="Customer 261"/>
        <s v="Customer 154"/>
        <s v="Customer 24"/>
        <s v="Customer 306"/>
        <s v="Customer 437"/>
        <s v="Customer 115"/>
        <s v="Customer 359"/>
        <s v="Customer 16"/>
        <s v="Customer 391"/>
        <s v="Customer 239"/>
        <s v="Customer 88"/>
        <s v="Customer 78"/>
        <s v="Customer 32"/>
        <s v="Customer 134"/>
        <s v="Customer 5"/>
        <s v="Customer 41"/>
        <s v="Customer 486"/>
        <s v="Customer 151"/>
        <s v="Customer 346"/>
        <s v="Customer 358"/>
        <s v="Customer 305"/>
        <s v="Customer 440"/>
        <s v="Customer 179"/>
        <s v="Customer 417"/>
        <s v="Customer 382"/>
        <s v="Customer 123"/>
        <s v="Customer 20"/>
        <s v="Customer 297"/>
        <s v="Customer 349"/>
        <s v="Customer 353"/>
        <s v="Customer 228"/>
        <s v="Customer 488"/>
        <s v="Customer 406"/>
        <s v="Customer 270"/>
        <s v="Customer 397"/>
        <s v="Customer 479"/>
        <s v="Customer 284"/>
        <s v="Customer 148"/>
        <s v="Customer 411"/>
        <s v="Customer 129"/>
        <s v="Customer 59"/>
        <s v="Customer 483"/>
        <s v="Customer 25"/>
        <s v="Customer 281"/>
        <s v="Customer 153"/>
        <s v="Customer 138"/>
        <s v="Customer 293"/>
        <s v="Customer 377"/>
        <s v="Customer 385"/>
        <s v="Customer 415"/>
        <s v="Customer 76"/>
        <s v="Customer 89"/>
        <s v="Customer 46"/>
        <s v="Customer 81"/>
        <s v="Customer 436"/>
        <s v="Customer 477"/>
        <s v="Customer 222"/>
        <s v="Customer 398"/>
        <s v="Customer 469"/>
        <s v="Customer 34"/>
        <s v="Customer 251"/>
        <s v="Customer 8"/>
        <s v="Customer 38"/>
        <s v="Customer 345"/>
        <s v="Customer 429"/>
        <s v="Customer 246"/>
        <s v="Customer 497"/>
        <s v="Customer 64"/>
        <s v="Customer 233"/>
        <s v="Customer 383"/>
        <s v="Customer 65"/>
        <s v="Customer 389"/>
        <s v="Customer 240"/>
        <s v="Customer 18"/>
        <s v="Customer 198"/>
        <s v="Customer 173"/>
        <s v="Customer 220"/>
        <s v="Customer 193"/>
        <s v="Customer 405"/>
        <s v="Customer 100"/>
        <s v="Customer 40"/>
        <s v="Customer 329"/>
        <s v="Customer 426"/>
        <s v="Customer 476"/>
        <s v="Customer 384"/>
        <s v="Customer 118"/>
        <s v="Customer 80"/>
        <s v="Customer 209"/>
        <s v="Customer 44"/>
        <s v="Customer 309"/>
        <s v="Customer 355"/>
        <s v="Customer 460"/>
        <s v="Customer 109"/>
        <s v="Customer 122"/>
        <s v="Customer 462"/>
        <s v="Customer 347"/>
        <s v="Customer 189"/>
        <s v="Customer 137"/>
        <s v="Customer 202"/>
        <s v="Customer 63"/>
        <s v="Customer 252"/>
        <s v="Customer 186"/>
        <s v="Customer 4"/>
        <s v="Customer 188"/>
        <s v="Customer 54"/>
        <s v="Customer 93"/>
        <s v="Customer 491"/>
        <s v="Customer 42"/>
        <s v="Customer 300"/>
        <s v="Customer 340"/>
        <s v="Customer 470"/>
        <s v="Customer 229"/>
        <s v="Customer 393"/>
        <s v="Customer 473"/>
        <s v="Customer 203"/>
        <s v="Customer 230"/>
        <s v="Customer 287"/>
        <s v="Customer 210"/>
        <s v="Customer 453"/>
        <s v="Customer 320"/>
      </sharedItems>
    </cacheField>
    <cacheField name="Region" numFmtId="0">
      <sharedItems count="5">
        <s v="Lagos"/>
        <s v="Ibadan"/>
        <s v="Kano"/>
        <s v="Abuja"/>
        <s v="Port Harcourt"/>
      </sharedItems>
    </cacheField>
    <cacheField name="Product Category" numFmtId="0">
      <sharedItems count="4">
        <s v="Groceries"/>
        <s v="Fashion"/>
        <s v="Electronics"/>
        <s v="Home"/>
      </sharedItems>
    </cacheField>
    <cacheField name="Product" numFmtId="0">
      <sharedItems count="13">
        <s v="Pasta"/>
        <s v="Jeans"/>
        <s v="Headphones"/>
        <s v="Rice"/>
        <s v="Speaker"/>
        <s v="Mouse"/>
        <s v="Keyboard"/>
        <s v="Cooking Oil"/>
        <s v="T-Shirt"/>
        <s v="Fan"/>
        <s v="Sneakers"/>
        <s v="Kettle"/>
        <s v="Blender"/>
      </sharedItems>
    </cacheField>
    <cacheField name="Quantity" numFmtId="0">
      <sharedItems containsSemiMixedTypes="0" containsString="0" containsNumber="1" containsInteger="1" minValue="1" maxValue="8"/>
    </cacheField>
    <cacheField name="Unit Price" numFmtId="164">
      <sharedItems containsSemiMixedTypes="0" containsString="0" containsNumber="1" minValue="10" maxValue="249.83"/>
    </cacheField>
    <cacheField name="Discount" numFmtId="9">
      <sharedItems containsSemiMixedTypes="0" containsString="0" containsNumber="1" minValue="0" maxValue="0.15"/>
    </cacheField>
    <cacheField name="Sales" numFmtId="164">
      <sharedItems containsSemiMixedTypes="0" containsString="0" containsNumber="1" minValue="8.52" maxValue="1946.24" count="1976">
        <n v="358.2"/>
        <n v="197.13"/>
        <n v="66.31"/>
        <n v="555.14"/>
        <n v="85.05"/>
        <n v="135.71"/>
        <n v="1057.3699999999999"/>
        <n v="164.76"/>
        <n v="566.94000000000005"/>
        <n v="231.94"/>
        <n v="161.44999999999999"/>
        <n v="1197.77"/>
        <n v="154.22"/>
        <n v="57.04"/>
        <n v="324.45"/>
        <n v="1492.86"/>
        <n v="88.41"/>
        <n v="25.72"/>
        <n v="607"/>
        <n v="254.12"/>
        <n v="1339.68"/>
        <n v="1270.51"/>
        <n v="831.34"/>
        <n v="155.30000000000001"/>
        <n v="982.86"/>
        <n v="442.52"/>
        <n v="353.28"/>
        <n v="1428.49"/>
        <n v="673.76"/>
        <n v="50.99"/>
        <n v="650.51"/>
        <n v="1556.8"/>
        <n v="265.14999999999998"/>
        <n v="282.82"/>
        <n v="389"/>
        <n v="59.26"/>
        <n v="584.15"/>
        <n v="160.53"/>
        <n v="257.39999999999998"/>
        <n v="309.77999999999997"/>
        <n v="328.35"/>
        <n v="606.08000000000004"/>
        <n v="1801.66"/>
        <n v="564.01"/>
        <n v="1194.7"/>
        <n v="240.51"/>
        <n v="201.44"/>
        <n v="426.11"/>
        <n v="280.92"/>
        <n v="193.13"/>
        <n v="224.15"/>
        <n v="239.95"/>
        <n v="35.479999999999997"/>
        <n v="293.83"/>
        <n v="1102.55"/>
        <n v="153.22"/>
        <n v="1150.6600000000001"/>
        <n v="347.37"/>
        <n v="384.83"/>
        <n v="1151.22"/>
        <n v="516.70000000000005"/>
        <n v="179.41"/>
        <n v="277.77999999999997"/>
        <n v="186.59"/>
        <n v="97.15"/>
        <n v="710.41"/>
        <n v="439.83"/>
        <n v="1047.26"/>
        <n v="930.77"/>
        <n v="276.14999999999998"/>
        <n v="895.14"/>
        <n v="1585.22"/>
        <n v="192.83"/>
        <n v="291.89999999999998"/>
        <n v="920.51"/>
        <n v="135.5"/>
        <n v="421.38"/>
        <n v="1079.26"/>
        <n v="163.19"/>
        <n v="19.8"/>
        <n v="564.03"/>
        <n v="1277.28"/>
        <n v="1362.75"/>
        <n v="34.799999999999997"/>
        <n v="361.59"/>
        <n v="411.88"/>
        <n v="514.83000000000004"/>
        <n v="292.02"/>
        <n v="65.459999999999994"/>
        <n v="939.74"/>
        <n v="125.1"/>
        <n v="419.37"/>
        <n v="83.1"/>
        <n v="1386"/>
        <n v="300.51"/>
        <n v="472.22"/>
        <n v="436.85"/>
        <n v="85.08"/>
        <n v="787.03"/>
        <n v="843.14"/>
        <n v="136.22999999999999"/>
        <n v="1011.2"/>
        <n v="193.64"/>
        <n v="1281.23"/>
        <n v="683.55"/>
        <n v="88.81"/>
        <n v="109.86"/>
        <n v="94.6"/>
        <n v="962.71"/>
        <n v="324.57"/>
        <n v="1053.92"/>
        <n v="523.04"/>
        <n v="598.03"/>
        <n v="237.63"/>
        <n v="100.8"/>
        <n v="731.93"/>
        <n v="459.73"/>
        <n v="496.77"/>
        <n v="691.02"/>
        <n v="80.819999999999993"/>
        <n v="228.09"/>
        <n v="1103.9000000000001"/>
        <n v="213.1"/>
        <n v="499.62"/>
        <n v="173.67"/>
        <n v="247.42"/>
        <n v="1014.17"/>
        <n v="1170.04"/>
        <n v="711.7"/>
        <n v="570.73"/>
        <n v="232.73"/>
        <n v="216.75"/>
        <n v="175.52"/>
        <n v="171.04"/>
        <n v="688.71"/>
        <n v="101.14"/>
        <n v="204.9"/>
        <n v="291.01"/>
        <n v="541.51"/>
        <n v="751.66"/>
        <n v="750.38"/>
        <n v="290.68"/>
        <n v="87.04"/>
        <n v="885.02"/>
        <n v="876.89"/>
        <n v="1542.72"/>
        <n v="369.78"/>
        <n v="352.33"/>
        <n v="747.66"/>
        <n v="968.04"/>
        <n v="828.84"/>
        <n v="334.96"/>
        <n v="76.14"/>
        <n v="576.51"/>
        <n v="275.33"/>
        <n v="1163.52"/>
        <n v="76.73"/>
        <n v="328.68"/>
        <n v="333.02"/>
        <n v="453.63"/>
        <n v="987.4"/>
        <n v="464.19"/>
        <n v="1487.68"/>
        <n v="91.25"/>
        <n v="178.64"/>
        <n v="596.9"/>
        <n v="14.86"/>
        <n v="574.77"/>
        <n v="1017.32"/>
        <n v="98.04"/>
        <n v="686.85"/>
        <n v="1551.08"/>
        <n v="91.26"/>
        <n v="666.25"/>
        <n v="1154.3499999999999"/>
        <n v="162.86000000000001"/>
        <n v="41.36"/>
        <n v="481.84"/>
        <n v="12.39"/>
        <n v="373.63"/>
        <n v="306.13"/>
        <n v="851.4"/>
        <n v="744.8"/>
        <n v="211.02"/>
        <n v="234.72"/>
        <n v="121.6"/>
        <n v="386"/>
        <n v="78.47"/>
        <n v="209.7"/>
        <n v="1072.8699999999999"/>
        <n v="139.29"/>
        <n v="293.74"/>
        <n v="648.96"/>
        <n v="190.68"/>
        <n v="184.82"/>
        <n v="188.32"/>
        <n v="126.45"/>
        <n v="336.74"/>
        <n v="654.12"/>
        <n v="678.36"/>
        <n v="66.290000000000006"/>
        <n v="82.04"/>
        <n v="28.98"/>
        <n v="868.86"/>
        <n v="206.75"/>
        <n v="679.75"/>
        <n v="146.12"/>
        <n v="191.84"/>
        <n v="358.91"/>
        <n v="45.76"/>
        <n v="966.4"/>
        <n v="665.87"/>
        <n v="406.07"/>
        <n v="251.33"/>
        <n v="513.48"/>
        <n v="653.34"/>
        <n v="868.63"/>
        <n v="152.08000000000001"/>
        <n v="413.58"/>
        <n v="879.41"/>
        <n v="287.69"/>
        <n v="63.83"/>
        <n v="32.619999999999997"/>
        <n v="573.16999999999996"/>
        <n v="136.03"/>
        <n v="122.71"/>
        <n v="641.39"/>
        <n v="276.7"/>
        <n v="70.42"/>
        <n v="312.57"/>
        <n v="101.58"/>
        <n v="716.34"/>
        <n v="1079.6300000000001"/>
        <n v="670.13"/>
        <n v="631.38"/>
        <n v="320.66000000000003"/>
        <n v="96.73"/>
        <n v="8.52"/>
        <n v="596.54"/>
        <n v="66.8"/>
        <n v="909.72"/>
        <n v="1052.23"/>
        <n v="467.67"/>
        <n v="581.09"/>
        <n v="374.71"/>
        <n v="620.92999999999995"/>
        <n v="372.25"/>
        <n v="268.42"/>
        <n v="1388.16"/>
        <n v="758.88"/>
        <n v="1371.6"/>
        <n v="894.84"/>
        <n v="362.86"/>
        <n v="151.05000000000001"/>
        <n v="1163.95"/>
        <n v="161.55000000000001"/>
        <n v="76.86"/>
        <n v="286.2"/>
        <n v="15.67"/>
        <n v="603.32000000000005"/>
        <n v="633.08000000000004"/>
        <n v="55.18"/>
        <n v="33.5"/>
        <n v="1344.7"/>
        <n v="968.1"/>
        <n v="651.69000000000005"/>
        <n v="395.84"/>
        <n v="947.88"/>
        <n v="515.64"/>
        <n v="285"/>
        <n v="521.76"/>
        <n v="572.26"/>
        <n v="251.88"/>
        <n v="559.84"/>
        <n v="1349.04"/>
        <n v="453.83"/>
        <n v="541.74"/>
        <n v="658.27"/>
        <n v="771.66"/>
        <n v="554.47"/>
        <n v="330.6"/>
        <n v="1263.6400000000001"/>
        <n v="83.13"/>
        <n v="1058.1500000000001"/>
        <n v="800.24"/>
        <n v="165.06"/>
        <n v="1064.3"/>
        <n v="1165.1500000000001"/>
        <n v="579.78"/>
        <n v="131.63999999999999"/>
        <n v="1448.08"/>
        <n v="1279.8399999999999"/>
        <n v="221.09"/>
        <n v="920.48"/>
        <n v="916.42"/>
        <n v="278.95999999999998"/>
        <n v="332.95"/>
        <n v="128.66"/>
        <n v="224.68"/>
        <n v="502.8"/>
        <n v="1486.08"/>
        <n v="67.34"/>
        <n v="590.32000000000005"/>
        <n v="1470.07"/>
        <n v="320.61"/>
        <n v="131.33000000000001"/>
        <n v="183.54"/>
        <n v="210.6"/>
        <n v="962.8"/>
        <n v="739.8"/>
        <n v="1019.87"/>
        <n v="1672.06"/>
        <n v="1781.84"/>
        <n v="437.96"/>
        <n v="145.24"/>
        <n v="1164.67"/>
        <n v="140.30000000000001"/>
        <n v="743.45"/>
        <n v="707.95"/>
        <n v="183.82"/>
        <n v="92.62"/>
        <n v="200.48"/>
        <n v="1366.19"/>
        <n v="210.2"/>
        <n v="339.38"/>
        <n v="158.54"/>
        <n v="452.28"/>
        <n v="432.67"/>
        <n v="676.73"/>
        <n v="63.19"/>
        <n v="128.19"/>
        <n v="1181.72"/>
        <n v="720.78"/>
        <n v="128.44"/>
        <n v="242.43"/>
        <n v="244.83"/>
        <n v="165.95"/>
        <n v="130.57"/>
        <n v="1195.8599999999999"/>
        <n v="853.84"/>
        <n v="337.92"/>
        <n v="106.22"/>
        <n v="101.37"/>
        <n v="176.89"/>
        <n v="357.17"/>
        <n v="917.91"/>
        <n v="66.06"/>
        <n v="153.41999999999999"/>
        <n v="133.78"/>
        <n v="548.49"/>
        <n v="301.37"/>
        <n v="159.25"/>
        <n v="1168.56"/>
        <n v="1671.78"/>
        <n v="1098.4100000000001"/>
        <n v="556.72"/>
        <n v="428.78"/>
        <n v="275.2"/>
        <n v="1189.42"/>
        <n v="732.81"/>
        <n v="997.36"/>
        <n v="763.63"/>
        <n v="1246.8800000000001"/>
        <n v="308.07"/>
        <n v="496.3"/>
        <n v="894.47"/>
        <n v="223.35"/>
        <n v="31.67"/>
        <n v="60.57"/>
        <n v="301.20999999999998"/>
        <n v="1249.1500000000001"/>
        <n v="28"/>
        <n v="485.92"/>
        <n v="330.14"/>
        <n v="248.45"/>
        <n v="506.33"/>
        <n v="165.42"/>
        <n v="592.02"/>
        <n v="619.82000000000005"/>
        <n v="1630.73"/>
        <n v="991.05"/>
        <n v="94.15"/>
        <n v="328.89"/>
        <n v="826.63"/>
        <n v="149.16"/>
        <n v="165.64"/>
        <n v="110.07"/>
        <n v="552.17999999999995"/>
        <n v="751.52"/>
        <n v="526.04999999999995"/>
        <n v="219.11"/>
        <n v="355.68"/>
        <n v="596.63"/>
        <n v="141.84"/>
        <n v="361.44"/>
        <n v="177.11"/>
        <n v="764.32"/>
        <n v="545.9"/>
        <n v="85.09"/>
        <n v="613.83000000000004"/>
        <n v="588.69000000000005"/>
        <n v="509.08"/>
        <n v="663.18"/>
        <n v="836.25"/>
        <n v="1018.57"/>
        <n v="826.69"/>
        <n v="130.61000000000001"/>
        <n v="385.38"/>
        <n v="95.27"/>
        <n v="325.58999999999997"/>
        <n v="424.42"/>
        <n v="496.36"/>
        <n v="101.17"/>
        <n v="169.36"/>
        <n v="587.85"/>
        <n v="457.76"/>
        <n v="730.19"/>
        <n v="69.41"/>
        <n v="835.48"/>
        <n v="237.03"/>
        <n v="329.4"/>
        <n v="120.47"/>
        <n v="752.93"/>
        <n v="755.89"/>
        <n v="1572.13"/>
        <n v="906.13"/>
        <n v="888.02"/>
        <n v="354.66"/>
        <n v="1033.2"/>
        <n v="224.41"/>
        <n v="1258.22"/>
        <n v="82.49"/>
        <n v="155.77000000000001"/>
        <n v="572.88"/>
        <n v="1447.76"/>
        <n v="375.44"/>
        <n v="161.41"/>
        <n v="361.31"/>
        <n v="874.05"/>
        <n v="991.26"/>
        <n v="1555.5"/>
        <n v="91.76"/>
        <n v="1629.29"/>
        <n v="1181.95"/>
        <n v="384.52"/>
        <n v="459.75"/>
        <n v="157.97999999999999"/>
        <n v="212.64"/>
        <n v="267.44"/>
        <n v="351.95"/>
        <n v="269.51"/>
        <n v="338.69"/>
        <n v="508.33"/>
        <n v="165.37"/>
        <n v="416.32"/>
        <n v="518.41"/>
        <n v="287.82"/>
        <n v="891.44"/>
        <n v="818.66"/>
        <n v="72.38"/>
        <n v="171.94"/>
        <n v="529.16999999999996"/>
        <n v="65.11"/>
        <n v="806.72"/>
        <n v="336.22"/>
        <n v="127.05"/>
        <n v="1389.44"/>
        <n v="1020.11"/>
        <n v="362.2"/>
        <n v="131"/>
        <n v="350.43"/>
        <n v="167.45"/>
        <n v="503.88"/>
        <n v="890.69"/>
        <n v="282.88"/>
        <n v="125.82"/>
        <n v="1081.4000000000001"/>
        <n v="827.39"/>
        <n v="102.06"/>
        <n v="178.33"/>
        <n v="177.64"/>
        <n v="194.5"/>
        <n v="238.07"/>
        <n v="545.72"/>
        <n v="1069.74"/>
        <n v="464.52"/>
        <n v="51.35"/>
        <n v="1375.8"/>
        <n v="716.32"/>
        <n v="394.54"/>
        <n v="115.72"/>
        <n v="1010.34"/>
        <n v="111.01"/>
        <n v="305.23"/>
        <n v="563.66999999999996"/>
        <n v="295.75"/>
        <n v="259.35000000000002"/>
        <n v="291.68"/>
        <n v="756.97"/>
        <n v="999.76"/>
        <n v="1571.92"/>
        <n v="207"/>
        <n v="637.42999999999995"/>
        <n v="234.85"/>
        <n v="609.41"/>
        <n v="1224.54"/>
        <n v="1163.55"/>
        <n v="219.62"/>
        <n v="1027.2"/>
        <n v="418.45"/>
        <n v="370.85"/>
        <n v="173.68"/>
        <n v="1231.02"/>
        <n v="605.59"/>
        <n v="418.9"/>
        <n v="1517.54"/>
        <n v="40.46"/>
        <n v="492.55"/>
        <n v="667.29"/>
        <n v="371.27"/>
        <n v="476.02"/>
        <n v="277.45999999999998"/>
        <n v="306.14999999999998"/>
        <n v="135.84"/>
        <n v="441.58"/>
        <n v="567.35"/>
        <n v="346.69"/>
        <n v="202.23"/>
        <n v="58.78"/>
        <n v="116.31"/>
        <n v="117.18"/>
        <n v="46.3"/>
        <n v="39.200000000000003"/>
        <n v="823.6"/>
        <n v="285.77999999999997"/>
        <n v="209.04"/>
        <n v="1125.45"/>
        <n v="648.75"/>
        <n v="651.11"/>
        <n v="179.15"/>
        <n v="145.37"/>
        <n v="1297.92"/>
        <n v="114.63"/>
        <n v="865.68"/>
        <n v="1024.05"/>
        <n v="219.18"/>
        <n v="677.16"/>
        <n v="162.93"/>
        <n v="519.29999999999995"/>
        <n v="879.85"/>
        <n v="279.85000000000002"/>
        <n v="1223.73"/>
        <n v="143.97"/>
        <n v="183.09"/>
        <n v="1456.35"/>
        <n v="284.89999999999998"/>
        <n v="499.45"/>
        <n v="1105.02"/>
        <n v="694.59"/>
        <n v="268.06"/>
        <n v="769.93"/>
        <n v="537.91999999999996"/>
        <n v="471.24"/>
        <n v="198.45"/>
        <n v="871.38"/>
        <n v="484.24"/>
        <n v="1052.24"/>
        <n v="736.75"/>
        <n v="1413.07"/>
        <n v="145.4"/>
        <n v="179.16"/>
        <n v="109.38"/>
        <n v="151.03"/>
        <n v="627.72"/>
        <n v="363.32"/>
        <n v="684.48"/>
        <n v="429.95"/>
        <n v="150.16"/>
        <n v="343.74"/>
        <n v="466.16"/>
        <n v="164.95"/>
        <n v="1479.82"/>
        <n v="245.05"/>
        <n v="406.05"/>
        <n v="907.52"/>
        <n v="1819.52"/>
        <n v="742.14"/>
        <n v="453.42"/>
        <n v="193.09"/>
        <n v="432.31"/>
        <n v="37.11"/>
        <n v="88.23"/>
        <n v="614.21"/>
        <n v="444.04"/>
        <n v="89.24"/>
        <n v="1080.78"/>
        <n v="801.36"/>
        <n v="1137.1099999999999"/>
        <n v="107.95"/>
        <n v="149.81"/>
        <n v="259.04000000000002"/>
        <n v="428.98"/>
        <n v="143.58000000000001"/>
        <n v="1115.68"/>
        <n v="384.96"/>
        <n v="614.32000000000005"/>
        <n v="478.24"/>
        <n v="69.94"/>
        <n v="595.74"/>
        <n v="1295.98"/>
        <n v="74.150000000000006"/>
        <n v="310.77"/>
        <n v="529.07000000000005"/>
        <n v="223.89"/>
        <n v="255.95"/>
        <n v="592.52"/>
        <n v="1856.68"/>
        <n v="147.93"/>
        <n v="221.48"/>
        <n v="426.12"/>
        <n v="362.37"/>
        <n v="154.88999999999999"/>
        <n v="812.19"/>
        <n v="510.36"/>
        <n v="385.59"/>
        <n v="130.75"/>
        <n v="327.16000000000003"/>
        <n v="256.99"/>
        <n v="135.44"/>
        <n v="202.95"/>
        <n v="363.13"/>
        <n v="889.62"/>
        <n v="235.98"/>
        <n v="830.9"/>
        <n v="324.16000000000003"/>
        <n v="1082.6199999999999"/>
        <n v="782.47"/>
        <n v="587.07000000000005"/>
        <n v="171.2"/>
        <n v="350.15"/>
        <n v="920.63"/>
        <n v="327.98"/>
        <n v="1092.47"/>
        <n v="873.32"/>
        <n v="1352.54"/>
        <n v="605.64"/>
        <n v="57.74"/>
        <n v="420.11"/>
        <n v="99.69"/>
        <n v="273.49"/>
        <n v="214.61"/>
        <n v="826.74"/>
        <n v="601.29999999999995"/>
        <n v="427.05"/>
        <n v="518.70000000000005"/>
        <n v="758.86"/>
        <n v="774.74"/>
        <n v="1033.69"/>
        <n v="53.2"/>
        <n v="131.9"/>
        <n v="1946.24"/>
        <n v="213.62"/>
        <n v="55.9"/>
        <n v="1005.72"/>
        <n v="1108.6400000000001"/>
        <n v="37.76"/>
        <n v="56.67"/>
        <n v="306.97000000000003"/>
        <n v="480.42"/>
        <n v="159.99"/>
        <n v="140.13999999999999"/>
        <n v="324.51"/>
        <n v="161.88999999999999"/>
        <n v="277.64999999999998"/>
        <n v="315.74"/>
        <n v="35.61"/>
        <n v="1351.3"/>
        <n v="304.44"/>
        <n v="484.29"/>
        <n v="861.27"/>
        <n v="511.7"/>
        <n v="456.5"/>
        <n v="1070.8699999999999"/>
        <n v="1417.18"/>
        <n v="743.76"/>
        <n v="247.69"/>
        <n v="1088.25"/>
        <n v="17.2"/>
        <n v="149.84"/>
        <n v="549.27"/>
        <n v="371.7"/>
        <n v="466.55"/>
        <n v="197.32"/>
        <n v="487.36"/>
        <n v="183.95"/>
        <n v="43.08"/>
        <n v="1182.24"/>
        <n v="194.49"/>
        <n v="460.03"/>
        <n v="515.04999999999995"/>
        <n v="408.03"/>
        <n v="215.95"/>
        <n v="282.66000000000003"/>
        <n v="1685.95"/>
        <n v="1351.88"/>
        <n v="464.02"/>
        <n v="398.68"/>
        <n v="72.680000000000007"/>
        <n v="303.86"/>
        <n v="1265.8900000000001"/>
        <n v="1390.16"/>
        <n v="363.19"/>
        <n v="1386.52"/>
        <n v="684.18"/>
        <n v="356.12"/>
        <n v="665.95"/>
        <n v="494.19"/>
        <n v="149.1"/>
        <n v="253.46"/>
        <n v="650.97"/>
        <n v="895.87"/>
        <n v="1460.91"/>
        <n v="1183.8"/>
        <n v="762.81"/>
        <n v="1487.34"/>
        <n v="673.84"/>
        <n v="24.09"/>
        <n v="1067"/>
        <n v="127.67"/>
        <n v="1026.69"/>
        <n v="1370.46"/>
        <n v="926.88"/>
        <n v="707.15"/>
        <n v="189.86"/>
        <n v="443.6"/>
        <n v="75.760000000000005"/>
        <n v="1437"/>
        <n v="120.3"/>
        <n v="272.64999999999998"/>
        <n v="668.32"/>
        <n v="830.71"/>
        <n v="353.31"/>
        <n v="799.82"/>
        <n v="457.61"/>
        <n v="652.32000000000005"/>
        <n v="31.95"/>
        <n v="404.14"/>
        <n v="142.86000000000001"/>
        <n v="1663.92"/>
        <n v="211.84"/>
        <n v="185.11"/>
        <n v="1142.3800000000001"/>
        <n v="106.85"/>
        <n v="1467.19"/>
        <n v="91.56"/>
        <n v="439.76"/>
        <n v="859.18"/>
        <n v="1542.38"/>
        <n v="124.18"/>
        <n v="474.66"/>
        <n v="655.78"/>
        <n v="828.04"/>
        <n v="408.35"/>
        <n v="952.92"/>
        <n v="41.57"/>
        <n v="1156.48"/>
        <n v="857.88"/>
        <n v="222.26"/>
        <n v="870.06"/>
        <n v="116.41"/>
        <n v="613.32000000000005"/>
        <n v="333.64"/>
        <n v="106"/>
        <n v="773.84"/>
        <n v="53.56"/>
        <n v="180.09"/>
        <n v="646.79999999999995"/>
        <n v="192.73"/>
        <n v="699.7"/>
        <n v="306.24"/>
        <n v="667.98"/>
        <n v="657.5"/>
        <n v="58.16"/>
        <n v="192.86"/>
        <n v="1435.35"/>
        <n v="822.78"/>
        <n v="510.38"/>
        <n v="93.76"/>
        <n v="617.04"/>
        <n v="1628.38"/>
        <n v="578.34"/>
        <n v="291.83999999999997"/>
        <n v="1077.5999999999999"/>
        <n v="148.41999999999999"/>
        <n v="1072.6300000000001"/>
        <n v="156.24"/>
        <n v="848.17"/>
        <n v="517.61"/>
        <n v="288.97000000000003"/>
        <n v="114.38"/>
        <n v="706.45"/>
        <n v="489"/>
        <n v="420.82"/>
        <n v="112.23"/>
        <n v="1244.31"/>
        <n v="1284.92"/>
        <n v="330.73"/>
        <n v="878.32"/>
        <n v="716.68"/>
        <n v="189.03"/>
        <n v="1450.86"/>
        <n v="660.25"/>
        <n v="198.44"/>
        <n v="152.15"/>
        <n v="146.53"/>
        <n v="110.76"/>
        <n v="608.34"/>
        <n v="30.82"/>
        <n v="1229.24"/>
        <n v="1751.9"/>
        <n v="189.74"/>
        <n v="1198.3699999999999"/>
        <n v="388.38"/>
        <n v="332.74"/>
        <n v="234.7"/>
        <n v="124.29"/>
        <n v="136.66"/>
        <n v="98.82"/>
        <n v="1185.98"/>
        <n v="167.78"/>
        <n v="1054.3499999999999"/>
        <n v="1651.86"/>
        <n v="347.27"/>
        <n v="1036.03"/>
        <n v="971.5"/>
        <n v="370.53"/>
        <n v="643.79999999999995"/>
        <n v="528.34"/>
        <n v="277.02999999999997"/>
        <n v="247.46"/>
        <n v="769.89"/>
        <n v="817.38"/>
        <n v="723.08"/>
        <n v="564.11"/>
        <n v="100.08"/>
        <n v="499.36"/>
        <n v="1093.02"/>
        <n v="120.29"/>
        <n v="29.35"/>
        <n v="855.96"/>
        <n v="1229.51"/>
        <n v="203.37"/>
        <n v="1309.01"/>
        <n v="1329.53"/>
        <n v="600.27"/>
        <n v="63.8"/>
        <n v="433.51"/>
        <n v="71.47"/>
        <n v="760.59"/>
        <n v="1055.97"/>
        <n v="375.57"/>
        <n v="333.66"/>
        <n v="72.650000000000006"/>
        <n v="877.88"/>
        <n v="296.5"/>
        <n v="498.42"/>
        <n v="700.81"/>
        <n v="1066.1500000000001"/>
        <n v="1473.24"/>
        <n v="170.29"/>
        <n v="905.17"/>
        <n v="136.11000000000001"/>
        <n v="96.63"/>
        <n v="94.38"/>
        <n v="853.73"/>
        <n v="1720.87"/>
        <n v="271.60000000000002"/>
        <n v="382.64"/>
        <n v="1132.8"/>
        <n v="307.79000000000002"/>
        <n v="159.84"/>
        <n v="230.94"/>
        <n v="770.8"/>
        <n v="625.72"/>
        <n v="164.67"/>
        <n v="543.25"/>
        <n v="544.24"/>
        <n v="45"/>
        <n v="508.41"/>
        <n v="856.9"/>
        <n v="666.22"/>
        <n v="539.14"/>
        <n v="411.2"/>
        <n v="566.09"/>
        <n v="931.07"/>
        <n v="257.88"/>
        <n v="115.23"/>
        <n v="606.26"/>
        <n v="494.3"/>
        <n v="461.65"/>
        <n v="367.14"/>
        <n v="223.99"/>
        <n v="675.81"/>
        <n v="905.92"/>
        <n v="283.95"/>
        <n v="766.12"/>
        <n v="180.31"/>
        <n v="717.08"/>
        <n v="209.21"/>
        <n v="19.190000000000001"/>
        <n v="1059.3"/>
        <n v="176.72"/>
        <n v="506"/>
        <n v="641.91"/>
        <n v="604.05999999999995"/>
        <n v="14.04"/>
        <n v="147.65"/>
        <n v="1009.6"/>
        <n v="221.43"/>
        <n v="106.06"/>
        <n v="1569.92"/>
        <n v="498.1"/>
        <n v="462.42"/>
        <n v="18.5"/>
        <n v="868.96"/>
        <n v="579.47"/>
        <n v="753.52"/>
        <n v="366.85"/>
        <n v="950.34"/>
        <n v="26.54"/>
        <n v="451.7"/>
        <n v="362.31"/>
        <n v="838.7"/>
        <n v="839.38"/>
        <n v="602.14"/>
        <n v="56.95"/>
        <n v="906.65"/>
        <n v="303.97000000000003"/>
        <n v="583.04999999999995"/>
        <n v="1430.35"/>
        <n v="1441.57"/>
        <n v="344.85"/>
        <n v="120.68"/>
        <n v="846.18"/>
        <n v="269.89"/>
        <n v="1039.23"/>
        <n v="438.09"/>
        <n v="329.87"/>
        <n v="863.3"/>
        <n v="890.15"/>
        <n v="91.68"/>
        <n v="667.27"/>
        <n v="858.78"/>
        <n v="73.08"/>
        <n v="733.55"/>
        <n v="16.54"/>
        <n v="517.86"/>
        <n v="441.33"/>
        <n v="562.71"/>
        <n v="1880.62"/>
        <n v="76.760000000000005"/>
        <n v="1258.79"/>
        <n v="52.99"/>
        <n v="121.48"/>
        <n v="565.5"/>
        <n v="423.72"/>
        <n v="720.43"/>
        <n v="1379"/>
        <n v="198.04"/>
        <n v="75.28"/>
        <n v="550.88"/>
        <n v="633.4"/>
        <n v="38.32"/>
        <n v="232.75"/>
        <n v="833.52"/>
        <n v="646.91"/>
        <n v="275.72000000000003"/>
        <n v="624.66"/>
        <n v="42.57"/>
        <n v="341.84"/>
        <n v="1438"/>
        <n v="278.42"/>
        <n v="744.4"/>
        <n v="280.64999999999998"/>
        <n v="717.82"/>
        <n v="72.27"/>
        <n v="815.63"/>
        <n v="858.19"/>
        <n v="405.84"/>
        <n v="831.46"/>
        <n v="134.19999999999999"/>
        <n v="1538.54"/>
        <n v="1550.92"/>
        <n v="73.12"/>
        <n v="29.87"/>
        <n v="939.2"/>
        <n v="313.72000000000003"/>
        <n v="650.84"/>
        <n v="575.28"/>
        <n v="690.03"/>
        <n v="660.88"/>
        <n v="207.48"/>
        <n v="155.52000000000001"/>
        <n v="387.99"/>
        <n v="830.68"/>
        <n v="227.56"/>
        <n v="239.34"/>
        <n v="84.45"/>
        <n v="1378.31"/>
        <n v="978.85"/>
        <n v="937.12"/>
        <n v="1053.1099999999999"/>
        <n v="821.99"/>
        <n v="55.13"/>
        <n v="1049.0999999999999"/>
        <n v="43.05"/>
        <n v="433.39"/>
        <n v="854.66"/>
        <n v="529.52"/>
        <n v="433.36"/>
        <n v="1373.22"/>
        <n v="83.94"/>
        <n v="293.33"/>
        <n v="112.03"/>
        <n v="629.62"/>
        <n v="409.91"/>
        <n v="535.74"/>
        <n v="1025.99"/>
        <n v="170.24"/>
        <n v="749.6"/>
        <n v="40.340000000000003"/>
        <n v="903.07"/>
        <n v="141.04"/>
        <n v="357.05"/>
        <n v="1056"/>
        <n v="144.15"/>
        <n v="142.87"/>
        <n v="549.61"/>
        <n v="79.78"/>
        <n v="69.459999999999994"/>
        <n v="1668.5"/>
        <n v="77.73"/>
        <n v="372.4"/>
        <n v="988.56"/>
        <n v="1517.1"/>
        <n v="970.96"/>
        <n v="40.950000000000003"/>
        <n v="1183.75"/>
        <n v="718.2"/>
        <n v="121.7"/>
        <n v="1348.32"/>
        <n v="1095.48"/>
        <n v="189.52"/>
        <n v="599.34"/>
        <n v="582.45000000000005"/>
        <n v="372.39"/>
        <n v="172.6"/>
        <n v="115.34"/>
        <n v="949.08"/>
        <n v="464.85"/>
        <n v="1152.97"/>
        <n v="269.10000000000002"/>
        <n v="818.7"/>
        <n v="791.65"/>
        <n v="207.52"/>
        <n v="270.7"/>
        <n v="187.19"/>
        <n v="121.96"/>
        <n v="362.49"/>
        <n v="113.22"/>
        <n v="1144.33"/>
        <n v="243.22"/>
        <n v="861.77"/>
        <n v="1185.18"/>
        <n v="1006.65"/>
        <n v="353.67"/>
        <n v="294.23"/>
        <n v="667.02"/>
        <n v="158.41"/>
        <n v="39.39"/>
        <n v="54.93"/>
        <n v="436.48"/>
        <n v="283.37"/>
        <n v="91.53"/>
        <n v="1147.98"/>
        <n v="569.03"/>
        <n v="759.9"/>
        <n v="1603.22"/>
        <n v="69.180000000000007"/>
        <n v="922.32"/>
        <n v="70.959999999999994"/>
        <n v="27.01"/>
        <n v="762.34"/>
        <n v="861.93"/>
        <n v="243.1"/>
        <n v="653.33000000000004"/>
        <n v="110.7"/>
        <n v="370.41"/>
        <n v="162.38"/>
        <n v="850.95"/>
        <n v="400.57"/>
        <n v="1635.91"/>
        <n v="900.98"/>
        <n v="464.65"/>
        <n v="330.56"/>
        <n v="1734.77"/>
        <n v="550.47"/>
        <n v="309.89"/>
        <n v="483.42"/>
        <n v="859.81"/>
        <n v="306.43"/>
        <n v="168.21"/>
        <n v="56.41"/>
        <n v="291.11"/>
        <n v="345.05"/>
        <n v="345.9"/>
        <n v="384.43"/>
        <n v="1009.38"/>
        <n v="39.64"/>
        <n v="993.44"/>
        <n v="182.4"/>
        <n v="126.12"/>
        <n v="1166.68"/>
        <n v="995.33"/>
        <n v="547.46"/>
        <n v="117.7"/>
        <n v="560.16"/>
        <n v="1279.28"/>
        <n v="295.83"/>
        <n v="657.24"/>
        <n v="631.55999999999995"/>
        <n v="593"/>
        <n v="580.64"/>
        <n v="261.86"/>
        <n v="1513.13"/>
        <n v="391.02"/>
        <n v="1205.6400000000001"/>
        <n v="257.61"/>
        <n v="355"/>
        <n v="421.09"/>
        <n v="332.91"/>
        <n v="65.59"/>
        <n v="1538.3"/>
        <n v="231.96"/>
        <n v="1224.44"/>
        <n v="583.13"/>
        <n v="806.85"/>
        <n v="1211.54"/>
        <n v="79"/>
        <n v="450.4"/>
        <n v="940.45"/>
        <n v="109.66"/>
        <n v="127.62"/>
        <n v="253.84"/>
        <n v="359.91"/>
        <n v="679.59"/>
        <n v="23.77"/>
        <n v="600.33000000000004"/>
        <n v="1083.24"/>
        <n v="556.78"/>
        <n v="890.04"/>
        <n v="279.72000000000003"/>
        <n v="560.27"/>
        <n v="1012.48"/>
        <n v="251.4"/>
        <n v="167.18"/>
        <n v="209.2"/>
        <n v="248.06"/>
        <n v="1562.26"/>
        <n v="635.82000000000005"/>
        <n v="1902.72"/>
        <n v="1432.66"/>
        <n v="316.45999999999998"/>
        <n v="222.82"/>
        <n v="476.14"/>
        <n v="129.01"/>
        <n v="605.47"/>
        <n v="112.34"/>
        <n v="685.59"/>
        <n v="356.75"/>
        <n v="186.69"/>
        <n v="1442.77"/>
        <n v="80.83"/>
        <n v="500.98"/>
        <n v="361.83"/>
        <n v="346.05"/>
        <n v="1330.85"/>
        <n v="744.05"/>
        <n v="216.36"/>
        <n v="553.67999999999995"/>
        <n v="169.14"/>
        <n v="1033.8499999999999"/>
        <n v="490.88"/>
        <n v="1880.39"/>
        <n v="639.85"/>
        <n v="211.15"/>
        <n v="218.66"/>
        <n v="382.96"/>
        <n v="1157.27"/>
        <n v="935.9"/>
        <n v="645.79"/>
        <n v="283.56"/>
        <n v="114.7"/>
        <n v="355.72"/>
        <n v="700.7"/>
        <n v="170.23"/>
        <n v="946.22"/>
        <n v="39.19"/>
        <n v="547.28"/>
        <n v="481.93"/>
        <n v="504.3"/>
        <n v="463.28"/>
        <n v="120.8"/>
        <n v="398.09"/>
        <n v="349.98"/>
        <n v="632.71"/>
        <n v="693.06"/>
        <n v="846.15"/>
        <n v="364.8"/>
        <n v="487.15"/>
        <n v="892.51"/>
        <n v="71.44"/>
        <n v="616.77"/>
        <n v="496.31"/>
        <n v="123.49"/>
        <n v="652.42999999999995"/>
        <n v="701.67"/>
        <n v="192.93"/>
        <n v="1033.97"/>
        <n v="225.06"/>
        <n v="36.79"/>
        <n v="838.12"/>
        <n v="375.68"/>
        <n v="396.98"/>
        <n v="852.85"/>
        <n v="782.75"/>
        <n v="346.32"/>
        <n v="984.75"/>
        <n v="691.69"/>
        <n v="1150.3399999999999"/>
        <n v="665.93"/>
        <n v="53.68"/>
        <n v="698.01"/>
        <n v="160.06"/>
        <n v="952.88"/>
        <n v="144.86000000000001"/>
        <n v="1121.04"/>
        <n v="49.82"/>
        <n v="270.3"/>
        <n v="388.6"/>
        <n v="740"/>
        <n v="503.96"/>
        <n v="25.96"/>
        <n v="190.98"/>
        <n v="697.05"/>
        <n v="49.79"/>
        <n v="1465.54"/>
        <n v="1080.1500000000001"/>
        <n v="592.74"/>
        <n v="1146.02"/>
        <n v="183.28"/>
        <n v="1052.28"/>
        <n v="236.95"/>
        <n v="405.82"/>
        <n v="58.46"/>
        <n v="95.81"/>
        <n v="152.97999999999999"/>
        <n v="453.1"/>
        <n v="534.07000000000005"/>
        <n v="492"/>
        <n v="975.25"/>
        <n v="425.32"/>
        <n v="587.61"/>
        <n v="393.84"/>
        <n v="334.11"/>
        <n v="119.1"/>
        <n v="596.62"/>
        <n v="777.02"/>
        <n v="83.57"/>
        <n v="194.32"/>
        <n v="992.29"/>
        <n v="683.83"/>
        <n v="147.18"/>
        <n v="98.84"/>
        <n v="50.02"/>
        <n v="232.99"/>
        <n v="960.72"/>
        <n v="1763.57"/>
        <n v="716.12"/>
        <n v="911.88"/>
        <n v="144.32"/>
        <n v="490.35"/>
        <n v="183.31"/>
        <n v="726.34"/>
        <n v="255.87"/>
        <n v="303.32"/>
        <n v="1378.74"/>
        <n v="411.37"/>
        <n v="372.18"/>
        <n v="21.47"/>
        <n v="352.17"/>
        <n v="625.91"/>
        <n v="932.04"/>
        <n v="898.73"/>
        <n v="977.13"/>
        <n v="315.91000000000003"/>
        <n v="830.53"/>
        <n v="229.96"/>
        <n v="184.42"/>
        <n v="975"/>
        <n v="301.26"/>
        <n v="160.03"/>
        <n v="184.46"/>
        <n v="604.09"/>
        <n v="574.25"/>
        <n v="259.49"/>
        <n v="210.91"/>
        <n v="825"/>
        <n v="517.08000000000004"/>
        <n v="127.28"/>
        <n v="1497.28"/>
        <n v="1143.1300000000001"/>
        <n v="113.81"/>
        <n v="18.27"/>
        <n v="931"/>
        <n v="18.010000000000002"/>
        <n v="683.14"/>
        <n v="89.28"/>
        <n v="215.76"/>
        <n v="254.56"/>
        <n v="932.42"/>
        <n v="425.12"/>
        <n v="446.45"/>
        <n v="158.32"/>
        <n v="89.75"/>
        <n v="853.9"/>
        <n v="689.13"/>
        <n v="1278.33"/>
        <n v="386.93"/>
        <n v="53.12"/>
        <n v="170.89"/>
        <n v="175.71"/>
        <n v="252.79"/>
        <n v="621.98"/>
        <n v="1110.51"/>
        <n v="335.16"/>
        <n v="1315.27"/>
        <n v="227.34"/>
        <n v="1428.15"/>
        <n v="243.67"/>
        <n v="326.58"/>
        <n v="1475.36"/>
        <n v="71.11"/>
        <n v="928.77"/>
        <n v="403.41"/>
        <n v="1432.54"/>
        <n v="144.66999999999999"/>
        <n v="159.26"/>
        <n v="1579.61"/>
        <n v="309.76"/>
        <n v="1089.99"/>
        <n v="709.38"/>
        <n v="1081.3399999999999"/>
        <n v="912.19"/>
        <n v="148.53"/>
        <n v="81.92"/>
        <n v="221.67"/>
        <n v="467.37"/>
        <n v="242.14"/>
        <n v="292.12"/>
        <n v="1302.48"/>
        <n v="746.8"/>
        <n v="783.99"/>
        <n v="293.76"/>
        <n v="202.74"/>
        <n v="409.26"/>
        <n v="350.54"/>
        <n v="755.92"/>
        <n v="191.9"/>
        <n v="1864.36"/>
        <n v="727.84"/>
        <n v="288.52"/>
        <n v="683.1"/>
        <n v="561.85"/>
        <n v="1038.6600000000001"/>
        <n v="792.94"/>
        <n v="1037.55"/>
        <n v="276.58999999999997"/>
        <n v="1586.09"/>
        <n v="291.18"/>
        <n v="950.02"/>
        <n v="515.70000000000005"/>
        <n v="383.01"/>
        <n v="445.48"/>
        <n v="598.91999999999996"/>
        <n v="212.52"/>
        <n v="581.33000000000004"/>
        <n v="262.70999999999998"/>
        <n v="334.72"/>
        <n v="631.91999999999996"/>
        <n v="246.54"/>
        <n v="182.02"/>
        <n v="920.46"/>
        <n v="614.28"/>
        <n v="650.44000000000005"/>
        <n v="69.31"/>
        <n v="639.62"/>
        <n v="1100.21"/>
        <n v="641.29"/>
        <n v="451.75"/>
        <n v="425.84"/>
        <n v="1072.94"/>
        <n v="1045.94"/>
        <n v="172.4"/>
        <n v="298.56"/>
        <n v="658.77"/>
        <n v="1039.3699999999999"/>
        <n v="1088.78"/>
        <n v="175.89"/>
        <n v="156.72999999999999"/>
        <n v="346.81"/>
        <n v="474.68"/>
        <n v="1075.3800000000001"/>
        <n v="249.24"/>
        <n v="843.71"/>
        <n v="187.07"/>
        <n v="1432.55"/>
        <n v="161.16"/>
        <n v="317"/>
        <n v="754.83"/>
        <n v="59.66"/>
        <n v="143.88999999999999"/>
        <n v="673"/>
        <n v="282.32"/>
        <n v="1093.69"/>
        <n v="1164.94"/>
        <n v="1402.87"/>
        <n v="1209.53"/>
        <n v="1600.46"/>
        <n v="796.88"/>
        <n v="118.25"/>
        <n v="655.23"/>
        <n v="48.45"/>
        <n v="327.84"/>
        <n v="73.180000000000007"/>
        <n v="86.13"/>
        <n v="315.49"/>
        <n v="127.93"/>
        <n v="904.43"/>
        <n v="302.48"/>
        <n v="1415.36"/>
        <n v="646.38"/>
        <n v="517.67999999999995"/>
        <n v="119.4"/>
        <n v="721.37"/>
        <n v="1309.93"/>
        <n v="802.66"/>
        <n v="286.14"/>
        <n v="1347.36"/>
        <n v="361.62"/>
        <n v="45.79"/>
        <n v="170.42"/>
        <n v="221.52"/>
        <n v="119.73"/>
        <n v="147.47"/>
        <n v="156.66"/>
        <n v="181.36"/>
        <n v="572.53"/>
        <n v="181.87"/>
        <n v="1890.48"/>
        <n v="793.79"/>
        <n v="666.7"/>
        <n v="800.63"/>
        <n v="306.39"/>
        <n v="635.85"/>
        <n v="402.03"/>
        <n v="785.05"/>
        <n v="361.42"/>
        <n v="677.28"/>
        <n v="895.32"/>
        <n v="619.34"/>
        <n v="1241.8900000000001"/>
        <n v="574.05999999999995"/>
        <n v="53.24"/>
        <n v="258.57"/>
        <n v="358.6"/>
        <n v="195.19"/>
        <n v="725.28"/>
        <n v="25.86"/>
        <n v="777.98"/>
        <n v="450.03"/>
        <n v="146.27000000000001"/>
        <n v="160.22"/>
        <n v="275.44"/>
        <n v="95.44"/>
        <n v="675.87"/>
        <n v="338.5"/>
        <n v="365.27"/>
        <n v="669.44"/>
        <n v="179.26"/>
        <n v="191.44"/>
        <n v="409.45"/>
        <n v="907.83"/>
        <n v="351.99"/>
        <n v="347.18"/>
        <n v="221.25"/>
        <n v="302.72000000000003"/>
        <n v="1210.8"/>
        <n v="373.27"/>
        <n v="155.97999999999999"/>
        <n v="1705.68"/>
        <n v="1148.79"/>
        <n v="117.31"/>
        <n v="173.32"/>
        <n v="808.71"/>
        <n v="1488.38"/>
        <n v="1413.72"/>
        <n v="626.78"/>
        <n v="198.63"/>
        <n v="548.28"/>
        <n v="595.24"/>
        <n v="671.06"/>
        <n v="402.35"/>
        <n v="163.91"/>
        <n v="32.520000000000003"/>
        <n v="776.8"/>
        <n v="617.98"/>
        <n v="335.95"/>
        <n v="75.92"/>
        <n v="526.53"/>
        <n v="618.03"/>
        <n v="691.05"/>
        <n v="1693.44"/>
        <n v="624.80999999999995"/>
        <n v="399.13"/>
        <n v="614.48"/>
        <n v="667.04"/>
        <n v="691.53"/>
        <n v="98.72"/>
        <n v="424.65"/>
        <n v="318.86"/>
        <n v="530.80999999999995"/>
        <n v="666.14"/>
        <n v="83.56"/>
        <n v="230.38"/>
        <n v="101.32"/>
        <n v="423.06"/>
        <n v="1388.45"/>
        <n v="171.14"/>
        <n v="578.41999999999996"/>
        <n v="203.76"/>
        <n v="1747.22"/>
        <n v="1374.48"/>
        <n v="1275.3599999999999"/>
        <n v="114.14"/>
        <n v="806.46"/>
        <n v="1174.07"/>
        <n v="125.13"/>
        <n v="216.79"/>
        <n v="527.82000000000005"/>
        <n v="416.04"/>
        <n v="88.27"/>
        <n v="911.32"/>
        <n v="430.86"/>
        <n v="441.7"/>
        <n v="123.44"/>
        <n v="520.44000000000005"/>
        <n v="1014.5"/>
        <n v="101.08"/>
        <n v="1424.68"/>
        <n v="202.43"/>
        <n v="65.8"/>
        <n v="1037.45"/>
        <n v="748.98"/>
        <n v="199.27"/>
        <n v="110.32"/>
        <n v="589.66"/>
        <n v="622.1"/>
        <n v="189.7"/>
        <n v="608.5"/>
        <n v="100.68"/>
        <n v="342.24"/>
        <n v="510.91"/>
        <n v="804.88"/>
        <n v="422.23"/>
        <n v="214.34"/>
        <n v="128.21"/>
        <n v="776.2"/>
        <n v="634.58000000000004"/>
        <n v="679.73"/>
        <n v="446.38"/>
        <n v="606.02"/>
        <n v="103.98"/>
        <n v="587.13"/>
        <n v="137.11000000000001"/>
        <n v="125.71"/>
        <n v="1304.56"/>
        <n v="625.9"/>
        <n v="589.94000000000005"/>
        <n v="663.6"/>
        <n v="545.97"/>
        <n v="464.24"/>
        <n v="220.87"/>
        <n v="629.44000000000005"/>
        <n v="162.6"/>
        <n v="30.52"/>
        <n v="877.67"/>
        <n v="463.97"/>
        <n v="1028.45"/>
        <n v="53.01"/>
        <n v="823.38"/>
        <n v="94.33"/>
        <n v="716.55"/>
        <n v="405.7"/>
        <n v="836.24"/>
        <n v="766.01"/>
        <n v="435.4"/>
        <n v="1563.75"/>
        <n v="1211.6199999999999"/>
        <n v="1671.52"/>
        <n v="246.81"/>
        <n v="145.12"/>
        <n v="739.59"/>
        <n v="643.39"/>
        <n v="507.63"/>
        <n v="490.48"/>
        <n v="907.19"/>
        <n v="593.29"/>
        <n v="162.12"/>
        <n v="109.12"/>
        <n v="151.85"/>
        <n v="398.58"/>
        <n v="1700.58"/>
        <n v="662.13"/>
        <n v="1079.01"/>
        <n v="220.1"/>
        <n v="279.95999999999998"/>
        <n v="1044.05"/>
        <n v="137.29"/>
        <n v="563.73"/>
        <n v="220.75"/>
        <n v="32.979999999999997"/>
        <n v="133.96"/>
        <n v="175.97"/>
        <n v="963.83"/>
        <n v="856.75"/>
        <n v="220.92"/>
        <n v="432.05"/>
        <n v="882.26"/>
        <n v="396.78"/>
        <n v="290.01"/>
        <n v="1235.9000000000001"/>
        <n v="370.74"/>
        <n v="17.98"/>
        <n v="229.16"/>
        <n v="635.69000000000005"/>
        <n v="694.8"/>
        <n v="1312.5"/>
        <n v="144.94"/>
        <n v="417.18"/>
        <n v="415.3"/>
        <n v="127.57"/>
        <n v="781.05"/>
        <n v="1659.7"/>
        <n v="188.25"/>
        <n v="1244.02"/>
        <n v="90.85"/>
        <n v="863.75"/>
        <n v="287.45999999999998"/>
        <n v="308.43"/>
        <n v="1341.89"/>
        <n v="390.66"/>
        <n v="172.94"/>
        <n v="744.07"/>
        <n v="661.68"/>
        <n v="397.1"/>
        <n v="1194.58"/>
        <n v="96.18"/>
        <n v="1116.52"/>
        <n v="127.06"/>
        <n v="462.21"/>
        <n v="767.07"/>
        <n v="174.01"/>
        <n v="685.4"/>
        <n v="1300.6600000000001"/>
        <n v="976.64"/>
        <n v="810.97"/>
        <n v="90.06"/>
        <n v="223.54"/>
        <n v="410.63"/>
        <n v="411.27"/>
        <n v="518.41999999999996"/>
        <n v="1389.78"/>
        <n v="304.52999999999997"/>
        <n v="135.72"/>
        <n v="68.489999999999995"/>
        <n v="1226.96"/>
        <n v="1218.49"/>
        <n v="187.34"/>
        <n v="575.41999999999996"/>
        <n v="40.58"/>
        <n v="1158.4100000000001"/>
        <n v="395.82"/>
        <n v="246.19"/>
        <n v="269.64999999999998"/>
        <n v="1176.4100000000001"/>
        <n v="406.3"/>
        <n v="270.13"/>
        <n v="150.97999999999999"/>
        <n v="411.4"/>
        <n v="132.24"/>
        <n v="849.15"/>
        <n v="142.75"/>
        <n v="124.36"/>
        <n v="65.06"/>
        <n v="312.32"/>
        <n v="884.34"/>
        <n v="347.51"/>
        <n v="815.2"/>
        <n v="181.85"/>
        <n v="1187.82"/>
        <n v="111.24"/>
        <n v="67.2"/>
        <n v="254.24"/>
        <n v="357.89"/>
        <n v="323.70999999999998"/>
        <n v="109.96"/>
        <n v="228.69"/>
        <n v="315.45"/>
        <n v="562.52"/>
        <n v="221.56"/>
        <n v="109.85"/>
        <n v="102.18"/>
        <n v="137.13999999999999"/>
        <n v="55.42"/>
        <n v="70.16"/>
        <n v="740.35"/>
        <n v="323.3"/>
        <n v="155.59"/>
        <n v="496.69"/>
        <n v="579.35"/>
        <n v="112.3"/>
        <n v="99.73"/>
        <n v="97.68"/>
        <n v="265.14"/>
        <n v="353.23"/>
        <n v="343.33"/>
        <n v="230.76"/>
        <n v="680.75"/>
        <n v="315.18"/>
        <n v="1071.9100000000001"/>
        <n v="206.31"/>
        <n v="154.94"/>
        <n v="671.85"/>
        <n v="477.6"/>
        <n v="508.47"/>
        <n v="9.33"/>
        <n v="117.67"/>
        <n v="1140.8699999999999"/>
        <n v="793.87"/>
        <n v="547.5"/>
        <n v="553.22"/>
        <n v="1797.17"/>
        <n v="1264.23"/>
        <n v="198.27"/>
        <n v="1083.67"/>
        <n v="578.85"/>
        <n v="142.91"/>
        <n v="753.04"/>
        <n v="141.41999999999999"/>
        <n v="231.08"/>
        <n v="677.22"/>
        <n v="324.97000000000003"/>
        <n v="424.93"/>
        <n v="350.44"/>
        <n v="376"/>
        <n v="747.84"/>
        <n v="788.76"/>
        <n v="1670.98"/>
        <n v="388.04"/>
        <n v="91.79"/>
        <n v="220.4"/>
        <n v="1470.8"/>
        <n v="76.06"/>
        <n v="172.45"/>
        <n v="843.34"/>
        <n v="592.6"/>
        <n v="481.76"/>
        <n v="849.74"/>
        <n v="181.51"/>
        <n v="466.94"/>
        <n v="124.82"/>
        <n v="790.61"/>
        <n v="21.59"/>
        <n v="582.96"/>
        <n v="229.7"/>
        <n v="330.01"/>
        <n v="202"/>
        <n v="351.94"/>
        <n v="249.14"/>
        <n v="501.24"/>
        <n v="149.12"/>
        <n v="769.02"/>
        <n v="139.03"/>
        <n v="1238.54"/>
        <n v="287.37"/>
        <n v="137.4"/>
        <n v="226.08"/>
        <n v="1343.68"/>
        <n v="1408.32"/>
        <n v="49.93"/>
        <n v="161.32"/>
        <n v="1776.17"/>
        <n v="83.87"/>
        <n v="176.43"/>
        <n v="220.01"/>
        <n v="298.52999999999997"/>
        <n v="24.4"/>
        <n v="1174.77"/>
        <n v="201.78"/>
        <n v="1044.82"/>
        <n v="282.12"/>
        <n v="962.28"/>
        <n v="191.12"/>
        <n v="660.06"/>
        <n v="167.13"/>
        <n v="308.60000000000002"/>
        <n v="158.6"/>
        <n v="187.65"/>
        <n v="118.55"/>
        <n v="79.459999999999994"/>
        <n v="587.86"/>
        <n v="156.51"/>
        <n v="675.29"/>
        <n v="1004.23"/>
        <n v="70.91"/>
        <n v="128.71"/>
        <n v="109.26"/>
        <n v="267.66000000000003"/>
        <n v="231.85"/>
        <n v="508.97"/>
        <n v="412.55"/>
        <n v="1212.82"/>
        <n v="178.58"/>
        <n v="322.99"/>
        <n v="172.06"/>
        <n v="523.02"/>
        <n v="1701"/>
        <n v="219.26"/>
        <n v="21.99"/>
        <n v="663.11"/>
        <n v="368.64"/>
        <n v="1158.8599999999999"/>
        <n v="396.7"/>
        <n v="256.3"/>
        <n v="895.77"/>
        <n v="1472.44"/>
        <n v="289.83"/>
        <n v="489.6"/>
        <n v="858.24"/>
        <n v="311.76"/>
        <n v="1132.3"/>
        <n v="47.47"/>
        <n v="166"/>
        <n v="107.5"/>
        <n v="129.37"/>
        <n v="394.68"/>
        <n v="788.77"/>
        <n v="107.65"/>
        <n v="90.79"/>
        <n v="363.95"/>
        <n v="496.9"/>
        <n v="255.6"/>
        <n v="45.99"/>
        <n v="170.6"/>
        <n v="456.79"/>
        <n v="28.08"/>
        <n v="221.06"/>
        <n v="348.94"/>
        <n v="225.62"/>
        <n v="132.16999999999999"/>
        <n v="162.91999999999999"/>
        <n v="1087.82"/>
        <n v="12.38"/>
        <n v="93.69"/>
        <n v="1643.15"/>
        <n v="1244.2"/>
        <n v="1131.76"/>
        <n v="407.55"/>
        <n v="982.38"/>
        <n v="208.25"/>
        <n v="329.45"/>
        <n v="809.96"/>
        <n v="867.78"/>
        <n v="685.1"/>
        <n v="79.02"/>
        <n v="143.84"/>
        <n v="80.23"/>
        <n v="31.83"/>
        <n v="1023.1"/>
        <n v="107.04"/>
        <n v="318.27999999999997"/>
        <n v="688.73"/>
        <n v="116.52"/>
        <n v="150.71"/>
        <n v="849.56"/>
        <n v="101.88"/>
        <n v="228.24"/>
        <n v="65.95"/>
        <n v="67.45"/>
        <n v="861.73"/>
        <n v="476.55"/>
        <n v="79.41"/>
        <n v="1375.56"/>
        <n v="251.86"/>
        <n v="873.65"/>
        <n v="171.72"/>
        <n v="322.5"/>
        <n v="479.64"/>
        <n v="371.35"/>
        <n v="366.1"/>
        <n v="811.97"/>
        <n v="253.93"/>
        <n v="906.38"/>
        <n v="425.07"/>
        <n v="234.16"/>
        <n v="232.24"/>
        <n v="438.12"/>
        <n v="1416"/>
        <n v="338.04"/>
        <n v="498.9"/>
        <n v="1091.6500000000001"/>
        <n v="1669.54"/>
        <n v="1164.28"/>
        <n v="182.39"/>
        <n v="32.68"/>
        <n v="560.62"/>
        <n v="1280.6600000000001"/>
        <n v="278.19"/>
        <n v="409.43"/>
        <n v="179.29"/>
        <n v="566.69000000000005"/>
        <n v="312.19"/>
        <n v="734.97"/>
        <n v="223.13"/>
        <n v="216.98"/>
        <n v="389.96"/>
        <n v="101.41"/>
        <n v="61.29"/>
        <n v="407.93"/>
        <n v="185.32"/>
        <n v="473.12"/>
        <n v="427.82"/>
        <n v="409.68"/>
        <n v="1329.07"/>
        <n v="259.95999999999998"/>
        <n v="310.89999999999998"/>
        <n v="382.99"/>
        <n v="85.8"/>
        <n v="112.76"/>
        <n v="370.64"/>
        <n v="1219.3900000000001"/>
        <n v="389.27"/>
        <n v="1020.38"/>
        <n v="527.76"/>
        <n v="182.8"/>
        <n v="282.37"/>
        <n v="927.36"/>
        <n v="515.02"/>
        <n v="378.97"/>
        <n v="1673.55"/>
        <n v="196.1"/>
        <n v="292.54000000000002"/>
        <n v="1312.85"/>
        <n v="996.64"/>
        <n v="418.02"/>
      </sharedItems>
    </cacheField>
    <cacheField name="Profit" numFmtId="164">
      <sharedItems containsSemiMixedTypes="0" containsString="0" containsNumber="1" minValue="1.36" maxValue="504.12" count="1908">
        <n v="90.26"/>
        <n v="23.5"/>
        <n v="9.91"/>
        <n v="147.1"/>
        <n v="18.14"/>
        <n v="12.27"/>
        <n v="124.57"/>
        <n v="15.28"/>
        <n v="150.03"/>
        <n v="56.97"/>
        <n v="33.6"/>
        <n v="223.99"/>
        <n v="18.920000000000002"/>
        <n v="6.84"/>
        <n v="90.56"/>
        <n v="416.19"/>
        <n v="22.37"/>
        <n v="3.81"/>
        <n v="120.02"/>
        <n v="46.64"/>
        <n v="399.88"/>
        <n v="289.19"/>
        <n v="230.5"/>
        <n v="45.6"/>
        <n v="92.51"/>
        <n v="123.78"/>
        <n v="46.7"/>
        <n v="305.74"/>
        <n v="192.11"/>
        <n v="11.37"/>
        <n v="178.07"/>
        <n v="361.23"/>
        <n v="62.77"/>
        <n v="76.67"/>
        <n v="71.069999999999993"/>
        <n v="16.34"/>
        <n v="88.95"/>
        <n v="32.72"/>
        <n v="64.67"/>
        <n v="76.95"/>
        <n v="82.58"/>
        <n v="149.83000000000001"/>
        <n v="462.22"/>
        <n v="57.87"/>
        <n v="283.75"/>
        <n v="22.05"/>
        <n v="39.69"/>
        <n v="93.54"/>
        <n v="39.700000000000003"/>
        <n v="46.31"/>
        <n v="63.52"/>
        <n v="27.78"/>
        <n v="10.39"/>
        <n v="49.53"/>
        <n v="137.44999999999999"/>
        <n v="26.85"/>
        <n v="247.24"/>
        <n v="76.63"/>
        <n v="54.57"/>
        <n v="267.23"/>
        <n v="71.48"/>
        <n v="20.58"/>
        <n v="59.74"/>
        <n v="17.04"/>
        <n v="10.1"/>
        <n v="157.75"/>
        <n v="53.17"/>
        <n v="181.57"/>
        <n v="172.42"/>
        <n v="49.8"/>
        <n v="169.64"/>
        <n v="466.67"/>
        <n v="30.7"/>
        <n v="69.37"/>
        <n v="257"/>
        <n v="21.02"/>
        <n v="125.57"/>
        <n v="268.85000000000002"/>
        <n v="22.12"/>
        <n v="3.03"/>
        <n v="55.76"/>
        <n v="286.76"/>
        <n v="186.9"/>
        <n v="4.46"/>
        <n v="99.98"/>
        <n v="74.62"/>
        <n v="114.62"/>
        <n v="42.13"/>
        <n v="17.170000000000002"/>
        <n v="114.77"/>
        <n v="23.01"/>
        <n v="78.2"/>
        <n v="21.82"/>
        <n v="395.31"/>
        <n v="80.84"/>
        <n v="53.28"/>
        <n v="72.94"/>
        <n v="21.28"/>
        <n v="70.14"/>
        <n v="88.94"/>
        <n v="17.47"/>
        <n v="81.96"/>
        <n v="34.369999999999997"/>
        <n v="129.99"/>
        <n v="197.62"/>
        <n v="16.66"/>
        <n v="17"/>
        <n v="26.47"/>
        <n v="132.09"/>
        <n v="54.13"/>
        <n v="100.68"/>
        <n v="104.53"/>
        <n v="65.319999999999993"/>
        <n v="71.14"/>
        <n v="20.27"/>
        <n v="73.47"/>
        <n v="44.89"/>
        <n v="114.74"/>
        <n v="186.6"/>
        <n v="22.38"/>
        <n v="42.37"/>
        <n v="296.54000000000002"/>
        <n v="32.869999999999997"/>
        <n v="121.17"/>
        <n v="45.77"/>
        <n v="22.65"/>
        <n v="275.14"/>
        <n v="300.82"/>
        <n v="73.98"/>
        <n v="74.8"/>
        <n v="59.47"/>
        <n v="23.7"/>
        <n v="47.73"/>
        <n v="15.64"/>
        <n v="107.32"/>
        <n v="17.77"/>
        <n v="54.9"/>
        <n v="40.22"/>
        <n v="67.069999999999993"/>
        <n v="112.59"/>
        <n v="60.62"/>
        <n v="77.95"/>
        <n v="14.93"/>
        <n v="176.02"/>
        <n v="211.82"/>
        <n v="285.45999999999998"/>
        <n v="40.68"/>
        <n v="84.41"/>
        <n v="215.29"/>
        <n v="141.38"/>
        <n v="215.82"/>
        <n v="80.739999999999995"/>
        <n v="9.42"/>
        <n v="115.26"/>
        <n v="67.97"/>
        <n v="212.62"/>
        <n v="11.56"/>
        <n v="65.709999999999994"/>
        <n v="60.77"/>
        <n v="41.05"/>
        <n v="249.77"/>
        <n v="120.82"/>
        <n v="182.7"/>
        <n v="10.64"/>
        <n v="41.49"/>
        <n v="139.88"/>
        <n v="4.16"/>
        <n v="130.38"/>
        <n v="145.5"/>
        <n v="10.96"/>
        <n v="164.19"/>
        <n v="400.13"/>
        <n v="17.63"/>
        <n v="169.89"/>
        <n v="186.64"/>
        <n v="46.41"/>
        <n v="11.18"/>
        <n v="124.45"/>
        <n v="2.5099999999999998"/>
        <n v="87.77"/>
        <n v="32.979999999999997"/>
        <n v="220.37"/>
        <n v="63.15"/>
        <n v="53.07"/>
        <n v="51.58"/>
        <n v="16.05"/>
        <n v="102.12"/>
        <n v="9.0299999999999994"/>
        <n v="31.87"/>
        <n v="281.75"/>
        <n v="36.25"/>
        <n v="74.47"/>
        <n v="145.56"/>
        <n v="37.090000000000003"/>
        <n v="31.81"/>
        <n v="50.76"/>
        <n v="34.340000000000003"/>
        <n v="29.04"/>
        <n v="135.54"/>
        <n v="162.58000000000001"/>
        <n v="14.02"/>
        <n v="7.28"/>
        <n v="3.78"/>
        <n v="206.17"/>
        <n v="39.51"/>
        <n v="64.849999999999994"/>
        <n v="26.82"/>
        <n v="28.51"/>
        <n v="69.22"/>
        <n v="10.77"/>
        <n v="112.87"/>
        <n v="168.03"/>
        <n v="39.17"/>
        <n v="54.55"/>
        <n v="42.97"/>
        <n v="131.52000000000001"/>
        <n v="174.29"/>
        <n v="25.56"/>
        <n v="41.63"/>
        <n v="119.75"/>
        <n v="83.14"/>
        <n v="5.87"/>
        <n v="4.49"/>
        <n v="152.86000000000001"/>
        <n v="39.89"/>
        <n v="10.36"/>
        <n v="137.75"/>
        <n v="26.67"/>
        <n v="14.24"/>
        <n v="49.23"/>
        <n v="27.96"/>
        <n v="136.86000000000001"/>
        <n v="206.39"/>
        <n v="56.01"/>
        <n v="119.76"/>
        <n v="95.41"/>
        <n v="17.61"/>
        <n v="1.36"/>
        <n v="136.58000000000001"/>
        <n v="13.4"/>
        <n v="224.1"/>
        <n v="295.26"/>
        <n v="70.930000000000007"/>
        <n v="56.51"/>
        <n v="99.35"/>
        <n v="142.44999999999999"/>
        <n v="67.08"/>
        <n v="49.22"/>
        <n v="248.54"/>
        <n v="222.79"/>
        <n v="339.97"/>
        <n v="225.23"/>
        <n v="98.87"/>
        <n v="14.08"/>
        <n v="301.92"/>
        <n v="45.66"/>
        <n v="9.61"/>
        <n v="78.16"/>
        <n v="1.73"/>
        <n v="157.99"/>
        <n v="159.21"/>
        <n v="16.48"/>
        <n v="5.03"/>
        <n v="117.65"/>
        <n v="283.56"/>
        <n v="61.74"/>
        <n v="66.260000000000005"/>
        <n v="108.24"/>
        <n v="102.11"/>
        <n v="50.99"/>
        <n v="83.9"/>
        <n v="76.73"/>
        <n v="55.67"/>
        <n v="138.03"/>
        <n v="394.91"/>
        <n v="109.74"/>
        <n v="75.099999999999994"/>
        <n v="142.13"/>
        <n v="216.89"/>
        <n v="84.54"/>
        <n v="33.4"/>
        <n v="60.48"/>
        <n v="259.52999999999997"/>
        <n v="11.17"/>
        <n v="140.53"/>
        <n v="85.88"/>
        <n v="43.19"/>
        <n v="284.39"/>
        <n v="114.2"/>
        <n v="161.96"/>
        <n v="17.510000000000002"/>
        <n v="328.68"/>
        <n v="267.55"/>
        <n v="64.83"/>
        <n v="131.6"/>
        <n v="116.48"/>
        <n v="61.89"/>
        <n v="29.99"/>
        <n v="14.3"/>
        <n v="54.3"/>
        <n v="67.78"/>
        <n v="198.7"/>
        <n v="8.49"/>
        <n v="64.650000000000006"/>
        <n v="392.99"/>
        <n v="35.54"/>
        <n v="10.74"/>
        <n v="54.67"/>
        <n v="57.13"/>
        <n v="156.56"/>
        <n v="191.47"/>
        <n v="168.17"/>
        <n v="262.16000000000003"/>
        <n v="126.1"/>
        <n v="40.47"/>
        <n v="157.54"/>
        <n v="27.31"/>
        <n v="189.85"/>
        <n v="204.6"/>
        <n v="28.47"/>
        <n v="25.86"/>
        <n v="54.96"/>
        <n v="321.08"/>
        <n v="52.28"/>
        <n v="55.56"/>
        <n v="45.29"/>
        <n v="54.73"/>
        <n v="106.52"/>
        <n v="105.87"/>
        <n v="9.5299999999999994"/>
        <n v="25.7"/>
        <n v="161.80000000000001"/>
        <n v="182.64"/>
        <n v="31.58"/>
        <n v="34.270000000000003"/>
        <n v="62.67"/>
        <n v="25.67"/>
        <n v="26.36"/>
        <n v="291.57"/>
        <n v="90.91"/>
        <n v="31.69"/>
        <n v="23.54"/>
        <n v="26.71"/>
        <n v="42.88"/>
        <n v="69.69"/>
        <n v="257.74"/>
        <n v="11.46"/>
        <n v="33.33"/>
        <n v="29.52"/>
        <n v="37.659999999999997"/>
        <n v="29.02"/>
        <n v="266.58999999999997"/>
        <n v="184.83"/>
        <n v="164.38"/>
        <n v="162.83000000000001"/>
        <n v="63.55"/>
        <n v="70.77"/>
        <n v="274.77"/>
        <n v="131.65"/>
        <n v="163.02000000000001"/>
        <n v="67.28"/>
        <n v="268.74"/>
        <n v="51.36"/>
        <n v="83.47"/>
        <n v="222.51"/>
        <n v="36.54"/>
        <n v="7.15"/>
        <n v="16.260000000000002"/>
        <n v="26.87"/>
        <n v="197.91"/>
        <n v="4.13"/>
        <n v="92.82"/>
        <n v="54.38"/>
        <n v="48.68"/>
        <n v="45.44"/>
        <n v="38.630000000000003"/>
        <n v="109.94"/>
        <n v="110.74"/>
        <n v="140.82"/>
        <n v="282.22000000000003"/>
        <n v="9.77"/>
        <n v="61.49"/>
        <n v="230.69"/>
        <n v="27.62"/>
        <n v="16.5"/>
        <n v="11.08"/>
        <n v="82.05"/>
        <n v="204.45"/>
        <n v="99.69"/>
        <n v="59.06"/>
        <n v="63.29"/>
        <n v="118.02"/>
        <n v="36.47"/>
        <n v="106.11"/>
        <n v="18.260000000000002"/>
        <n v="87.45"/>
        <n v="93.97"/>
        <n v="17.850000000000001"/>
        <n v="114.83"/>
        <n v="73.88"/>
        <n v="42.17"/>
        <n v="110.4"/>
        <n v="230.41"/>
        <n v="214.24"/>
        <n v="121.33"/>
        <n v="19.32"/>
        <n v="39.4"/>
        <n v="26.21"/>
        <n v="63.76"/>
        <n v="75.36"/>
        <n v="78.8"/>
        <n v="16.43"/>
        <n v="39.450000000000003"/>
        <n v="59.88"/>
        <n v="111.12"/>
        <n v="88.88"/>
        <n v="20.28"/>
        <n v="239.65"/>
        <n v="27.99"/>
        <n v="42.12"/>
        <n v="19.510000000000002"/>
        <n v="211.21"/>
        <n v="102.88"/>
        <n v="328.72"/>
        <n v="180"/>
        <n v="261.79000000000002"/>
        <n v="43.15"/>
        <n v="156.04"/>
        <n v="32.18"/>
        <n v="244.65"/>
        <n v="9.8000000000000007"/>
        <n v="40.67"/>
        <n v="150.4"/>
        <n v="282.41000000000003"/>
        <n v="53.23"/>
        <n v="43.02"/>
        <n v="245.92"/>
        <n v="152.22999999999999"/>
        <n v="376.68"/>
        <n v="27.01"/>
        <n v="184.17"/>
        <n v="347.16"/>
        <n v="98.67"/>
        <n v="90.31"/>
        <n v="29.48"/>
        <n v="29.2"/>
        <n v="65.73"/>
        <n v="74.69"/>
        <n v="58.43"/>
        <n v="94.95"/>
        <n v="68.48"/>
        <n v="23.96"/>
        <n v="25.65"/>
        <n v="113.37"/>
        <n v="56.49"/>
        <n v="31.94"/>
        <n v="267.02"/>
        <n v="169.05"/>
        <n v="37.799999999999997"/>
        <n v="137.06"/>
        <n v="9.15"/>
        <n v="84.21"/>
        <n v="74.73"/>
        <n v="28.23"/>
        <n v="152.4"/>
        <n v="84.74"/>
        <n v="50.75"/>
        <n v="28.7"/>
        <n v="39.94"/>
        <n v="19.489999999999998"/>
        <n v="105.29"/>
        <n v="102.4"/>
        <n v="50.43"/>
        <n v="23.99"/>
        <n v="110.41"/>
        <n v="98.3"/>
        <n v="25.63"/>
        <n v="36.74"/>
        <n v="32.58"/>
        <n v="33.75"/>
        <n v="47.65"/>
        <n v="129.94999999999999"/>
        <n v="311.16000000000003"/>
        <n v="97.87"/>
        <n v="13.27"/>
        <n v="171.14"/>
        <n v="207.31"/>
        <n v="58.14"/>
        <n v="32.04"/>
        <n v="134.28"/>
        <n v="25.4"/>
        <n v="59.68"/>
        <n v="94.78"/>
        <n v="38.01"/>
        <n v="34.03"/>
        <n v="50.83"/>
        <n v="62.68"/>
        <n v="122.4"/>
        <n v="257.62"/>
        <n v="159.04"/>
        <n v="59.71"/>
        <n v="61.62"/>
        <n v="333.6"/>
        <n v="112.65"/>
        <n v="31.48"/>
        <n v="124.35"/>
        <n v="50.77"/>
        <n v="17.64"/>
        <n v="326.70999999999998"/>
        <n v="75.599999999999994"/>
        <n v="50.24"/>
        <n v="440.17"/>
        <n v="3.67"/>
        <n v="44.33"/>
        <n v="119.88"/>
        <n v="99.79"/>
        <n v="116.9"/>
        <n v="24.39"/>
        <n v="51.61"/>
        <n v="35.64"/>
        <n v="123.84"/>
        <n v="84.49"/>
        <n v="61.77"/>
        <n v="24.92"/>
        <n v="8.01"/>
        <n v="33.299999999999997"/>
        <n v="30.47"/>
        <n v="5.26"/>
        <n v="7.82"/>
        <n v="194.33"/>
        <n v="66.510000000000005"/>
        <n v="59"/>
        <n v="252.05"/>
        <n v="92.56"/>
        <n v="99.13"/>
        <n v="26.18"/>
        <n v="20.74"/>
        <n v="268.64"/>
        <n v="24.61"/>
        <n v="147.16999999999999"/>
        <n v="238.62"/>
        <n v="37.08"/>
        <n v="125.24"/>
        <n v="32.950000000000003"/>
        <n v="138.82"/>
        <n v="102.92"/>
        <n v="79.14"/>
        <n v="160.44"/>
        <n v="28.14"/>
        <n v="35.79"/>
        <n v="357.93"/>
        <n v="95.91"/>
        <n v="150.21"/>
        <n v="92.65"/>
        <n v="25.69"/>
        <n v="195.45"/>
        <n v="64.27"/>
        <n v="121.42"/>
        <n v="30.72"/>
        <n v="238.3"/>
        <n v="247.93"/>
        <n v="198.06"/>
        <n v="172.1"/>
        <n v="37.700000000000003"/>
        <n v="40.479999999999997"/>
        <n v="9.85"/>
        <n v="43.3"/>
        <n v="100.04"/>
        <n v="99.18"/>
        <n v="181.8"/>
        <n v="121.11"/>
        <n v="12.74"/>
        <n v="65.790000000000006"/>
        <n v="60.01"/>
        <n v="40.4"/>
        <n v="227.8"/>
        <n v="26.48"/>
        <n v="41.31"/>
        <n v="259.13"/>
        <n v="471.59"/>
        <n v="202.61"/>
        <n v="118.03"/>
        <n v="38.78"/>
        <n v="5.39"/>
        <n v="11.34"/>
        <n v="128.49"/>
        <n v="36.979999999999997"/>
        <n v="20.47"/>
        <n v="128.16"/>
        <n v="134.76"/>
        <n v="185.05"/>
        <n v="20.61"/>
        <n v="24.36"/>
        <n v="45.19"/>
        <n v="80.650000000000006"/>
        <n v="34.130000000000003"/>
        <n v="185.58"/>
        <n v="79.349999999999994"/>
        <n v="139.53"/>
        <n v="99.85"/>
        <n v="13.17"/>
        <n v="57.83"/>
        <n v="240.31"/>
        <n v="11.64"/>
        <n v="35.58"/>
        <n v="104.93"/>
        <n v="51.33"/>
        <n v="166.01"/>
        <n v="391.37"/>
        <n v="19.59"/>
        <n v="73.5"/>
        <n v="59.04"/>
        <n v="41.02"/>
        <n v="66.02"/>
        <n v="137.58000000000001"/>
        <n v="114.11"/>
        <n v="23.26"/>
        <n v="92.68"/>
        <n v="62.09"/>
        <n v="35.020000000000003"/>
        <n v="77.69"/>
        <n v="185.89"/>
        <n v="66.73"/>
        <n v="175.59"/>
        <n v="84.16"/>
        <n v="149.80000000000001"/>
        <n v="157.66"/>
        <n v="127.5"/>
        <n v="45.53"/>
        <n v="73.14"/>
        <n v="184.52"/>
        <n v="62.23"/>
        <n v="108.5"/>
        <n v="257.76"/>
        <n v="182.6"/>
        <n v="134.59"/>
        <n v="8.0399999999999991"/>
        <n v="40.85"/>
        <n v="12.1"/>
        <n v="50.93"/>
        <n v="60.76"/>
        <n v="123.34"/>
        <n v="137.69"/>
        <n v="61.82"/>
        <n v="149.72"/>
        <n v="213.62"/>
        <n v="127.46"/>
        <n v="123.25"/>
        <n v="13.98"/>
        <n v="19.68"/>
        <n v="330.91"/>
        <n v="40.549999999999997"/>
        <n v="10.42"/>
        <n v="288.29000000000002"/>
        <n v="266.07"/>
        <n v="3.92"/>
        <n v="15.29"/>
        <n v="38.94"/>
        <n v="4.79"/>
        <n v="96.07"/>
        <n v="36.270000000000003"/>
        <n v="13.13"/>
        <n v="66.489999999999995"/>
        <n v="34.65"/>
        <n v="33.24"/>
        <n v="57.22"/>
        <n v="7.44"/>
        <n v="297.52"/>
        <n v="68.430000000000007"/>
        <n v="108.72"/>
        <n v="167.29"/>
        <n v="8.82"/>
        <n v="134.22999999999999"/>
        <n v="127.63"/>
        <n v="134.15"/>
        <n v="213.22"/>
        <n v="64.78"/>
        <n v="42.48"/>
        <n v="201.58"/>
        <n v="1.86"/>
        <n v="35.159999999999997"/>
        <n v="118.72"/>
        <n v="67.010000000000005"/>
        <n v="99"/>
        <n v="30.53"/>
        <n v="104.59"/>
        <n v="52.43"/>
        <n v="5.56"/>
        <n v="335.58"/>
        <n v="44.26"/>
        <n v="76.22"/>
        <n v="146.09"/>
        <n v="64.010000000000005"/>
        <n v="32.549999999999997"/>
        <n v="73.72"/>
        <n v="416.89"/>
        <n v="401.67"/>
        <n v="71.540000000000006"/>
        <n v="98.73"/>
        <n v="15.59"/>
        <n v="159.85"/>
        <n v="129.31"/>
        <n v="73.06"/>
        <n v="373.25"/>
        <n v="136.34"/>
        <n v="51.48"/>
        <n v="137.43"/>
        <n v="134.32"/>
        <n v="192.86"/>
        <n v="86.55"/>
        <n v="426.2"/>
        <n v="126.63"/>
        <n v="190.87"/>
        <n v="193.63"/>
        <n v="135.71"/>
        <n v="2.81"/>
        <n v="205.42"/>
        <n v="12.05"/>
        <n v="59.45"/>
        <n v="212.43"/>
        <n v="251.98"/>
        <n v="230.62"/>
        <n v="152.65"/>
        <n v="41.08"/>
        <n v="71.86"/>
        <n v="16.899999999999999"/>
        <n v="303.83"/>
        <n v="25.94"/>
        <n v="51.96"/>
        <n v="178.44"/>
        <n v="240.3"/>
        <n v="90.81"/>
        <n v="181.84"/>
        <n v="95"/>
        <n v="153.69"/>
        <n v="8.08"/>
        <n v="82.94"/>
        <n v="14.69"/>
        <n v="270.39999999999998"/>
        <n v="25.25"/>
        <n v="48.65"/>
        <n v="92.01"/>
        <n v="26.83"/>
        <n v="377.91"/>
        <n v="21.75"/>
        <n v="59.69"/>
        <n v="214.82"/>
        <n v="274"/>
        <n v="33.5"/>
        <n v="39.380000000000003"/>
        <n v="106.64"/>
        <n v="85.54"/>
        <n v="45.64"/>
        <n v="212.59"/>
        <n v="12.46"/>
        <n v="93.64"/>
        <n v="239.83"/>
        <n v="22.47"/>
        <n v="237.43"/>
        <n v="26.03"/>
        <n v="102.58"/>
        <n v="41.24"/>
        <n v="13.35"/>
        <n v="103.24"/>
        <n v="23.11"/>
        <n v="143.03"/>
        <n v="49.82"/>
        <n v="202.62"/>
        <n v="79.28"/>
        <n v="87.07"/>
        <n v="104.37"/>
        <n v="7.46"/>
        <n v="17.579999999999998"/>
        <n v="264.02"/>
        <n v="192.9"/>
        <n v="29.08"/>
        <n v="42.92"/>
        <n v="14.84"/>
        <n v="100.63"/>
        <n v="373.85"/>
        <n v="66.05"/>
        <n v="171.55"/>
        <n v="30.4"/>
        <n v="172.79"/>
        <n v="33.22"/>
        <n v="238.73"/>
        <n v="104.71"/>
        <n v="46.75"/>
        <n v="105.15"/>
        <n v="62.56"/>
        <n v="26.13"/>
        <n v="269.64"/>
        <n v="236.63"/>
        <n v="89.49"/>
        <n v="129.54"/>
        <n v="67.13"/>
        <n v="20.91"/>
        <n v="433.87"/>
        <n v="133.63999999999999"/>
        <n v="53.82"/>
        <n v="34.659999999999997"/>
        <n v="39"/>
        <n v="31.11"/>
        <n v="7.07"/>
        <n v="346.66"/>
        <n v="239.68"/>
        <n v="56.84"/>
        <n v="303.27999999999997"/>
        <n v="97.24"/>
        <n v="31.42"/>
        <n v="34.86"/>
        <n v="11.16"/>
        <n v="27.34"/>
        <n v="14.09"/>
        <n v="349.26"/>
        <n v="21.99"/>
        <n v="116.15"/>
        <n v="393.12"/>
        <n v="87.55"/>
        <n v="130.99"/>
        <n v="261.70999999999998"/>
        <n v="92.6"/>
        <n v="186.69"/>
        <n v="45.79"/>
        <n v="38.270000000000003"/>
        <n v="38.840000000000003"/>
        <n v="171.81"/>
        <n v="75.38"/>
        <n v="68.64"/>
        <n v="160.87"/>
        <n v="13.19"/>
        <n v="120.78"/>
        <n v="210.08"/>
        <n v="21.11"/>
        <n v="8.15"/>
        <n v="191.41"/>
        <n v="352.92"/>
        <n v="40.97"/>
        <n v="384.3"/>
        <n v="155.15"/>
        <n v="63.04"/>
        <n v="6.88"/>
        <n v="77.84"/>
        <n v="19.8"/>
        <n v="196.87"/>
        <n v="308.52"/>
        <n v="57.33"/>
        <n v="53.14"/>
        <n v="6.74"/>
        <n v="261.37"/>
        <n v="34"/>
        <n v="108.76"/>
        <n v="56.14"/>
        <n v="177.63"/>
        <n v="298.17"/>
        <n v="221.89"/>
        <n v="26.94"/>
        <n v="27.89"/>
        <n v="26.8"/>
        <n v="111.41"/>
        <n v="269.39999999999998"/>
        <n v="22.73"/>
        <n v="98.92"/>
        <n v="250.05"/>
        <n v="43.66"/>
        <n v="25.87"/>
        <n v="39.409999999999997"/>
        <n v="229.59"/>
        <n v="97.21"/>
        <n v="42.26"/>
        <n v="102.46"/>
        <n v="77.98"/>
        <n v="117.05"/>
        <n v="125.31"/>
        <n v="130.18"/>
        <n v="92.47"/>
        <n v="109.44"/>
        <n v="50.52"/>
        <n v="136.28"/>
        <n v="38.19"/>
        <n v="14.46"/>
        <n v="128.75"/>
        <n v="122.72"/>
        <n v="120.89"/>
        <n v="35.770000000000003"/>
        <n v="23.32"/>
        <n v="70.790000000000006"/>
        <n v="220.3"/>
        <n v="64.680000000000007"/>
        <n v="79.27"/>
        <n v="21.49"/>
        <n v="60.82"/>
        <n v="48.04"/>
        <n v="4.26"/>
        <n v="107.6"/>
        <n v="42.33"/>
        <n v="88.57"/>
        <n v="183.66"/>
        <n v="164.32"/>
        <n v="2.87"/>
        <n v="38.39"/>
        <n v="171.32"/>
        <n v="35.36"/>
        <n v="21.21"/>
        <n v="235.15"/>
        <n v="75.17"/>
        <n v="83"/>
        <n v="3.29"/>
        <n v="147.19"/>
        <n v="51.62"/>
        <n v="133.28"/>
        <n v="46.22"/>
        <n v="205.26"/>
        <n v="3.69"/>
        <n v="123.54"/>
        <n v="106.8"/>
        <n v="220.62"/>
        <n v="146.54"/>
        <n v="111.54"/>
        <n v="7.78"/>
        <n v="90.97"/>
        <n v="85.42"/>
        <n v="110.38"/>
        <n v="303.10000000000002"/>
        <n v="409.73"/>
        <n v="35.24"/>
        <n v="195.6"/>
        <n v="49.05"/>
        <n v="219.57"/>
        <n v="73.86"/>
        <n v="37.92"/>
        <n v="241.09"/>
        <n v="162.46"/>
        <n v="11.21"/>
        <n v="151.97999999999999"/>
        <n v="245.74"/>
        <n v="11.91"/>
        <n v="201.25"/>
        <n v="3.02"/>
        <n v="123.12"/>
        <n v="119.63"/>
        <n v="63.6"/>
        <n v="484.65"/>
        <n v="15.63"/>
        <n v="148.68"/>
        <n v="11.48"/>
        <n v="168.76"/>
        <n v="68.61"/>
        <n v="76.14"/>
        <n v="304.58999999999997"/>
        <n v="35.450000000000003"/>
        <n v="14.53"/>
        <n v="118.66"/>
        <n v="93.89"/>
        <n v="9.7200000000000006"/>
        <n v="41.04"/>
        <n v="238.49"/>
        <n v="82.98"/>
        <n v="32.81"/>
        <n v="122.39"/>
        <n v="4.76"/>
        <n v="97.98"/>
        <n v="354.06"/>
        <n v="83.32"/>
        <n v="42.98"/>
        <n v="191.2"/>
        <n v="196"/>
        <n v="111.45"/>
        <n v="133.56"/>
        <n v="38.11"/>
        <n v="205.5"/>
        <n v="137.63999999999999"/>
        <n v="6.43"/>
        <n v="94.52"/>
        <n v="68.22"/>
        <n v="143.15"/>
        <n v="66.819999999999993"/>
        <n v="79.06"/>
        <n v="18.98"/>
        <n v="26.65"/>
        <n v="91.33"/>
        <n v="91.71"/>
        <n v="55.68"/>
        <n v="28.04"/>
        <n v="24.04"/>
        <n v="406.41"/>
        <n v="149.66"/>
        <n v="101.99"/>
        <n v="223.46"/>
        <n v="93.23"/>
        <n v="16.39"/>
        <n v="191.67"/>
        <n v="5.72"/>
        <n v="78.84"/>
        <n v="140.77000000000001"/>
        <n v="114.04"/>
        <n v="56.93"/>
        <n v="293.77999999999997"/>
        <n v="18.72"/>
        <n v="41.77"/>
        <n v="24.07"/>
        <n v="168.35"/>
        <n v="65.92"/>
        <n v="89.94"/>
        <n v="158.79"/>
        <n v="18.03"/>
        <n v="144.30000000000001"/>
        <n v="6.42"/>
        <n v="91.01"/>
        <n v="39.83"/>
        <n v="101.58"/>
        <n v="310.55"/>
        <n v="33.729999999999997"/>
        <n v="77.040000000000006"/>
        <n v="23.3"/>
        <n v="11.44"/>
        <n v="368.36"/>
        <n v="22.86"/>
        <n v="63.8"/>
        <n v="209.47"/>
        <n v="291.45"/>
        <n v="164.63"/>
        <n v="7.1"/>
        <n v="110.22"/>
        <n v="177.59"/>
        <n v="32.729999999999997"/>
        <n v="318.22000000000003"/>
        <n v="144.38"/>
        <n v="31.15"/>
        <n v="152.49"/>
        <n v="132.58000000000001"/>
        <n v="109.55"/>
        <n v="29.12"/>
        <n v="13.3"/>
        <n v="207.52"/>
        <n v="87.93"/>
        <n v="134.99"/>
        <n v="201.46"/>
        <n v="76.459999999999994"/>
        <n v="75.02"/>
        <n v="40.33"/>
        <n v="13.71"/>
        <n v="83.31"/>
        <n v="20.329999999999998"/>
        <n v="107.97"/>
        <n v="51.42"/>
        <n v="109.65"/>
        <n v="339.82"/>
        <n v="283.76"/>
        <n v="58.7"/>
        <n v="63.03"/>
        <n v="87.99"/>
        <n v="21.15"/>
        <n v="3.94"/>
        <n v="4.41"/>
        <n v="56.3"/>
        <n v="71.930000000000007"/>
        <n v="18.78"/>
        <n v="231.72"/>
        <n v="140.37"/>
        <n v="67.37"/>
        <n v="430.73"/>
        <n v="18.899999999999999"/>
        <n v="268.83999999999997"/>
        <n v="11"/>
        <n v="3.11"/>
        <n v="194.41"/>
        <n v="184.78"/>
        <n v="25.62"/>
        <n v="131.57"/>
        <n v="52.68"/>
        <n v="13.15"/>
        <n v="244.05"/>
        <n v="49.02"/>
        <n v="339.03"/>
        <n v="208.73"/>
        <n v="70.430000000000007"/>
        <n v="45.18"/>
        <n v="504.12"/>
        <n v="128.37"/>
        <n v="56.9"/>
        <n v="90.57"/>
        <n v="147.41"/>
        <n v="52.66"/>
        <n v="19.14"/>
        <n v="16.239999999999998"/>
        <n v="83.4"/>
        <n v="48.61"/>
        <n v="95.27"/>
        <n v="238.84"/>
        <n v="7.11"/>
        <n v="101.38"/>
        <n v="21.4"/>
        <n v="13.25"/>
        <n v="18.989999999999998"/>
        <n v="243.11"/>
        <n v="167.83"/>
        <n v="100.82"/>
        <n v="31.68"/>
        <n v="153.93"/>
        <n v="306.36"/>
        <n v="84.63"/>
        <n v="131.86000000000001"/>
        <n v="163.44999999999999"/>
        <n v="131.49"/>
        <n v="168.05"/>
        <n v="417.77"/>
        <n v="59.93"/>
        <n v="299.10000000000002"/>
        <n v="46.1"/>
        <n v="105.92"/>
        <n v="60.07"/>
        <n v="52.57"/>
        <n v="157"/>
        <n v="51.53"/>
        <n v="295.16000000000003"/>
        <n v="58.1"/>
        <n v="167"/>
        <n v="346.87"/>
        <n v="79.61"/>
        <n v="13.1"/>
        <n v="74.53"/>
        <n v="268.88"/>
        <n v="32.14"/>
        <n v="35.880000000000003"/>
        <n v="40.869999999999997"/>
        <n v="78.77"/>
        <n v="106.87"/>
        <n v="2.41"/>
        <n v="116.06"/>
        <n v="247.87"/>
        <n v="164"/>
        <n v="94.92"/>
        <n v="81.25"/>
        <n v="53.76"/>
        <n v="245.1"/>
        <n v="26.95"/>
        <n v="43.07"/>
        <n v="49.11"/>
        <n v="33.19"/>
        <n v="179.8"/>
        <n v="153.31"/>
        <n v="419.69"/>
        <n v="121.59"/>
        <n v="58.12"/>
        <n v="35.72"/>
        <n v="106.34"/>
        <n v="32.83"/>
        <n v="145.03"/>
        <n v="25.44"/>
        <n v="143.16999999999999"/>
        <n v="35.299999999999997"/>
        <n v="365.07"/>
        <n v="14.23"/>
        <n v="76.819999999999993"/>
        <n v="98.29"/>
        <n v="398.67"/>
        <n v="216.1"/>
        <n v="59.58"/>
        <n v="111.43"/>
        <n v="27.42"/>
        <n v="213.58"/>
        <n v="146.11000000000001"/>
        <n v="229.75"/>
        <n v="181.35"/>
        <n v="29.93"/>
        <n v="25.9"/>
        <n v="66.45"/>
        <n v="267.76"/>
        <n v="9.23"/>
        <n v="184.14"/>
        <n v="122.01"/>
        <n v="64.13"/>
        <n v="21.98"/>
        <n v="58.49"/>
        <n v="135.26"/>
        <n v="42.96"/>
        <n v="90.47"/>
        <n v="5.25"/>
        <n v="68.89"/>
        <n v="89.58"/>
        <n v="94.03"/>
        <n v="119.34"/>
        <n v="22.93"/>
        <n v="48.21"/>
        <n v="99.28"/>
        <n v="152.63999999999999"/>
        <n v="58.24"/>
        <n v="159.44"/>
        <n v="64.16"/>
        <n v="125.5"/>
        <n v="162.41"/>
        <n v="20.399999999999999"/>
        <n v="79.290000000000006"/>
        <n v="76.209999999999994"/>
        <n v="16.829999999999998"/>
        <n v="100.83"/>
        <n v="75.31"/>
        <n v="219.24"/>
        <n v="22.8"/>
        <n v="8.5399999999999991"/>
        <n v="232.35"/>
        <n v="86.47"/>
        <n v="89.33"/>
        <n v="140.59"/>
        <n v="151.75"/>
        <n v="67.430000000000007"/>
        <n v="99.09"/>
        <n v="196.27"/>
        <n v="130.47999999999999"/>
        <n v="83.79"/>
        <n v="7.02"/>
        <n v="66.13"/>
        <n v="24.3"/>
        <n v="205.08"/>
        <n v="22.46"/>
        <n v="272.70999999999998"/>
        <n v="12.78"/>
        <n v="71.55"/>
        <n v="212.49"/>
        <n v="122.76"/>
        <n v="5.5"/>
        <n v="18.04"/>
        <n v="198.6"/>
        <n v="11.81"/>
        <n v="271.31"/>
        <n v="137.03"/>
        <n v="88.44"/>
        <n v="183"/>
        <n v="41.09"/>
        <n v="248.7"/>
        <n v="57"/>
        <n v="117.41"/>
        <n v="11.84"/>
        <n v="25.49"/>
        <n v="13.47"/>
        <n v="122.29"/>
        <n v="132.05000000000001"/>
        <n v="142.46"/>
        <n v="119.02"/>
        <n v="66.16"/>
        <n v="133.54"/>
        <n v="65.290000000000006"/>
        <n v="92.93"/>
        <n v="15.53"/>
        <n v="129.78"/>
        <n v="110.5"/>
        <n v="21.1"/>
        <n v="35.46"/>
        <n v="251.73"/>
        <n v="151.47999999999999"/>
        <n v="13.66"/>
        <n v="7.92"/>
        <n v="44.1"/>
        <n v="203.2"/>
        <n v="500.44"/>
        <n v="215.09"/>
        <n v="33.32"/>
        <n v="111.47"/>
        <n v="37.21"/>
        <n v="207.6"/>
        <n v="76.540000000000006"/>
        <n v="29.21"/>
        <n v="198.67"/>
        <n v="115.71"/>
        <n v="100.78"/>
        <n v="42.2"/>
        <n v="2.61"/>
        <n v="72.02"/>
        <n v="177.28"/>
        <n v="228.09"/>
        <n v="9.48"/>
        <n v="141.24"/>
        <n v="230.34"/>
        <n v="55.78"/>
        <n v="91.54"/>
        <n v="33.700000000000003"/>
        <n v="38.619999999999997"/>
        <n v="109.09"/>
        <n v="70.89"/>
        <n v="13.67"/>
        <n v="26.01"/>
        <n v="49.7"/>
        <n v="104.35"/>
        <n v="38.71"/>
        <n v="25.81"/>
        <n v="83.91"/>
        <n v="148.26"/>
        <n v="434.26"/>
        <n v="95.67"/>
        <n v="27.41"/>
        <n v="1.92"/>
        <n v="141.77000000000001"/>
        <n v="2.93"/>
        <n v="141.84"/>
        <n v="19.3"/>
        <n v="40.64"/>
        <n v="268.98"/>
        <n v="110.58"/>
        <n v="41.55"/>
        <n v="35.6"/>
        <n v="9.66"/>
        <n v="127.87"/>
        <n v="168.78"/>
        <n v="65.739999999999995"/>
        <n v="6.09"/>
        <n v="25.39"/>
        <n v="24.02"/>
        <n v="37.99"/>
        <n v="151.47"/>
        <n v="135.83000000000001"/>
        <n v="53.65"/>
        <n v="253.15"/>
        <n v="63.88"/>
        <n v="236.88"/>
        <n v="45.35"/>
        <n v="38.590000000000003"/>
        <n v="376.39"/>
        <n v="17.52"/>
        <n v="105.9"/>
        <n v="114.44"/>
        <n v="120.4"/>
        <n v="13.36"/>
        <n v="32.89"/>
        <n v="369.38"/>
        <n v="75.88"/>
        <n v="105.53"/>
        <n v="211.39"/>
        <n v="87.37"/>
        <n v="120.17"/>
        <n v="42.9"/>
        <n v="9.5399999999999991"/>
        <n v="49.6"/>
        <n v="69.09"/>
        <n v="60.14"/>
        <n v="42.95"/>
        <n v="331.27"/>
        <n v="73.31"/>
        <n v="168.58"/>
        <n v="63.61"/>
        <n v="57.48"/>
        <n v="53.36"/>
        <n v="39.24"/>
        <n v="411.28"/>
        <n v="117.92"/>
        <n v="69.58"/>
        <n v="181.86"/>
        <n v="150.94999999999999"/>
        <n v="200.28"/>
        <n v="174.8"/>
        <n v="94.58"/>
        <n v="64.81"/>
        <n v="189.34"/>
        <n v="44.61"/>
        <n v="197.08"/>
        <n v="138"/>
        <n v="102.73"/>
        <n v="94.11"/>
        <n v="108.34"/>
        <n v="32.31"/>
        <n v="55.38"/>
        <n v="40.18"/>
        <n v="144.71"/>
        <n v="26.69"/>
        <n v="53.75"/>
        <n v="274.05"/>
        <n v="67.239999999999995"/>
        <n v="60.15"/>
        <n v="17.600000000000001"/>
        <n v="116.17"/>
        <n v="293.08"/>
        <n v="110.29"/>
        <n v="40.450000000000003"/>
        <n v="107.65"/>
        <n v="220.07"/>
        <n v="310.72000000000003"/>
        <n v="20.440000000000001"/>
        <n v="89.12"/>
        <n v="120.5"/>
        <n v="184.33"/>
        <n v="208.18"/>
        <n v="40.61"/>
        <n v="31.96"/>
        <n v="79.989999999999995"/>
        <n v="105.27"/>
        <n v="172.94"/>
        <n v="213.42"/>
        <n v="26.73"/>
        <n v="401.05"/>
        <n v="57.54"/>
        <n v="225.21"/>
        <n v="15.71"/>
        <n v="32.57"/>
        <n v="88.17"/>
        <n v="23.57"/>
        <n v="99.27"/>
        <n v="141.85"/>
        <n v="311.29000000000002"/>
        <n v="120.61"/>
        <n v="152.62"/>
        <n v="165.84"/>
        <n v="21.47"/>
        <n v="85.01"/>
        <n v="75.510000000000005"/>
        <n v="16.75"/>
        <n v="13.74"/>
        <n v="46.78"/>
        <n v="12.32"/>
        <n v="187.87"/>
        <n v="252.99"/>
        <n v="179.2"/>
        <n v="82.17"/>
        <n v="14.8"/>
        <n v="88.53"/>
        <n v="124.01"/>
        <n v="106.96"/>
        <n v="169.45"/>
        <n v="105.2"/>
        <n v="13.26"/>
        <n v="10.29"/>
        <n v="23.09"/>
        <n v="33.29"/>
        <n v="47.16"/>
        <n v="108.82"/>
        <n v="16.399999999999999"/>
        <n v="336.13"/>
        <n v="170.63"/>
        <n v="172.44"/>
        <n v="107.81"/>
        <n v="87.53"/>
        <n v="78.66"/>
        <n v="41.75"/>
        <n v="98.74"/>
        <n v="54.5"/>
        <n v="108.98"/>
        <n v="79.34"/>
        <n v="65.19"/>
        <n v="316.66000000000003"/>
        <n v="113.4"/>
        <n v="12.75"/>
        <n v="49.67"/>
        <n v="54.08"/>
        <n v="115.01"/>
        <n v="3.97"/>
        <n v="186.49"/>
        <n v="42.65"/>
        <n v="21.01"/>
        <n v="77.88"/>
        <n v="57.64"/>
        <n v="82.89"/>
        <n v="59.37"/>
        <n v="196.69"/>
        <n v="24.05"/>
        <n v="54.85"/>
        <n v="94.23"/>
        <n v="234.99"/>
        <n v="74.97"/>
        <n v="87.31"/>
        <n v="48.3"/>
        <n v="85.36"/>
        <n v="287.88"/>
        <n v="56"/>
        <n v="20.72"/>
        <n v="441.28"/>
        <n v="268.08999999999997"/>
        <n v="50.2"/>
        <n v="202.59"/>
        <n v="232.62"/>
        <n v="408.11"/>
        <n v="98.25"/>
        <n v="61.11"/>
        <n v="51.1"/>
        <n v="63.07"/>
        <n v="72.44"/>
        <n v="84.93"/>
        <n v="120.19"/>
        <n v="4.42"/>
        <n v="159.06"/>
        <n v="96.95"/>
        <n v="29.11"/>
        <n v="13.11"/>
        <n v="106.45"/>
        <n v="139.46"/>
        <n v="65.459999999999994"/>
        <n v="496.88"/>
        <n v="100.07"/>
        <n v="45.78"/>
        <n v="133.09"/>
        <n v="124.48"/>
        <n v="172.41"/>
        <n v="74.540000000000006"/>
        <n v="74.45"/>
        <n v="155.16999999999999"/>
        <n v="161.19999999999999"/>
        <n v="47.09"/>
        <n v="110.35"/>
        <n v="115.98"/>
        <n v="28.66"/>
        <n v="55.6"/>
        <n v="50.3"/>
        <n v="459.56"/>
        <n v="361.36"/>
        <n v="332.24"/>
        <n v="24.89"/>
        <n v="13.45"/>
        <n v="140.41999999999999"/>
        <n v="134.31"/>
        <n v="34.19"/>
        <n v="42.57"/>
        <n v="78.5"/>
        <n v="71.34"/>
        <n v="7.94"/>
        <n v="206.03"/>
        <n v="132.25"/>
        <n v="36.71"/>
        <n v="109.08"/>
        <n v="286.48"/>
        <n v="11.27"/>
        <n v="253.09"/>
        <n v="44.18"/>
        <n v="10.84"/>
        <n v="297.33"/>
        <n v="102.85"/>
        <n v="38.85"/>
        <n v="26.41"/>
        <n v="134.19"/>
        <n v="27.56"/>
        <n v="153.32"/>
        <n v="11.28"/>
        <n v="34.97"/>
        <n v="41.65"/>
        <n v="174.73"/>
        <n v="47.81"/>
        <n v="15.32"/>
        <n v="232.32"/>
        <n v="176.19"/>
        <n v="186.93"/>
        <n v="126.15"/>
        <n v="147.13"/>
        <n v="26.22"/>
        <n v="109.12"/>
        <n v="18.39"/>
        <n v="21.29"/>
        <n v="238.52"/>
        <n v="66.59"/>
        <n v="50.53"/>
        <n v="115.14"/>
        <n v="51.03"/>
        <n v="51.47"/>
        <n v="55.02"/>
        <n v="162.94"/>
        <n v="3.01"/>
        <n v="145.32"/>
        <n v="43.6"/>
        <n v="9.7899999999999991"/>
        <n v="27.47"/>
        <n v="87.41"/>
        <n v="67.61"/>
        <n v="92.81"/>
        <n v="79.55"/>
        <n v="289.51"/>
        <n v="227.72"/>
        <n v="336.02"/>
        <n v="37.69"/>
        <n v="14.87"/>
        <n v="216.97"/>
        <n v="51.67"/>
        <n v="73.23"/>
        <n v="128.69"/>
        <n v="205.18"/>
        <n v="171.08"/>
        <n v="119.69"/>
        <n v="37.15"/>
        <n v="23.43"/>
        <n v="44.67"/>
        <n v="56.42"/>
        <n v="285.89999999999998"/>
        <n v="110.9"/>
        <n v="91.92"/>
        <n v="39.65"/>
        <n v="24.01"/>
        <n v="118.01"/>
        <n v="20.11"/>
        <n v="48.74"/>
        <n v="37.96"/>
        <n v="3.12"/>
        <n v="14.92"/>
        <n v="46.87"/>
        <n v="281.26"/>
        <n v="18.7"/>
        <n v="36.32"/>
        <n v="226.87"/>
        <n v="101.06"/>
        <n v="85.92"/>
        <n v="146.63"/>
        <n v="56.17"/>
        <n v="126.17"/>
        <n v="161.32"/>
        <n v="17.309999999999999"/>
        <n v="113.97"/>
        <n v="77.33"/>
        <n v="17.670000000000002"/>
        <n v="155.57"/>
        <n v="182.93"/>
        <n v="80.430000000000007"/>
        <n v="25.43"/>
        <n v="196.01"/>
        <n v="102.18"/>
        <n v="79.12"/>
        <n v="45.56"/>
        <n v="243.28"/>
        <n v="40.65"/>
        <n v="53.9"/>
        <n v="39.869999999999997"/>
        <n v="176.22"/>
        <n v="145.22"/>
        <n v="50.61"/>
        <n v="197.42"/>
        <n v="27.11"/>
        <n v="272.61"/>
        <n v="14.44"/>
        <n v="134.69999999999999"/>
        <n v="188.3"/>
        <n v="18.47"/>
        <n v="129.69999999999999"/>
        <n v="318.75"/>
        <n v="120.14"/>
        <n v="73.81"/>
        <n v="10.48"/>
        <n v="30.15"/>
        <n v="52.61"/>
        <n v="67.569999999999993"/>
        <n v="95.77"/>
        <n v="195.57"/>
        <n v="80.94"/>
        <n v="13.12"/>
        <n v="11.94"/>
        <n v="338.63"/>
        <n v="263.64"/>
        <n v="42.6"/>
        <n v="76.41"/>
        <n v="4.47"/>
        <n v="217.85"/>
        <n v="79.400000000000006"/>
        <n v="39.56"/>
        <n v="29.57"/>
        <n v="260.83999999999997"/>
        <n v="57.29"/>
        <n v="54.15"/>
        <n v="27.1"/>
        <n v="96.02"/>
        <n v="16.09"/>
        <n v="84.29"/>
        <n v="23.08"/>
        <n v="14.39"/>
        <n v="17.34"/>
        <n v="244.8"/>
        <n v="89.91"/>
        <n v="107.91"/>
        <n v="51.75"/>
        <n v="169.2"/>
        <n v="32.86"/>
        <n v="10.66"/>
        <n v="73.19"/>
        <n v="94.94"/>
        <n v="61.09"/>
        <n v="22.94"/>
        <n v="64.48"/>
        <n v="91.6"/>
        <n v="118.18"/>
        <n v="28.85"/>
        <n v="24.23"/>
        <n v="30.52"/>
        <n v="18.13"/>
        <n v="10.09"/>
        <n v="15.41"/>
        <n v="61.81"/>
        <n v="45.05"/>
        <n v="36.159999999999997"/>
        <n v="142.01"/>
        <n v="150.77000000000001"/>
        <n v="30.81"/>
        <n v="12.73"/>
        <n v="20"/>
        <n v="75.59"/>
        <n v="68.540000000000006"/>
        <n v="64.06"/>
        <n v="35.96"/>
        <n v="193.98"/>
        <n v="60.27"/>
        <n v="50.81"/>
        <n v="17.329999999999998"/>
        <n v="136.46"/>
        <n v="93.2"/>
        <n v="113.36"/>
        <n v="2.0099999999999998"/>
        <n v="21.83"/>
        <n v="149.30000000000001"/>
        <n v="223.24"/>
        <n v="83.53"/>
        <n v="313.31"/>
        <n v="135.9"/>
        <n v="55.77"/>
        <n v="137.82"/>
        <n v="25.89"/>
        <n v="150.34"/>
        <n v="21.48"/>
        <n v="67.14"/>
        <n v="164.16"/>
        <n v="91.07"/>
        <n v="74.569999999999993"/>
        <n v="53.44"/>
        <n v="87.27"/>
        <n v="152"/>
        <n v="242.24"/>
        <n v="33.04"/>
        <n v="18.79"/>
        <n v="420.51"/>
        <n v="21.92"/>
        <n v="14.73"/>
        <n v="243.73"/>
        <n v="138.32"/>
        <n v="50.55"/>
        <n v="245.82"/>
        <n v="15.69"/>
        <n v="38.090000000000003"/>
        <n v="28.48"/>
        <n v="113.16"/>
        <n v="4.9000000000000004"/>
        <n v="81.8"/>
        <n v="32.07"/>
        <n v="48.14"/>
        <n v="48.41"/>
        <n v="42.3"/>
        <n v="70.37"/>
        <n v="77.37"/>
        <n v="22.97"/>
        <n v="176.47"/>
        <n v="15.26"/>
        <n v="296.06"/>
        <n v="59.91"/>
        <n v="15.31"/>
        <n v="65.89"/>
        <n v="383.7"/>
        <n v="223.4"/>
        <n v="13.34"/>
        <n v="20.63"/>
        <n v="168.12"/>
        <n v="34.700000000000003"/>
        <n v="8.65"/>
        <n v="23.76"/>
        <n v="23.17"/>
        <n v="43.94"/>
        <n v="4.4400000000000004"/>
        <n v="258.56"/>
        <n v="50.82"/>
        <n v="155.41"/>
        <n v="80.22"/>
        <n v="284.77999999999997"/>
        <n v="56.6"/>
        <n v="56.16"/>
        <n v="70.92"/>
        <n v="23.27"/>
        <n v="55.3"/>
        <n v="31.27"/>
        <n v="11.59"/>
        <n v="174.76"/>
        <n v="21.67"/>
        <n v="126.28"/>
        <n v="257.68"/>
        <n v="31.52"/>
        <n v="26.35"/>
        <n v="22.54"/>
        <n v="34.090000000000003"/>
        <n v="85.28"/>
        <n v="110.18"/>
        <n v="138.37"/>
        <n v="27.4"/>
        <n v="40.82"/>
        <n v="43.17"/>
        <n v="52.18"/>
        <n v="396.35"/>
        <n v="17.690000000000001"/>
        <n v="3.4"/>
        <n v="112.63"/>
        <n v="61.6"/>
        <n v="346.41"/>
        <n v="114.29"/>
        <n v="64.47"/>
        <n v="239.28"/>
        <n v="239.93"/>
        <n v="80.78"/>
        <n v="161.61000000000001"/>
        <n v="1.54"/>
        <n v="88.1"/>
        <n v="315.99"/>
        <n v="9.9700000000000006"/>
        <n v="42.58"/>
        <n v="31.33"/>
        <n v="18.09"/>
        <n v="49.89"/>
        <n v="112.7"/>
        <n v="11.88"/>
        <n v="20.79"/>
        <n v="45.47"/>
        <n v="43.06"/>
        <n v="22.75"/>
        <n v="6.82"/>
        <n v="24.84"/>
        <n v="65.349999999999994"/>
        <n v="7.16"/>
        <n v="77.989999999999995"/>
        <n v="30.13"/>
        <n v="35.68"/>
        <n v="40.04"/>
        <n v="245.07"/>
        <n v="2.58"/>
        <n v="15.6"/>
        <n v="341.53"/>
        <n v="364.04"/>
        <n v="250.27"/>
        <n v="51.49"/>
        <n v="239.67"/>
        <n v="53.39"/>
        <n v="47.82"/>
        <n v="162.41999999999999"/>
        <n v="164.22"/>
        <n v="64.89"/>
        <n v="17.25"/>
        <n v="35.049999999999997"/>
        <n v="11.22"/>
        <n v="7.93"/>
        <n v="282.01"/>
        <n v="22.09"/>
        <n v="90.23"/>
        <n v="206.46"/>
        <n v="15.78"/>
        <n v="34.880000000000003"/>
        <n v="114.64"/>
        <n v="18"/>
        <n v="49.29"/>
        <n v="18.600000000000001"/>
        <n v="15.14"/>
        <n v="181.67"/>
        <n v="101.84"/>
        <n v="20.97"/>
        <n v="380.15"/>
        <n v="60.65"/>
        <n v="107.26"/>
        <n v="19.059999999999999"/>
        <n v="58.98"/>
        <n v="57.85"/>
        <n v="97.18"/>
        <n v="139.93"/>
        <n v="25.04"/>
        <n v="270.42"/>
        <n v="80.010000000000005"/>
        <n v="31.44"/>
        <n v="30.58"/>
        <n v="68.92"/>
        <n v="140.30000000000001"/>
        <n v="82.84"/>
        <n v="69.73"/>
        <n v="107.55"/>
        <n v="118.78"/>
        <n v="461.88"/>
        <n v="345.27"/>
        <n v="29.63"/>
        <n v="6.99"/>
        <n v="111.02"/>
        <n v="300.94"/>
        <n v="32.03"/>
        <n v="40.520000000000003"/>
        <n v="40.630000000000003"/>
        <n v="35.19"/>
        <n v="40.950000000000003"/>
        <n v="71.739999999999995"/>
        <n v="195.74"/>
        <n v="50.97"/>
        <n v="35.840000000000003"/>
        <n v="27.75"/>
        <n v="9.18"/>
        <n v="75.73"/>
        <n v="38.700000000000003"/>
        <n v="49.54"/>
        <n v="51.14"/>
        <n v="111.71"/>
        <n v="148.66999999999999"/>
        <n v="38.72"/>
        <n v="45.22"/>
        <n v="99.39"/>
        <n v="12.94"/>
        <n v="32.51"/>
        <n v="61.91"/>
        <n v="326.25"/>
        <n v="85.15"/>
        <n v="151.85"/>
        <n v="154.09"/>
        <n v="42.39"/>
        <n v="74.88"/>
        <n v="213.97"/>
        <n v="109.19"/>
        <n v="78.97"/>
        <n v="318.3"/>
        <n v="38.33"/>
        <n v="83.27"/>
        <n v="260.13"/>
        <n v="216.37"/>
      </sharedItems>
    </cacheField>
    <cacheField name="Payment Method" numFmtId="0">
      <sharedItems count="3">
        <s v="Cash"/>
        <s v="Transfer"/>
        <s v="Card"/>
      </sharedItems>
    </cacheField>
    <cacheField name="total sales" numFmtId="0" formula="Quantity*'Unit Price'" databaseField="0"/>
    <cacheField name="Average Order Value" numFmtId="0" formula="Sales/'Order ID'" databaseField="0"/>
    <cacheField name="aov" numFmtId="0" formula="SUM(Sales)/2000"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x v="0"/>
    <s v="2025-08-12"/>
    <x v="0"/>
    <x v="0"/>
    <x v="0"/>
    <x v="0"/>
    <x v="0"/>
    <x v="0"/>
    <n v="2"/>
    <n v="179.1"/>
    <n v="0"/>
    <x v="0"/>
    <x v="0"/>
    <x v="0"/>
  </r>
  <r>
    <x v="1"/>
    <s v="2025-09-29"/>
    <x v="1"/>
    <x v="1"/>
    <x v="1"/>
    <x v="1"/>
    <x v="1"/>
    <x v="1"/>
    <n v="4"/>
    <n v="57.98"/>
    <n v="0.15"/>
    <x v="1"/>
    <x v="1"/>
    <x v="0"/>
  </r>
  <r>
    <x v="2"/>
    <s v="2025-06-08"/>
    <x v="2"/>
    <x v="2"/>
    <x v="2"/>
    <x v="2"/>
    <x v="2"/>
    <x v="2"/>
    <n v="3"/>
    <n v="24.56"/>
    <n v="0.1"/>
    <x v="2"/>
    <x v="2"/>
    <x v="1"/>
  </r>
  <r>
    <x v="3"/>
    <s v="2025-12-26"/>
    <x v="3"/>
    <x v="3"/>
    <x v="3"/>
    <x v="1"/>
    <x v="2"/>
    <x v="2"/>
    <n v="4"/>
    <n v="146.09"/>
    <n v="0.05"/>
    <x v="3"/>
    <x v="3"/>
    <x v="2"/>
  </r>
  <r>
    <x v="4"/>
    <s v="2025-07-22"/>
    <x v="4"/>
    <x v="4"/>
    <x v="4"/>
    <x v="1"/>
    <x v="0"/>
    <x v="3"/>
    <n v="3"/>
    <n v="28.35"/>
    <n v="0"/>
    <x v="4"/>
    <x v="4"/>
    <x v="0"/>
  </r>
  <r>
    <x v="5"/>
    <s v="2025-12-20"/>
    <x v="3"/>
    <x v="5"/>
    <x v="5"/>
    <x v="1"/>
    <x v="2"/>
    <x v="4"/>
    <n v="3"/>
    <n v="53.22"/>
    <n v="0.15"/>
    <x v="5"/>
    <x v="5"/>
    <x v="1"/>
  </r>
  <r>
    <x v="6"/>
    <s v="2025-01-15"/>
    <x v="5"/>
    <x v="6"/>
    <x v="6"/>
    <x v="2"/>
    <x v="2"/>
    <x v="2"/>
    <n v="5"/>
    <n v="234.97"/>
    <n v="0.1"/>
    <x v="6"/>
    <x v="6"/>
    <x v="0"/>
  </r>
  <r>
    <x v="7"/>
    <s v="2025-12-05"/>
    <x v="3"/>
    <x v="7"/>
    <x v="7"/>
    <x v="3"/>
    <x v="1"/>
    <x v="1"/>
    <n v="1"/>
    <n v="193.84"/>
    <n v="0.15"/>
    <x v="7"/>
    <x v="7"/>
    <x v="1"/>
  </r>
  <r>
    <x v="8"/>
    <s v="2025-10-03"/>
    <x v="6"/>
    <x v="8"/>
    <x v="8"/>
    <x v="4"/>
    <x v="1"/>
    <x v="1"/>
    <n v="3"/>
    <n v="222.33"/>
    <n v="0.15"/>
    <x v="8"/>
    <x v="8"/>
    <x v="2"/>
  </r>
  <r>
    <x v="9"/>
    <s v="2025-03-29"/>
    <x v="7"/>
    <x v="9"/>
    <x v="9"/>
    <x v="3"/>
    <x v="2"/>
    <x v="5"/>
    <n v="2"/>
    <n v="115.97"/>
    <n v="0"/>
    <x v="9"/>
    <x v="9"/>
    <x v="2"/>
  </r>
  <r>
    <x v="10"/>
    <s v="2025-02-28"/>
    <x v="8"/>
    <x v="10"/>
    <x v="10"/>
    <x v="2"/>
    <x v="2"/>
    <x v="6"/>
    <n v="3"/>
    <n v="56.65"/>
    <n v="0.05"/>
    <x v="10"/>
    <x v="10"/>
    <x v="1"/>
  </r>
  <r>
    <x v="11"/>
    <s v="2025-04-25"/>
    <x v="9"/>
    <x v="11"/>
    <x v="11"/>
    <x v="0"/>
    <x v="0"/>
    <x v="7"/>
    <n v="6"/>
    <n v="221.81"/>
    <n v="0.1"/>
    <x v="11"/>
    <x v="11"/>
    <x v="2"/>
  </r>
  <r>
    <x v="12"/>
    <s v="2025-02-21"/>
    <x v="8"/>
    <x v="12"/>
    <x v="12"/>
    <x v="0"/>
    <x v="1"/>
    <x v="8"/>
    <n v="1"/>
    <n v="181.43"/>
    <n v="0.15"/>
    <x v="12"/>
    <x v="12"/>
    <x v="0"/>
  </r>
  <r>
    <x v="13"/>
    <s v="2025-02-17"/>
    <x v="8"/>
    <x v="13"/>
    <x v="13"/>
    <x v="1"/>
    <x v="3"/>
    <x v="9"/>
    <n v="1"/>
    <n v="60.04"/>
    <n v="0.05"/>
    <x v="13"/>
    <x v="13"/>
    <x v="2"/>
  </r>
  <r>
    <x v="14"/>
    <s v="2025-11-13"/>
    <x v="10"/>
    <x v="14"/>
    <x v="14"/>
    <x v="3"/>
    <x v="2"/>
    <x v="6"/>
    <n v="7"/>
    <n v="46.35"/>
    <n v="0"/>
    <x v="14"/>
    <x v="14"/>
    <x v="0"/>
  </r>
  <r>
    <x v="15"/>
    <s v="2025-08-19"/>
    <x v="0"/>
    <x v="15"/>
    <x v="15"/>
    <x v="0"/>
    <x v="0"/>
    <x v="7"/>
    <n v="6"/>
    <n v="248.81"/>
    <n v="0"/>
    <x v="15"/>
    <x v="15"/>
    <x v="2"/>
  </r>
  <r>
    <x v="16"/>
    <s v="2025-07-26"/>
    <x v="4"/>
    <x v="16"/>
    <x v="16"/>
    <x v="1"/>
    <x v="2"/>
    <x v="5"/>
    <n v="1"/>
    <n v="104.01"/>
    <n v="0.15"/>
    <x v="16"/>
    <x v="16"/>
    <x v="1"/>
  </r>
  <r>
    <x v="17"/>
    <s v="2025-05-29"/>
    <x v="11"/>
    <x v="17"/>
    <x v="17"/>
    <x v="1"/>
    <x v="0"/>
    <x v="3"/>
    <n v="2"/>
    <n v="15.13"/>
    <n v="0.15"/>
    <x v="17"/>
    <x v="17"/>
    <x v="1"/>
  </r>
  <r>
    <x v="18"/>
    <s v="2025-05-15"/>
    <x v="11"/>
    <x v="1"/>
    <x v="18"/>
    <x v="2"/>
    <x v="0"/>
    <x v="0"/>
    <n v="5"/>
    <n v="127.79"/>
    <n v="0.05"/>
    <x v="18"/>
    <x v="18"/>
    <x v="0"/>
  </r>
  <r>
    <x v="19"/>
    <s v="2025-04-24"/>
    <x v="9"/>
    <x v="18"/>
    <x v="19"/>
    <x v="3"/>
    <x v="2"/>
    <x v="4"/>
    <n v="2"/>
    <n v="149.47999999999999"/>
    <n v="0.15"/>
    <x v="19"/>
    <x v="19"/>
    <x v="0"/>
  </r>
  <r>
    <x v="20"/>
    <s v="2025-01-11"/>
    <x v="5"/>
    <x v="19"/>
    <x v="20"/>
    <x v="2"/>
    <x v="1"/>
    <x v="10"/>
    <n v="6"/>
    <n v="223.28"/>
    <n v="0"/>
    <x v="20"/>
    <x v="20"/>
    <x v="2"/>
  </r>
  <r>
    <x v="21"/>
    <s v="2025-08-01"/>
    <x v="0"/>
    <x v="20"/>
    <x v="21"/>
    <x v="0"/>
    <x v="0"/>
    <x v="3"/>
    <n v="6"/>
    <n v="249.12"/>
    <n v="0.15"/>
    <x v="21"/>
    <x v="21"/>
    <x v="2"/>
  </r>
  <r>
    <x v="22"/>
    <s v="2025-06-30"/>
    <x v="2"/>
    <x v="21"/>
    <x v="22"/>
    <x v="4"/>
    <x v="2"/>
    <x v="2"/>
    <n v="6"/>
    <n v="145.85"/>
    <n v="0.05"/>
    <x v="22"/>
    <x v="22"/>
    <x v="2"/>
  </r>
  <r>
    <x v="23"/>
    <s v="2025-07-06"/>
    <x v="4"/>
    <x v="22"/>
    <x v="23"/>
    <x v="4"/>
    <x v="3"/>
    <x v="11"/>
    <n v="1"/>
    <n v="172.56"/>
    <n v="0.1"/>
    <x v="23"/>
    <x v="23"/>
    <x v="2"/>
  </r>
  <r>
    <x v="24"/>
    <s v="2025-04-20"/>
    <x v="9"/>
    <x v="23"/>
    <x v="24"/>
    <x v="1"/>
    <x v="2"/>
    <x v="4"/>
    <n v="6"/>
    <n v="163.81"/>
    <n v="0"/>
    <x v="24"/>
    <x v="24"/>
    <x v="1"/>
  </r>
  <r>
    <x v="25"/>
    <s v="2025-03-06"/>
    <x v="7"/>
    <x v="8"/>
    <x v="25"/>
    <x v="3"/>
    <x v="1"/>
    <x v="1"/>
    <n v="2"/>
    <n v="221.26"/>
    <n v="0"/>
    <x v="25"/>
    <x v="25"/>
    <x v="0"/>
  </r>
  <r>
    <x v="26"/>
    <s v="2025-05-27"/>
    <x v="11"/>
    <x v="18"/>
    <x v="26"/>
    <x v="3"/>
    <x v="0"/>
    <x v="3"/>
    <n v="3"/>
    <n v="117.76"/>
    <n v="0"/>
    <x v="26"/>
    <x v="26"/>
    <x v="2"/>
  </r>
  <r>
    <x v="27"/>
    <s v="2025-01-30"/>
    <x v="5"/>
    <x v="24"/>
    <x v="27"/>
    <x v="1"/>
    <x v="1"/>
    <x v="8"/>
    <n v="7"/>
    <n v="204.07"/>
    <n v="0"/>
    <x v="27"/>
    <x v="27"/>
    <x v="0"/>
  </r>
  <r>
    <x v="28"/>
    <s v="2025-11-27"/>
    <x v="10"/>
    <x v="25"/>
    <x v="28"/>
    <x v="2"/>
    <x v="3"/>
    <x v="12"/>
    <n v="4"/>
    <n v="168.44"/>
    <n v="0"/>
    <x v="28"/>
    <x v="28"/>
    <x v="0"/>
  </r>
  <r>
    <x v="29"/>
    <s v="2025-07-22"/>
    <x v="4"/>
    <x v="26"/>
    <x v="29"/>
    <x v="4"/>
    <x v="0"/>
    <x v="0"/>
    <n v="2"/>
    <n v="28.33"/>
    <n v="0.1"/>
    <x v="29"/>
    <x v="29"/>
    <x v="0"/>
  </r>
  <r>
    <x v="30"/>
    <s v="2025-09-06"/>
    <x v="1"/>
    <x v="27"/>
    <x v="30"/>
    <x v="1"/>
    <x v="1"/>
    <x v="8"/>
    <n v="3"/>
    <n v="228.25"/>
    <n v="0.05"/>
    <x v="30"/>
    <x v="30"/>
    <x v="2"/>
  </r>
  <r>
    <x v="31"/>
    <s v="2025-05-07"/>
    <x v="11"/>
    <x v="28"/>
    <x v="31"/>
    <x v="3"/>
    <x v="0"/>
    <x v="0"/>
    <n v="8"/>
    <n v="194.6"/>
    <n v="0"/>
    <x v="31"/>
    <x v="31"/>
    <x v="2"/>
  </r>
  <r>
    <x v="32"/>
    <s v="2025-11-29"/>
    <x v="10"/>
    <x v="29"/>
    <x v="32"/>
    <x v="2"/>
    <x v="3"/>
    <x v="12"/>
    <n v="2"/>
    <n v="155.97"/>
    <n v="0.15"/>
    <x v="32"/>
    <x v="32"/>
    <x v="1"/>
  </r>
  <r>
    <x v="33"/>
    <s v="2025-04-05"/>
    <x v="9"/>
    <x v="30"/>
    <x v="20"/>
    <x v="3"/>
    <x v="2"/>
    <x v="2"/>
    <n v="5"/>
    <n v="62.85"/>
    <n v="0.1"/>
    <x v="33"/>
    <x v="33"/>
    <x v="1"/>
  </r>
  <r>
    <x v="34"/>
    <s v="2025-03-19"/>
    <x v="7"/>
    <x v="31"/>
    <x v="33"/>
    <x v="3"/>
    <x v="1"/>
    <x v="1"/>
    <n v="5"/>
    <n v="77.8"/>
    <n v="0"/>
    <x v="34"/>
    <x v="34"/>
    <x v="2"/>
  </r>
  <r>
    <x v="35"/>
    <s v="2025-07-06"/>
    <x v="4"/>
    <x v="32"/>
    <x v="34"/>
    <x v="3"/>
    <x v="3"/>
    <x v="9"/>
    <n v="2"/>
    <n v="29.63"/>
    <n v="0"/>
    <x v="35"/>
    <x v="35"/>
    <x v="2"/>
  </r>
  <r>
    <x v="36"/>
    <s v="2025-11-13"/>
    <x v="10"/>
    <x v="33"/>
    <x v="35"/>
    <x v="2"/>
    <x v="1"/>
    <x v="1"/>
    <n v="5"/>
    <n v="122.98"/>
    <n v="0.05"/>
    <x v="36"/>
    <x v="36"/>
    <x v="2"/>
  </r>
  <r>
    <x v="37"/>
    <s v="2025-02-25"/>
    <x v="8"/>
    <x v="34"/>
    <x v="36"/>
    <x v="0"/>
    <x v="2"/>
    <x v="2"/>
    <n v="2"/>
    <n v="84.49"/>
    <n v="0.05"/>
    <x v="37"/>
    <x v="37"/>
    <x v="0"/>
  </r>
  <r>
    <x v="38"/>
    <s v="2025-08-05"/>
    <x v="0"/>
    <x v="35"/>
    <x v="37"/>
    <x v="0"/>
    <x v="3"/>
    <x v="11"/>
    <n v="3"/>
    <n v="100.94"/>
    <n v="0.15"/>
    <x v="38"/>
    <x v="38"/>
    <x v="0"/>
  </r>
  <r>
    <x v="39"/>
    <s v="2025-02-20"/>
    <x v="8"/>
    <x v="15"/>
    <x v="38"/>
    <x v="1"/>
    <x v="1"/>
    <x v="10"/>
    <n v="2"/>
    <n v="154.88999999999999"/>
    <n v="0"/>
    <x v="39"/>
    <x v="39"/>
    <x v="1"/>
  </r>
  <r>
    <x v="40"/>
    <s v="2025-04-30"/>
    <x v="9"/>
    <x v="36"/>
    <x v="39"/>
    <x v="4"/>
    <x v="2"/>
    <x v="6"/>
    <n v="5"/>
    <n v="65.67"/>
    <n v="0"/>
    <x v="40"/>
    <x v="40"/>
    <x v="2"/>
  </r>
  <r>
    <x v="41"/>
    <s v="2025-11-10"/>
    <x v="10"/>
    <x v="37"/>
    <x v="40"/>
    <x v="4"/>
    <x v="1"/>
    <x v="10"/>
    <n v="7"/>
    <n v="91.14"/>
    <n v="0.05"/>
    <x v="41"/>
    <x v="41"/>
    <x v="2"/>
  </r>
  <r>
    <x v="42"/>
    <s v="2025-03-12"/>
    <x v="7"/>
    <x v="38"/>
    <x v="41"/>
    <x v="3"/>
    <x v="3"/>
    <x v="12"/>
    <n v="8"/>
    <n v="237.06"/>
    <n v="0.05"/>
    <x v="42"/>
    <x v="42"/>
    <x v="0"/>
  </r>
  <r>
    <x v="43"/>
    <s v="2025-09-30"/>
    <x v="1"/>
    <x v="39"/>
    <x v="42"/>
    <x v="1"/>
    <x v="3"/>
    <x v="11"/>
    <n v="6"/>
    <n v="110.59"/>
    <n v="0.15"/>
    <x v="43"/>
    <x v="43"/>
    <x v="1"/>
  </r>
  <r>
    <x v="44"/>
    <s v="2025-03-22"/>
    <x v="7"/>
    <x v="5"/>
    <x v="43"/>
    <x v="3"/>
    <x v="2"/>
    <x v="4"/>
    <n v="5"/>
    <n v="238.94"/>
    <n v="0"/>
    <x v="44"/>
    <x v="44"/>
    <x v="2"/>
  </r>
  <r>
    <x v="45"/>
    <s v="2025-03-02"/>
    <x v="7"/>
    <x v="40"/>
    <x v="44"/>
    <x v="4"/>
    <x v="0"/>
    <x v="7"/>
    <n v="3"/>
    <n v="84.39"/>
    <n v="0.05"/>
    <x v="45"/>
    <x v="45"/>
    <x v="2"/>
  </r>
  <r>
    <x v="46"/>
    <s v="2025-06-27"/>
    <x v="2"/>
    <x v="41"/>
    <x v="27"/>
    <x v="0"/>
    <x v="2"/>
    <x v="4"/>
    <n v="1"/>
    <n v="212.04"/>
    <n v="0.05"/>
    <x v="46"/>
    <x v="46"/>
    <x v="1"/>
  </r>
  <r>
    <x v="47"/>
    <s v="2025-12-11"/>
    <x v="3"/>
    <x v="42"/>
    <x v="20"/>
    <x v="0"/>
    <x v="2"/>
    <x v="4"/>
    <n v="6"/>
    <n v="78.91"/>
    <n v="0.1"/>
    <x v="47"/>
    <x v="47"/>
    <x v="2"/>
  </r>
  <r>
    <x v="48"/>
    <s v="2025-02-14"/>
    <x v="8"/>
    <x v="43"/>
    <x v="44"/>
    <x v="0"/>
    <x v="3"/>
    <x v="9"/>
    <n v="3"/>
    <n v="93.64"/>
    <n v="0"/>
    <x v="48"/>
    <x v="48"/>
    <x v="0"/>
  </r>
  <r>
    <x v="49"/>
    <s v="2025-06-03"/>
    <x v="2"/>
    <x v="44"/>
    <x v="16"/>
    <x v="2"/>
    <x v="1"/>
    <x v="10"/>
    <n v="1"/>
    <n v="203.29"/>
    <n v="0.05"/>
    <x v="49"/>
    <x v="49"/>
    <x v="1"/>
  </r>
  <r>
    <x v="50"/>
    <s v="2025-07-22"/>
    <x v="4"/>
    <x v="45"/>
    <x v="45"/>
    <x v="4"/>
    <x v="3"/>
    <x v="9"/>
    <n v="5"/>
    <n v="49.81"/>
    <n v="0.1"/>
    <x v="50"/>
    <x v="50"/>
    <x v="0"/>
  </r>
  <r>
    <x v="51"/>
    <s v="2025-07-30"/>
    <x v="4"/>
    <x v="46"/>
    <x v="46"/>
    <x v="4"/>
    <x v="1"/>
    <x v="1"/>
    <n v="1"/>
    <n v="239.95"/>
    <n v="0"/>
    <x v="51"/>
    <x v="51"/>
    <x v="1"/>
  </r>
  <r>
    <x v="52"/>
    <s v="2025-02-17"/>
    <x v="8"/>
    <x v="36"/>
    <x v="47"/>
    <x v="3"/>
    <x v="3"/>
    <x v="9"/>
    <n v="3"/>
    <n v="13.14"/>
    <n v="0.1"/>
    <x v="52"/>
    <x v="52"/>
    <x v="1"/>
  </r>
  <r>
    <x v="53"/>
    <s v="2025-07-03"/>
    <x v="4"/>
    <x v="47"/>
    <x v="48"/>
    <x v="1"/>
    <x v="1"/>
    <x v="1"/>
    <n v="8"/>
    <n v="43.21"/>
    <n v="0.15"/>
    <x v="53"/>
    <x v="53"/>
    <x v="1"/>
  </r>
  <r>
    <x v="54"/>
    <s v="2025-11-28"/>
    <x v="10"/>
    <x v="42"/>
    <x v="49"/>
    <x v="4"/>
    <x v="2"/>
    <x v="2"/>
    <n v="5"/>
    <n v="220.51"/>
    <n v="0"/>
    <x v="54"/>
    <x v="54"/>
    <x v="1"/>
  </r>
  <r>
    <x v="55"/>
    <s v="2025-06-09"/>
    <x v="2"/>
    <x v="48"/>
    <x v="50"/>
    <x v="4"/>
    <x v="1"/>
    <x v="8"/>
    <n v="1"/>
    <n v="161.28"/>
    <n v="0.05"/>
    <x v="55"/>
    <x v="55"/>
    <x v="1"/>
  </r>
  <r>
    <x v="56"/>
    <s v="2025-08-04"/>
    <x v="0"/>
    <x v="21"/>
    <x v="13"/>
    <x v="3"/>
    <x v="2"/>
    <x v="5"/>
    <n v="7"/>
    <n v="164.38"/>
    <n v="0"/>
    <x v="56"/>
    <x v="56"/>
    <x v="2"/>
  </r>
  <r>
    <x v="57"/>
    <s v="2025-01-03"/>
    <x v="5"/>
    <x v="49"/>
    <x v="51"/>
    <x v="1"/>
    <x v="2"/>
    <x v="5"/>
    <n v="3"/>
    <n v="115.79"/>
    <n v="0"/>
    <x v="57"/>
    <x v="57"/>
    <x v="1"/>
  </r>
  <r>
    <x v="58"/>
    <s v="2025-03-08"/>
    <x v="7"/>
    <x v="50"/>
    <x v="52"/>
    <x v="2"/>
    <x v="1"/>
    <x v="10"/>
    <n v="2"/>
    <n v="202.54"/>
    <n v="0.05"/>
    <x v="58"/>
    <x v="58"/>
    <x v="0"/>
  </r>
  <r>
    <x v="59"/>
    <s v="2025-03-09"/>
    <x v="7"/>
    <x v="51"/>
    <x v="53"/>
    <x v="0"/>
    <x v="1"/>
    <x v="8"/>
    <n v="7"/>
    <n v="164.46"/>
    <n v="0"/>
    <x v="59"/>
    <x v="59"/>
    <x v="1"/>
  </r>
  <r>
    <x v="60"/>
    <s v="2025-09-23"/>
    <x v="1"/>
    <x v="52"/>
    <x v="54"/>
    <x v="1"/>
    <x v="3"/>
    <x v="9"/>
    <n v="7"/>
    <n v="86.84"/>
    <n v="0.15"/>
    <x v="60"/>
    <x v="60"/>
    <x v="1"/>
  </r>
  <r>
    <x v="61"/>
    <s v="2025-01-17"/>
    <x v="5"/>
    <x v="53"/>
    <x v="55"/>
    <x v="2"/>
    <x v="2"/>
    <x v="2"/>
    <n v="1"/>
    <n v="179.41"/>
    <n v="0"/>
    <x v="61"/>
    <x v="61"/>
    <x v="2"/>
  </r>
  <r>
    <x v="62"/>
    <s v="2025-06-18"/>
    <x v="2"/>
    <x v="11"/>
    <x v="56"/>
    <x v="3"/>
    <x v="0"/>
    <x v="7"/>
    <n v="8"/>
    <n v="38.58"/>
    <n v="0.1"/>
    <x v="62"/>
    <x v="62"/>
    <x v="1"/>
  </r>
  <r>
    <x v="63"/>
    <s v="2025-11-15"/>
    <x v="10"/>
    <x v="54"/>
    <x v="57"/>
    <x v="0"/>
    <x v="2"/>
    <x v="5"/>
    <n v="4"/>
    <n v="54.88"/>
    <n v="0.15"/>
    <x v="63"/>
    <x v="63"/>
    <x v="2"/>
  </r>
  <r>
    <x v="64"/>
    <s v="2025-10-17"/>
    <x v="6"/>
    <x v="55"/>
    <x v="27"/>
    <x v="4"/>
    <x v="2"/>
    <x v="6"/>
    <n v="2"/>
    <n v="51.13"/>
    <n v="0.05"/>
    <x v="64"/>
    <x v="64"/>
    <x v="0"/>
  </r>
  <r>
    <x v="65"/>
    <s v="2025-07-12"/>
    <x v="4"/>
    <x v="56"/>
    <x v="58"/>
    <x v="0"/>
    <x v="3"/>
    <x v="11"/>
    <n v="5"/>
    <n v="149.56"/>
    <n v="0.05"/>
    <x v="65"/>
    <x v="65"/>
    <x v="2"/>
  </r>
  <r>
    <x v="66"/>
    <s v="2025-03-25"/>
    <x v="7"/>
    <x v="57"/>
    <x v="59"/>
    <x v="3"/>
    <x v="2"/>
    <x v="6"/>
    <n v="5"/>
    <n v="103.49"/>
    <n v="0.15"/>
    <x v="66"/>
    <x v="66"/>
    <x v="2"/>
  </r>
  <r>
    <x v="67"/>
    <s v="2025-03-01"/>
    <x v="7"/>
    <x v="58"/>
    <x v="60"/>
    <x v="2"/>
    <x v="3"/>
    <x v="12"/>
    <n v="7"/>
    <n v="176.01"/>
    <n v="0.15"/>
    <x v="67"/>
    <x v="67"/>
    <x v="2"/>
  </r>
  <r>
    <x v="68"/>
    <s v="2025-07-15"/>
    <x v="4"/>
    <x v="59"/>
    <x v="61"/>
    <x v="0"/>
    <x v="2"/>
    <x v="6"/>
    <n v="8"/>
    <n v="122.47"/>
    <n v="0.05"/>
    <x v="68"/>
    <x v="68"/>
    <x v="0"/>
  </r>
  <r>
    <x v="69"/>
    <s v="2025-09-24"/>
    <x v="1"/>
    <x v="60"/>
    <x v="62"/>
    <x v="1"/>
    <x v="2"/>
    <x v="6"/>
    <n v="2"/>
    <n v="145.34"/>
    <n v="0.05"/>
    <x v="69"/>
    <x v="69"/>
    <x v="2"/>
  </r>
  <r>
    <x v="70"/>
    <s v="2025-07-24"/>
    <x v="4"/>
    <x v="61"/>
    <x v="63"/>
    <x v="2"/>
    <x v="2"/>
    <x v="6"/>
    <n v="5"/>
    <n v="198.92"/>
    <n v="0.1"/>
    <x v="70"/>
    <x v="70"/>
    <x v="2"/>
  </r>
  <r>
    <x v="71"/>
    <s v="2025-10-22"/>
    <x v="6"/>
    <x v="62"/>
    <x v="64"/>
    <x v="2"/>
    <x v="1"/>
    <x v="10"/>
    <n v="8"/>
    <n v="233.12"/>
    <n v="0.15"/>
    <x v="71"/>
    <x v="71"/>
    <x v="1"/>
  </r>
  <r>
    <x v="72"/>
    <s v="2025-07-01"/>
    <x v="4"/>
    <x v="63"/>
    <x v="50"/>
    <x v="2"/>
    <x v="2"/>
    <x v="6"/>
    <n v="2"/>
    <n v="101.49"/>
    <n v="0.05"/>
    <x v="72"/>
    <x v="72"/>
    <x v="1"/>
  </r>
  <r>
    <x v="73"/>
    <s v="2025-02-10"/>
    <x v="8"/>
    <x v="64"/>
    <x v="65"/>
    <x v="1"/>
    <x v="1"/>
    <x v="8"/>
    <n v="5"/>
    <n v="58.38"/>
    <n v="0"/>
    <x v="73"/>
    <x v="73"/>
    <x v="2"/>
  </r>
  <r>
    <x v="74"/>
    <s v="2025-08-21"/>
    <x v="0"/>
    <x v="65"/>
    <x v="66"/>
    <x v="4"/>
    <x v="3"/>
    <x v="9"/>
    <n v="8"/>
    <n v="121.12"/>
    <n v="0.05"/>
    <x v="74"/>
    <x v="74"/>
    <x v="2"/>
  </r>
  <r>
    <x v="75"/>
    <s v="2025-05-01"/>
    <x v="11"/>
    <x v="66"/>
    <x v="52"/>
    <x v="0"/>
    <x v="1"/>
    <x v="1"/>
    <n v="1"/>
    <n v="150.55000000000001"/>
    <n v="0.1"/>
    <x v="75"/>
    <x v="75"/>
    <x v="0"/>
  </r>
  <r>
    <x v="76"/>
    <s v="2025-06-10"/>
    <x v="2"/>
    <x v="67"/>
    <x v="67"/>
    <x v="4"/>
    <x v="1"/>
    <x v="10"/>
    <n v="4"/>
    <n v="117.05"/>
    <n v="0.1"/>
    <x v="76"/>
    <x v="76"/>
    <x v="0"/>
  </r>
  <r>
    <x v="77"/>
    <s v="2025-01-04"/>
    <x v="5"/>
    <x v="7"/>
    <x v="68"/>
    <x v="1"/>
    <x v="3"/>
    <x v="11"/>
    <n v="6"/>
    <n v="211.62"/>
    <n v="0.15"/>
    <x v="77"/>
    <x v="77"/>
    <x v="0"/>
  </r>
  <r>
    <x v="78"/>
    <s v="2025-09-28"/>
    <x v="1"/>
    <x v="68"/>
    <x v="69"/>
    <x v="1"/>
    <x v="1"/>
    <x v="1"/>
    <n v="7"/>
    <n v="24.54"/>
    <n v="0.05"/>
    <x v="78"/>
    <x v="78"/>
    <x v="1"/>
  </r>
  <r>
    <x v="79"/>
    <s v="2025-11-30"/>
    <x v="10"/>
    <x v="69"/>
    <x v="70"/>
    <x v="4"/>
    <x v="3"/>
    <x v="12"/>
    <n v="2"/>
    <n v="11"/>
    <n v="0.1"/>
    <x v="79"/>
    <x v="79"/>
    <x v="0"/>
  </r>
  <r>
    <x v="80"/>
    <s v="2025-10-09"/>
    <x v="6"/>
    <x v="4"/>
    <x v="71"/>
    <x v="3"/>
    <x v="2"/>
    <x v="4"/>
    <n v="6"/>
    <n v="104.45"/>
    <n v="0.1"/>
    <x v="80"/>
    <x v="80"/>
    <x v="2"/>
  </r>
  <r>
    <x v="81"/>
    <s v="2025-12-29"/>
    <x v="3"/>
    <x v="70"/>
    <x v="16"/>
    <x v="3"/>
    <x v="2"/>
    <x v="2"/>
    <n v="8"/>
    <n v="177.4"/>
    <n v="0.1"/>
    <x v="81"/>
    <x v="81"/>
    <x v="2"/>
  </r>
  <r>
    <x v="82"/>
    <s v="2025-07-28"/>
    <x v="4"/>
    <x v="71"/>
    <x v="72"/>
    <x v="0"/>
    <x v="1"/>
    <x v="1"/>
    <n v="7"/>
    <n v="216.31"/>
    <n v="0.1"/>
    <x v="82"/>
    <x v="82"/>
    <x v="2"/>
  </r>
  <r>
    <x v="83"/>
    <s v="2025-04-03"/>
    <x v="9"/>
    <x v="72"/>
    <x v="73"/>
    <x v="3"/>
    <x v="0"/>
    <x v="0"/>
    <n v="3"/>
    <n v="12.21"/>
    <n v="0.05"/>
    <x v="83"/>
    <x v="83"/>
    <x v="0"/>
  </r>
  <r>
    <x v="84"/>
    <s v="2025-05-14"/>
    <x v="11"/>
    <x v="73"/>
    <x v="74"/>
    <x v="0"/>
    <x v="1"/>
    <x v="1"/>
    <n v="3"/>
    <n v="141.80000000000001"/>
    <n v="0.15"/>
    <x v="84"/>
    <x v="84"/>
    <x v="2"/>
  </r>
  <r>
    <x v="85"/>
    <s v="2025-07-24"/>
    <x v="4"/>
    <x v="74"/>
    <x v="29"/>
    <x v="2"/>
    <x v="1"/>
    <x v="10"/>
    <n v="2"/>
    <n v="228.82"/>
    <n v="0.1"/>
    <x v="85"/>
    <x v="85"/>
    <x v="0"/>
  </r>
  <r>
    <x v="86"/>
    <s v="2025-01-31"/>
    <x v="5"/>
    <x v="75"/>
    <x v="75"/>
    <x v="2"/>
    <x v="1"/>
    <x v="1"/>
    <n v="4"/>
    <n v="151.41999999999999"/>
    <n v="0.15"/>
    <x v="86"/>
    <x v="86"/>
    <x v="1"/>
  </r>
  <r>
    <x v="87"/>
    <s v="2025-08-14"/>
    <x v="0"/>
    <x v="21"/>
    <x v="76"/>
    <x v="1"/>
    <x v="1"/>
    <x v="8"/>
    <n v="2"/>
    <n v="146.01"/>
    <n v="0"/>
    <x v="87"/>
    <x v="87"/>
    <x v="2"/>
  </r>
  <r>
    <x v="88"/>
    <s v="2025-06-26"/>
    <x v="2"/>
    <x v="29"/>
    <x v="77"/>
    <x v="1"/>
    <x v="3"/>
    <x v="9"/>
    <n v="1"/>
    <n v="77.010000000000005"/>
    <n v="0.15"/>
    <x v="88"/>
    <x v="88"/>
    <x v="2"/>
  </r>
  <r>
    <x v="89"/>
    <s v="2025-11-23"/>
    <x v="10"/>
    <x v="76"/>
    <x v="33"/>
    <x v="1"/>
    <x v="3"/>
    <x v="9"/>
    <n v="8"/>
    <n v="123.65"/>
    <n v="0.05"/>
    <x v="89"/>
    <x v="89"/>
    <x v="0"/>
  </r>
  <r>
    <x v="90"/>
    <s v="2025-07-27"/>
    <x v="4"/>
    <x v="77"/>
    <x v="12"/>
    <x v="4"/>
    <x v="1"/>
    <x v="8"/>
    <n v="2"/>
    <n v="73.59"/>
    <n v="0.15"/>
    <x v="90"/>
    <x v="90"/>
    <x v="1"/>
  </r>
  <r>
    <x v="91"/>
    <s v="2025-08-18"/>
    <x v="0"/>
    <x v="78"/>
    <x v="78"/>
    <x v="0"/>
    <x v="0"/>
    <x v="7"/>
    <n v="8"/>
    <n v="55.18"/>
    <n v="0.05"/>
    <x v="91"/>
    <x v="91"/>
    <x v="2"/>
  </r>
  <r>
    <x v="92"/>
    <s v="2025-07-12"/>
    <x v="4"/>
    <x v="79"/>
    <x v="79"/>
    <x v="0"/>
    <x v="0"/>
    <x v="7"/>
    <n v="1"/>
    <n v="97.76"/>
    <n v="0.15"/>
    <x v="92"/>
    <x v="92"/>
    <x v="1"/>
  </r>
  <r>
    <x v="93"/>
    <s v="2025-03-31"/>
    <x v="7"/>
    <x v="80"/>
    <x v="80"/>
    <x v="0"/>
    <x v="2"/>
    <x v="5"/>
    <n v="8"/>
    <n v="173.25"/>
    <n v="0"/>
    <x v="93"/>
    <x v="93"/>
    <x v="2"/>
  </r>
  <r>
    <x v="94"/>
    <s v="2025-02-17"/>
    <x v="8"/>
    <x v="81"/>
    <x v="81"/>
    <x v="0"/>
    <x v="2"/>
    <x v="6"/>
    <n v="2"/>
    <n v="166.95"/>
    <n v="0.1"/>
    <x v="94"/>
    <x v="94"/>
    <x v="0"/>
  </r>
  <r>
    <x v="95"/>
    <s v="2025-08-03"/>
    <x v="0"/>
    <x v="82"/>
    <x v="37"/>
    <x v="1"/>
    <x v="3"/>
    <x v="9"/>
    <n v="7"/>
    <n v="67.459999999999994"/>
    <n v="0"/>
    <x v="95"/>
    <x v="95"/>
    <x v="1"/>
  </r>
  <r>
    <x v="96"/>
    <s v="2025-08-23"/>
    <x v="0"/>
    <x v="83"/>
    <x v="82"/>
    <x v="4"/>
    <x v="2"/>
    <x v="4"/>
    <n v="5"/>
    <n v="87.37"/>
    <n v="0"/>
    <x v="96"/>
    <x v="96"/>
    <x v="2"/>
  </r>
  <r>
    <x v="97"/>
    <s v="2025-01-07"/>
    <x v="5"/>
    <x v="84"/>
    <x v="83"/>
    <x v="3"/>
    <x v="1"/>
    <x v="10"/>
    <n v="6"/>
    <n v="14.18"/>
    <n v="0"/>
    <x v="97"/>
    <x v="97"/>
    <x v="1"/>
  </r>
  <r>
    <x v="98"/>
    <s v="2025-05-30"/>
    <x v="11"/>
    <x v="85"/>
    <x v="84"/>
    <x v="1"/>
    <x v="2"/>
    <x v="5"/>
    <n v="6"/>
    <n v="154.32"/>
    <n v="0.15"/>
    <x v="98"/>
    <x v="98"/>
    <x v="2"/>
  </r>
  <r>
    <x v="99"/>
    <s v="2025-12-10"/>
    <x v="3"/>
    <x v="86"/>
    <x v="85"/>
    <x v="4"/>
    <x v="0"/>
    <x v="3"/>
    <n v="6"/>
    <n v="147.91999999999999"/>
    <n v="0.05"/>
    <x v="99"/>
    <x v="99"/>
    <x v="0"/>
  </r>
  <r>
    <x v="100"/>
    <s v="2025-02-19"/>
    <x v="8"/>
    <x v="87"/>
    <x v="86"/>
    <x v="0"/>
    <x v="2"/>
    <x v="4"/>
    <n v="1"/>
    <n v="151.37"/>
    <n v="0.1"/>
    <x v="100"/>
    <x v="100"/>
    <x v="1"/>
  </r>
  <r>
    <x v="101"/>
    <s v="2025-06-23"/>
    <x v="2"/>
    <x v="88"/>
    <x v="87"/>
    <x v="4"/>
    <x v="3"/>
    <x v="12"/>
    <n v="8"/>
    <n v="126.4"/>
    <n v="0"/>
    <x v="101"/>
    <x v="101"/>
    <x v="0"/>
  </r>
  <r>
    <x v="102"/>
    <s v="2025-02-08"/>
    <x v="8"/>
    <x v="89"/>
    <x v="88"/>
    <x v="3"/>
    <x v="0"/>
    <x v="3"/>
    <n v="1"/>
    <n v="203.83"/>
    <n v="0.05"/>
    <x v="102"/>
    <x v="102"/>
    <x v="1"/>
  </r>
  <r>
    <x v="103"/>
    <s v="2025-11-11"/>
    <x v="10"/>
    <x v="90"/>
    <x v="89"/>
    <x v="1"/>
    <x v="0"/>
    <x v="0"/>
    <n v="7"/>
    <n v="203.37"/>
    <n v="0.1"/>
    <x v="103"/>
    <x v="103"/>
    <x v="1"/>
  </r>
  <r>
    <x v="104"/>
    <s v="2025-08-30"/>
    <x v="0"/>
    <x v="91"/>
    <x v="15"/>
    <x v="2"/>
    <x v="3"/>
    <x v="9"/>
    <n v="5"/>
    <n v="136.71"/>
    <n v="0"/>
    <x v="104"/>
    <x v="104"/>
    <x v="2"/>
  </r>
  <r>
    <x v="105"/>
    <s v="2025-10-13"/>
    <x v="6"/>
    <x v="92"/>
    <x v="90"/>
    <x v="1"/>
    <x v="1"/>
    <x v="1"/>
    <n v="1"/>
    <n v="98.68"/>
    <n v="0.1"/>
    <x v="105"/>
    <x v="105"/>
    <x v="2"/>
  </r>
  <r>
    <x v="106"/>
    <s v="2025-07-12"/>
    <x v="4"/>
    <x v="4"/>
    <x v="91"/>
    <x v="3"/>
    <x v="0"/>
    <x v="0"/>
    <n v="2"/>
    <n v="57.82"/>
    <n v="0.05"/>
    <x v="106"/>
    <x v="106"/>
    <x v="0"/>
  </r>
  <r>
    <x v="107"/>
    <s v="2025-10-09"/>
    <x v="6"/>
    <x v="93"/>
    <x v="92"/>
    <x v="4"/>
    <x v="3"/>
    <x v="12"/>
    <n v="5"/>
    <n v="18.920000000000002"/>
    <n v="0"/>
    <x v="107"/>
    <x v="107"/>
    <x v="2"/>
  </r>
  <r>
    <x v="108"/>
    <s v="2025-07-10"/>
    <x v="4"/>
    <x v="94"/>
    <x v="93"/>
    <x v="3"/>
    <x v="1"/>
    <x v="10"/>
    <n v="7"/>
    <n v="137.53"/>
    <n v="0"/>
    <x v="108"/>
    <x v="108"/>
    <x v="1"/>
  </r>
  <r>
    <x v="109"/>
    <s v="2025-11-11"/>
    <x v="10"/>
    <x v="95"/>
    <x v="94"/>
    <x v="1"/>
    <x v="2"/>
    <x v="5"/>
    <n v="7"/>
    <n v="54.55"/>
    <n v="0.15"/>
    <x v="109"/>
    <x v="109"/>
    <x v="0"/>
  </r>
  <r>
    <x v="110"/>
    <s v="2025-05-17"/>
    <x v="11"/>
    <x v="96"/>
    <x v="95"/>
    <x v="0"/>
    <x v="2"/>
    <x v="4"/>
    <n v="7"/>
    <n v="177.13"/>
    <n v="0.15"/>
    <x v="110"/>
    <x v="110"/>
    <x v="2"/>
  </r>
  <r>
    <x v="111"/>
    <s v="2025-10-27"/>
    <x v="6"/>
    <x v="97"/>
    <x v="96"/>
    <x v="0"/>
    <x v="1"/>
    <x v="1"/>
    <n v="4"/>
    <n v="130.76"/>
    <n v="0"/>
    <x v="111"/>
    <x v="111"/>
    <x v="0"/>
  </r>
  <r>
    <x v="112"/>
    <s v="2025-04-17"/>
    <x v="9"/>
    <x v="98"/>
    <x v="67"/>
    <x v="1"/>
    <x v="0"/>
    <x v="3"/>
    <n v="4"/>
    <n v="166.12"/>
    <n v="0.1"/>
    <x v="112"/>
    <x v="112"/>
    <x v="2"/>
  </r>
  <r>
    <x v="113"/>
    <s v="2025-09-09"/>
    <x v="1"/>
    <x v="99"/>
    <x v="97"/>
    <x v="4"/>
    <x v="3"/>
    <x v="12"/>
    <n v="3"/>
    <n v="88.01"/>
    <n v="0.1"/>
    <x v="113"/>
    <x v="113"/>
    <x v="1"/>
  </r>
  <r>
    <x v="114"/>
    <s v="2025-09-28"/>
    <x v="1"/>
    <x v="100"/>
    <x v="98"/>
    <x v="3"/>
    <x v="3"/>
    <x v="12"/>
    <n v="8"/>
    <n v="12.6"/>
    <n v="0"/>
    <x v="114"/>
    <x v="114"/>
    <x v="2"/>
  </r>
  <r>
    <x v="115"/>
    <s v="2025-01-14"/>
    <x v="5"/>
    <x v="101"/>
    <x v="99"/>
    <x v="4"/>
    <x v="1"/>
    <x v="10"/>
    <n v="7"/>
    <n v="116.18"/>
    <n v="0.1"/>
    <x v="115"/>
    <x v="115"/>
    <x v="2"/>
  </r>
  <r>
    <x v="116"/>
    <s v="2025-11-16"/>
    <x v="10"/>
    <x v="59"/>
    <x v="100"/>
    <x v="1"/>
    <x v="3"/>
    <x v="11"/>
    <n v="3"/>
    <n v="170.27"/>
    <n v="0.1"/>
    <x v="116"/>
    <x v="116"/>
    <x v="1"/>
  </r>
  <r>
    <x v="117"/>
    <s v="2025-03-30"/>
    <x v="7"/>
    <x v="102"/>
    <x v="101"/>
    <x v="3"/>
    <x v="0"/>
    <x v="3"/>
    <n v="3"/>
    <n v="194.81"/>
    <n v="0.15"/>
    <x v="117"/>
    <x v="117"/>
    <x v="1"/>
  </r>
  <r>
    <x v="118"/>
    <s v="2025-12-26"/>
    <x v="3"/>
    <x v="103"/>
    <x v="102"/>
    <x v="0"/>
    <x v="3"/>
    <x v="12"/>
    <n v="4"/>
    <n v="191.95"/>
    <n v="0.1"/>
    <x v="118"/>
    <x v="118"/>
    <x v="0"/>
  </r>
  <r>
    <x v="119"/>
    <s v="2025-05-17"/>
    <x v="11"/>
    <x v="104"/>
    <x v="103"/>
    <x v="4"/>
    <x v="0"/>
    <x v="7"/>
    <n v="3"/>
    <n v="26.94"/>
    <n v="0"/>
    <x v="119"/>
    <x v="119"/>
    <x v="0"/>
  </r>
  <r>
    <x v="120"/>
    <s v="2025-03-01"/>
    <x v="7"/>
    <x v="105"/>
    <x v="104"/>
    <x v="2"/>
    <x v="1"/>
    <x v="10"/>
    <n v="2"/>
    <n v="134.16999999999999"/>
    <n v="0.15"/>
    <x v="120"/>
    <x v="120"/>
    <x v="2"/>
  </r>
  <r>
    <x v="121"/>
    <s v="2025-08-30"/>
    <x v="0"/>
    <x v="106"/>
    <x v="105"/>
    <x v="4"/>
    <x v="1"/>
    <x v="8"/>
    <n v="7"/>
    <n v="185.53"/>
    <n v="0.15"/>
    <x v="121"/>
    <x v="121"/>
    <x v="0"/>
  </r>
  <r>
    <x v="122"/>
    <s v="2025-05-29"/>
    <x v="11"/>
    <x v="107"/>
    <x v="106"/>
    <x v="4"/>
    <x v="0"/>
    <x v="0"/>
    <n v="1"/>
    <n v="236.78"/>
    <n v="0.1"/>
    <x v="122"/>
    <x v="122"/>
    <x v="1"/>
  </r>
  <r>
    <x v="123"/>
    <s v="2025-02-11"/>
    <x v="8"/>
    <x v="108"/>
    <x v="101"/>
    <x v="1"/>
    <x v="3"/>
    <x v="11"/>
    <n v="7"/>
    <n v="83.97"/>
    <n v="0.15"/>
    <x v="123"/>
    <x v="123"/>
    <x v="2"/>
  </r>
  <r>
    <x v="124"/>
    <s v="2025-05-30"/>
    <x v="11"/>
    <x v="109"/>
    <x v="107"/>
    <x v="1"/>
    <x v="2"/>
    <x v="6"/>
    <n v="7"/>
    <n v="24.81"/>
    <n v="0"/>
    <x v="124"/>
    <x v="124"/>
    <x v="0"/>
  </r>
  <r>
    <x v="125"/>
    <s v="2025-03-13"/>
    <x v="7"/>
    <x v="110"/>
    <x v="108"/>
    <x v="3"/>
    <x v="1"/>
    <x v="10"/>
    <n v="2"/>
    <n v="123.71"/>
    <n v="0"/>
    <x v="125"/>
    <x v="125"/>
    <x v="2"/>
  </r>
  <r>
    <x v="126"/>
    <s v="2025-01-22"/>
    <x v="5"/>
    <x v="111"/>
    <x v="109"/>
    <x v="3"/>
    <x v="1"/>
    <x v="1"/>
    <n v="6"/>
    <n v="187.81"/>
    <n v="0.1"/>
    <x v="126"/>
    <x v="126"/>
    <x v="2"/>
  </r>
  <r>
    <x v="127"/>
    <s v="2025-06-12"/>
    <x v="2"/>
    <x v="50"/>
    <x v="110"/>
    <x v="2"/>
    <x v="1"/>
    <x v="8"/>
    <n v="6"/>
    <n v="229.42"/>
    <n v="0.15"/>
    <x v="127"/>
    <x v="127"/>
    <x v="2"/>
  </r>
  <r>
    <x v="128"/>
    <s v="2025-11-02"/>
    <x v="10"/>
    <x v="38"/>
    <x v="111"/>
    <x v="2"/>
    <x v="3"/>
    <x v="9"/>
    <n v="6"/>
    <n v="124.86"/>
    <n v="0.05"/>
    <x v="128"/>
    <x v="128"/>
    <x v="1"/>
  </r>
  <r>
    <x v="129"/>
    <s v="2025-03-15"/>
    <x v="7"/>
    <x v="112"/>
    <x v="28"/>
    <x v="2"/>
    <x v="2"/>
    <x v="2"/>
    <n v="6"/>
    <n v="105.69"/>
    <n v="0.1"/>
    <x v="129"/>
    <x v="129"/>
    <x v="1"/>
  </r>
  <r>
    <x v="130"/>
    <s v="2025-02-04"/>
    <x v="8"/>
    <x v="113"/>
    <x v="112"/>
    <x v="1"/>
    <x v="3"/>
    <x v="11"/>
    <n v="4"/>
    <n v="68.45"/>
    <n v="0.15"/>
    <x v="130"/>
    <x v="130"/>
    <x v="1"/>
  </r>
  <r>
    <x v="131"/>
    <s v="2025-09-16"/>
    <x v="1"/>
    <x v="114"/>
    <x v="113"/>
    <x v="3"/>
    <x v="2"/>
    <x v="6"/>
    <n v="8"/>
    <n v="28.52"/>
    <n v="0.05"/>
    <x v="131"/>
    <x v="131"/>
    <x v="0"/>
  </r>
  <r>
    <x v="132"/>
    <s v="2025-11-30"/>
    <x v="10"/>
    <x v="115"/>
    <x v="39"/>
    <x v="4"/>
    <x v="2"/>
    <x v="5"/>
    <n v="1"/>
    <n v="184.76"/>
    <n v="0.05"/>
    <x v="132"/>
    <x v="132"/>
    <x v="2"/>
  </r>
  <r>
    <x v="133"/>
    <s v="2025-05-04"/>
    <x v="11"/>
    <x v="116"/>
    <x v="114"/>
    <x v="1"/>
    <x v="2"/>
    <x v="6"/>
    <n v="5"/>
    <n v="38.01"/>
    <n v="0.1"/>
    <x v="133"/>
    <x v="133"/>
    <x v="0"/>
  </r>
  <r>
    <x v="134"/>
    <s v="2025-11-15"/>
    <x v="10"/>
    <x v="117"/>
    <x v="115"/>
    <x v="4"/>
    <x v="1"/>
    <x v="8"/>
    <n v="3"/>
    <n v="229.57"/>
    <n v="0"/>
    <x v="134"/>
    <x v="134"/>
    <x v="0"/>
  </r>
  <r>
    <x v="135"/>
    <s v="2025-12-06"/>
    <x v="3"/>
    <x v="92"/>
    <x v="116"/>
    <x v="4"/>
    <x v="1"/>
    <x v="8"/>
    <n v="3"/>
    <n v="37.46"/>
    <n v="0.1"/>
    <x v="135"/>
    <x v="135"/>
    <x v="1"/>
  </r>
  <r>
    <x v="136"/>
    <s v="2025-05-08"/>
    <x v="11"/>
    <x v="118"/>
    <x v="117"/>
    <x v="1"/>
    <x v="2"/>
    <x v="2"/>
    <n v="2"/>
    <n v="107.84"/>
    <n v="0.05"/>
    <x v="136"/>
    <x v="136"/>
    <x v="1"/>
  </r>
  <r>
    <x v="137"/>
    <s v="2025-03-05"/>
    <x v="7"/>
    <x v="119"/>
    <x v="118"/>
    <x v="2"/>
    <x v="0"/>
    <x v="7"/>
    <n v="2"/>
    <n v="171.18"/>
    <n v="0.15"/>
    <x v="137"/>
    <x v="137"/>
    <x v="2"/>
  </r>
  <r>
    <x v="138"/>
    <s v="2025-03-04"/>
    <x v="7"/>
    <x v="120"/>
    <x v="111"/>
    <x v="4"/>
    <x v="1"/>
    <x v="1"/>
    <n v="8"/>
    <n v="75.209999999999994"/>
    <n v="0.1"/>
    <x v="138"/>
    <x v="138"/>
    <x v="2"/>
  </r>
  <r>
    <x v="139"/>
    <s v="2025-08-30"/>
    <x v="0"/>
    <x v="76"/>
    <x v="119"/>
    <x v="0"/>
    <x v="3"/>
    <x v="12"/>
    <n v="7"/>
    <n v="126.33"/>
    <n v="0.15"/>
    <x v="139"/>
    <x v="139"/>
    <x v="1"/>
  </r>
  <r>
    <x v="140"/>
    <s v="2025-03-29"/>
    <x v="7"/>
    <x v="107"/>
    <x v="10"/>
    <x v="1"/>
    <x v="2"/>
    <x v="4"/>
    <n v="4"/>
    <n v="208.44"/>
    <n v="0.1"/>
    <x v="140"/>
    <x v="140"/>
    <x v="1"/>
  </r>
  <r>
    <x v="141"/>
    <s v="2025-04-07"/>
    <x v="9"/>
    <x v="121"/>
    <x v="120"/>
    <x v="0"/>
    <x v="0"/>
    <x v="0"/>
    <n v="2"/>
    <n v="152.99"/>
    <n v="0.05"/>
    <x v="141"/>
    <x v="141"/>
    <x v="2"/>
  </r>
  <r>
    <x v="142"/>
    <s v="2025-12-09"/>
    <x v="3"/>
    <x v="122"/>
    <x v="121"/>
    <x v="0"/>
    <x v="0"/>
    <x v="7"/>
    <n v="8"/>
    <n v="10.88"/>
    <n v="0"/>
    <x v="142"/>
    <x v="142"/>
    <x v="1"/>
  </r>
  <r>
    <x v="143"/>
    <s v="2025-08-22"/>
    <x v="0"/>
    <x v="123"/>
    <x v="122"/>
    <x v="3"/>
    <x v="3"/>
    <x v="11"/>
    <n v="8"/>
    <n v="130.15"/>
    <n v="0.15"/>
    <x v="143"/>
    <x v="143"/>
    <x v="0"/>
  </r>
  <r>
    <x v="144"/>
    <s v="2025-03-19"/>
    <x v="7"/>
    <x v="11"/>
    <x v="123"/>
    <x v="4"/>
    <x v="3"/>
    <x v="12"/>
    <n v="4"/>
    <n v="230.76"/>
    <n v="0.05"/>
    <x v="144"/>
    <x v="144"/>
    <x v="2"/>
  </r>
  <r>
    <x v="145"/>
    <s v="2025-09-10"/>
    <x v="1"/>
    <x v="124"/>
    <x v="124"/>
    <x v="2"/>
    <x v="2"/>
    <x v="5"/>
    <n v="8"/>
    <n v="226.87"/>
    <n v="0.15"/>
    <x v="145"/>
    <x v="145"/>
    <x v="1"/>
  </r>
  <r>
    <x v="146"/>
    <s v="2025-09-22"/>
    <x v="1"/>
    <x v="125"/>
    <x v="6"/>
    <x v="2"/>
    <x v="0"/>
    <x v="0"/>
    <n v="2"/>
    <n v="194.62"/>
    <n v="0.05"/>
    <x v="146"/>
    <x v="146"/>
    <x v="1"/>
  </r>
  <r>
    <x v="147"/>
    <s v="2025-09-25"/>
    <x v="1"/>
    <x v="126"/>
    <x v="125"/>
    <x v="0"/>
    <x v="2"/>
    <x v="4"/>
    <n v="3"/>
    <n v="138.16999999999999"/>
    <n v="0.15"/>
    <x v="147"/>
    <x v="147"/>
    <x v="1"/>
  </r>
  <r>
    <x v="148"/>
    <s v="2025-06-30"/>
    <x v="2"/>
    <x v="127"/>
    <x v="122"/>
    <x v="2"/>
    <x v="2"/>
    <x v="4"/>
    <n v="3"/>
    <n v="249.22"/>
    <n v="0"/>
    <x v="148"/>
    <x v="148"/>
    <x v="1"/>
  </r>
  <r>
    <x v="149"/>
    <s v="2025-03-05"/>
    <x v="7"/>
    <x v="128"/>
    <x v="126"/>
    <x v="1"/>
    <x v="3"/>
    <x v="11"/>
    <n v="5"/>
    <n v="215.12"/>
    <n v="0.1"/>
    <x v="149"/>
    <x v="149"/>
    <x v="1"/>
  </r>
  <r>
    <x v="150"/>
    <s v="2025-11-18"/>
    <x v="10"/>
    <x v="129"/>
    <x v="127"/>
    <x v="3"/>
    <x v="2"/>
    <x v="5"/>
    <n v="6"/>
    <n v="145.41"/>
    <n v="0.05"/>
    <x v="150"/>
    <x v="150"/>
    <x v="0"/>
  </r>
  <r>
    <x v="151"/>
    <s v="2025-10-20"/>
    <x v="6"/>
    <x v="130"/>
    <x v="128"/>
    <x v="4"/>
    <x v="3"/>
    <x v="12"/>
    <n v="7"/>
    <n v="50.37"/>
    <n v="0.05"/>
    <x v="151"/>
    <x v="151"/>
    <x v="0"/>
  </r>
  <r>
    <x v="152"/>
    <s v="2025-03-22"/>
    <x v="7"/>
    <x v="131"/>
    <x v="106"/>
    <x v="0"/>
    <x v="2"/>
    <x v="5"/>
    <n v="6"/>
    <n v="14.93"/>
    <n v="0.15"/>
    <x v="152"/>
    <x v="152"/>
    <x v="2"/>
  </r>
  <r>
    <x v="153"/>
    <s v="2025-08-03"/>
    <x v="0"/>
    <x v="132"/>
    <x v="129"/>
    <x v="4"/>
    <x v="1"/>
    <x v="8"/>
    <n v="7"/>
    <n v="91.51"/>
    <n v="0.1"/>
    <x v="153"/>
    <x v="153"/>
    <x v="1"/>
  </r>
  <r>
    <x v="154"/>
    <s v="2025-06-13"/>
    <x v="2"/>
    <x v="133"/>
    <x v="79"/>
    <x v="1"/>
    <x v="1"/>
    <x v="10"/>
    <n v="4"/>
    <n v="80.98"/>
    <n v="0.15"/>
    <x v="154"/>
    <x v="154"/>
    <x v="2"/>
  </r>
  <r>
    <x v="155"/>
    <s v="2025-02-08"/>
    <x v="8"/>
    <x v="134"/>
    <x v="76"/>
    <x v="1"/>
    <x v="3"/>
    <x v="9"/>
    <n v="8"/>
    <n v="161.6"/>
    <n v="0.1"/>
    <x v="155"/>
    <x v="155"/>
    <x v="0"/>
  </r>
  <r>
    <x v="156"/>
    <s v="2025-09-22"/>
    <x v="1"/>
    <x v="72"/>
    <x v="130"/>
    <x v="4"/>
    <x v="0"/>
    <x v="3"/>
    <n v="1"/>
    <n v="85.25"/>
    <n v="0.1"/>
    <x v="156"/>
    <x v="156"/>
    <x v="1"/>
  </r>
  <r>
    <x v="157"/>
    <s v="2025-01-30"/>
    <x v="5"/>
    <x v="135"/>
    <x v="91"/>
    <x v="4"/>
    <x v="3"/>
    <x v="9"/>
    <n v="6"/>
    <n v="54.78"/>
    <n v="0"/>
    <x v="157"/>
    <x v="157"/>
    <x v="0"/>
  </r>
  <r>
    <x v="158"/>
    <s v="2025-08-13"/>
    <x v="0"/>
    <x v="136"/>
    <x v="131"/>
    <x v="2"/>
    <x v="1"/>
    <x v="1"/>
    <n v="3"/>
    <n v="123.34"/>
    <n v="0.1"/>
    <x v="158"/>
    <x v="158"/>
    <x v="2"/>
  </r>
  <r>
    <x v="159"/>
    <s v="2025-09-15"/>
    <x v="1"/>
    <x v="137"/>
    <x v="132"/>
    <x v="2"/>
    <x v="3"/>
    <x v="11"/>
    <n v="3"/>
    <n v="168.01"/>
    <n v="0.1"/>
    <x v="159"/>
    <x v="159"/>
    <x v="1"/>
  </r>
  <r>
    <x v="160"/>
    <s v="2025-04-25"/>
    <x v="9"/>
    <x v="138"/>
    <x v="133"/>
    <x v="4"/>
    <x v="0"/>
    <x v="3"/>
    <n v="5"/>
    <n v="232.33"/>
    <n v="0.15"/>
    <x v="160"/>
    <x v="160"/>
    <x v="0"/>
  </r>
  <r>
    <x v="161"/>
    <s v="2025-11-17"/>
    <x v="10"/>
    <x v="139"/>
    <x v="134"/>
    <x v="3"/>
    <x v="0"/>
    <x v="0"/>
    <n v="3"/>
    <n v="154.72999999999999"/>
    <n v="0"/>
    <x v="161"/>
    <x v="161"/>
    <x v="1"/>
  </r>
  <r>
    <x v="162"/>
    <s v="2025-09-07"/>
    <x v="1"/>
    <x v="140"/>
    <x v="135"/>
    <x v="0"/>
    <x v="3"/>
    <x v="9"/>
    <n v="8"/>
    <n v="185.96"/>
    <n v="0"/>
    <x v="162"/>
    <x v="162"/>
    <x v="2"/>
  </r>
  <r>
    <x v="163"/>
    <s v="2025-07-14"/>
    <x v="4"/>
    <x v="99"/>
    <x v="136"/>
    <x v="2"/>
    <x v="2"/>
    <x v="2"/>
    <n v="1"/>
    <n v="96.05"/>
    <n v="0.05"/>
    <x v="163"/>
    <x v="163"/>
    <x v="1"/>
  </r>
  <r>
    <x v="164"/>
    <s v="2025-07-28"/>
    <x v="4"/>
    <x v="141"/>
    <x v="118"/>
    <x v="2"/>
    <x v="2"/>
    <x v="5"/>
    <n v="8"/>
    <n v="22.33"/>
    <n v="0"/>
    <x v="164"/>
    <x v="164"/>
    <x v="1"/>
  </r>
  <r>
    <x v="165"/>
    <s v="2025-08-26"/>
    <x v="0"/>
    <x v="142"/>
    <x v="137"/>
    <x v="2"/>
    <x v="0"/>
    <x v="7"/>
    <n v="3"/>
    <n v="209.44"/>
    <n v="0.05"/>
    <x v="165"/>
    <x v="165"/>
    <x v="1"/>
  </r>
  <r>
    <x v="166"/>
    <s v="2025-09-04"/>
    <x v="1"/>
    <x v="13"/>
    <x v="138"/>
    <x v="2"/>
    <x v="1"/>
    <x v="1"/>
    <n v="1"/>
    <n v="16.510000000000002"/>
    <n v="0.1"/>
    <x v="166"/>
    <x v="166"/>
    <x v="1"/>
  </r>
  <r>
    <x v="167"/>
    <s v="2025-11-18"/>
    <x v="10"/>
    <x v="143"/>
    <x v="139"/>
    <x v="0"/>
    <x v="2"/>
    <x v="6"/>
    <n v="7"/>
    <n v="82.11"/>
    <n v="0"/>
    <x v="167"/>
    <x v="167"/>
    <x v="1"/>
  </r>
  <r>
    <x v="168"/>
    <s v="2025-11-21"/>
    <x v="10"/>
    <x v="144"/>
    <x v="140"/>
    <x v="2"/>
    <x v="3"/>
    <x v="9"/>
    <n v="7"/>
    <n v="152.97999999999999"/>
    <n v="0.05"/>
    <x v="168"/>
    <x v="168"/>
    <x v="1"/>
  </r>
  <r>
    <x v="169"/>
    <s v="2025-10-25"/>
    <x v="6"/>
    <x v="70"/>
    <x v="141"/>
    <x v="3"/>
    <x v="0"/>
    <x v="3"/>
    <n v="2"/>
    <n v="49.02"/>
    <n v="0"/>
    <x v="169"/>
    <x v="169"/>
    <x v="2"/>
  </r>
  <r>
    <x v="170"/>
    <s v="2025-07-01"/>
    <x v="4"/>
    <x v="145"/>
    <x v="142"/>
    <x v="3"/>
    <x v="2"/>
    <x v="6"/>
    <n v="6"/>
    <n v="120.5"/>
    <n v="0.05"/>
    <x v="170"/>
    <x v="170"/>
    <x v="1"/>
  </r>
  <r>
    <x v="171"/>
    <s v="2025-01-26"/>
    <x v="5"/>
    <x v="146"/>
    <x v="48"/>
    <x v="2"/>
    <x v="2"/>
    <x v="2"/>
    <n v="8"/>
    <n v="228.1"/>
    <n v="0.15"/>
    <x v="171"/>
    <x v="171"/>
    <x v="2"/>
  </r>
  <r>
    <x v="172"/>
    <s v="2025-11-20"/>
    <x v="10"/>
    <x v="147"/>
    <x v="143"/>
    <x v="3"/>
    <x v="3"/>
    <x v="12"/>
    <n v="1"/>
    <n v="107.36"/>
    <n v="0.15"/>
    <x v="172"/>
    <x v="172"/>
    <x v="2"/>
  </r>
  <r>
    <x v="173"/>
    <s v="2025-08-16"/>
    <x v="0"/>
    <x v="148"/>
    <x v="144"/>
    <x v="3"/>
    <x v="1"/>
    <x v="1"/>
    <n v="4"/>
    <n v="175.33"/>
    <n v="0.05"/>
    <x v="173"/>
    <x v="173"/>
    <x v="0"/>
  </r>
  <r>
    <x v="174"/>
    <s v="2025-08-13"/>
    <x v="0"/>
    <x v="149"/>
    <x v="145"/>
    <x v="4"/>
    <x v="2"/>
    <x v="4"/>
    <n v="5"/>
    <n v="243.02"/>
    <n v="0.05"/>
    <x v="174"/>
    <x v="174"/>
    <x v="2"/>
  </r>
  <r>
    <x v="175"/>
    <s v="2025-03-28"/>
    <x v="7"/>
    <x v="57"/>
    <x v="146"/>
    <x v="2"/>
    <x v="0"/>
    <x v="0"/>
    <n v="8"/>
    <n v="23.95"/>
    <n v="0.15"/>
    <x v="175"/>
    <x v="175"/>
    <x v="1"/>
  </r>
  <r>
    <x v="176"/>
    <s v="2025-03-11"/>
    <x v="7"/>
    <x v="150"/>
    <x v="147"/>
    <x v="1"/>
    <x v="2"/>
    <x v="4"/>
    <n v="1"/>
    <n v="45.95"/>
    <n v="0.1"/>
    <x v="176"/>
    <x v="176"/>
    <x v="1"/>
  </r>
  <r>
    <x v="177"/>
    <s v="2025-12-18"/>
    <x v="3"/>
    <x v="48"/>
    <x v="148"/>
    <x v="2"/>
    <x v="2"/>
    <x v="4"/>
    <n v="8"/>
    <n v="63.4"/>
    <n v="0.05"/>
    <x v="177"/>
    <x v="177"/>
    <x v="2"/>
  </r>
  <r>
    <x v="178"/>
    <s v="2025-06-26"/>
    <x v="2"/>
    <x v="151"/>
    <x v="149"/>
    <x v="4"/>
    <x v="0"/>
    <x v="7"/>
    <n v="1"/>
    <n v="12.39"/>
    <n v="0"/>
    <x v="178"/>
    <x v="178"/>
    <x v="0"/>
  </r>
  <r>
    <x v="179"/>
    <s v="2025-10-06"/>
    <x v="6"/>
    <x v="147"/>
    <x v="79"/>
    <x v="3"/>
    <x v="0"/>
    <x v="0"/>
    <n v="3"/>
    <n v="131.1"/>
    <n v="0.05"/>
    <x v="179"/>
    <x v="179"/>
    <x v="2"/>
  </r>
  <r>
    <x v="180"/>
    <s v="2025-08-31"/>
    <x v="0"/>
    <x v="131"/>
    <x v="150"/>
    <x v="1"/>
    <x v="0"/>
    <x v="3"/>
    <n v="3"/>
    <n v="113.38"/>
    <n v="0.1"/>
    <x v="180"/>
    <x v="180"/>
    <x v="2"/>
  </r>
  <r>
    <x v="181"/>
    <s v="2025-04-05"/>
    <x v="9"/>
    <x v="152"/>
    <x v="151"/>
    <x v="1"/>
    <x v="3"/>
    <x v="9"/>
    <n v="7"/>
    <n v="128.03"/>
    <n v="0.05"/>
    <x v="181"/>
    <x v="181"/>
    <x v="2"/>
  </r>
  <r>
    <x v="182"/>
    <s v="2025-08-27"/>
    <x v="0"/>
    <x v="64"/>
    <x v="6"/>
    <x v="4"/>
    <x v="2"/>
    <x v="6"/>
    <n v="7"/>
    <n v="106.4"/>
    <n v="0"/>
    <x v="182"/>
    <x v="182"/>
    <x v="1"/>
  </r>
  <r>
    <x v="183"/>
    <s v="2025-07-01"/>
    <x v="4"/>
    <x v="153"/>
    <x v="152"/>
    <x v="2"/>
    <x v="2"/>
    <x v="5"/>
    <n v="1"/>
    <n v="248.26"/>
    <n v="0.15"/>
    <x v="183"/>
    <x v="183"/>
    <x v="0"/>
  </r>
  <r>
    <x v="184"/>
    <s v="2025-12-02"/>
    <x v="3"/>
    <x v="9"/>
    <x v="55"/>
    <x v="1"/>
    <x v="1"/>
    <x v="1"/>
    <n v="6"/>
    <n v="39.119999999999997"/>
    <n v="0"/>
    <x v="184"/>
    <x v="184"/>
    <x v="0"/>
  </r>
  <r>
    <x v="185"/>
    <s v="2025-09-05"/>
    <x v="1"/>
    <x v="14"/>
    <x v="153"/>
    <x v="4"/>
    <x v="1"/>
    <x v="8"/>
    <n v="1"/>
    <n v="143.06"/>
    <n v="0.15"/>
    <x v="185"/>
    <x v="185"/>
    <x v="2"/>
  </r>
  <r>
    <x v="186"/>
    <s v="2025-01-01"/>
    <x v="5"/>
    <x v="154"/>
    <x v="34"/>
    <x v="0"/>
    <x v="1"/>
    <x v="1"/>
    <n v="4"/>
    <n v="101.58"/>
    <n v="0.05"/>
    <x v="186"/>
    <x v="186"/>
    <x v="1"/>
  </r>
  <r>
    <x v="187"/>
    <s v="2025-08-26"/>
    <x v="0"/>
    <x v="155"/>
    <x v="129"/>
    <x v="1"/>
    <x v="1"/>
    <x v="10"/>
    <n v="8"/>
    <n v="11.54"/>
    <n v="0.15"/>
    <x v="187"/>
    <x v="187"/>
    <x v="1"/>
  </r>
  <r>
    <x v="188"/>
    <s v="2025-08-15"/>
    <x v="0"/>
    <x v="156"/>
    <x v="154"/>
    <x v="3"/>
    <x v="2"/>
    <x v="6"/>
    <n v="1"/>
    <n v="220.74"/>
    <n v="0.05"/>
    <x v="188"/>
    <x v="188"/>
    <x v="0"/>
  </r>
  <r>
    <x v="189"/>
    <s v="2025-07-16"/>
    <x v="4"/>
    <x v="157"/>
    <x v="155"/>
    <x v="1"/>
    <x v="0"/>
    <x v="3"/>
    <n v="6"/>
    <n v="198.68"/>
    <n v="0.1"/>
    <x v="189"/>
    <x v="189"/>
    <x v="2"/>
  </r>
  <r>
    <x v="190"/>
    <s v="2025-02-08"/>
    <x v="8"/>
    <x v="158"/>
    <x v="156"/>
    <x v="3"/>
    <x v="3"/>
    <x v="12"/>
    <n v="1"/>
    <n v="154.77000000000001"/>
    <n v="0.1"/>
    <x v="190"/>
    <x v="190"/>
    <x v="1"/>
  </r>
  <r>
    <x v="191"/>
    <s v="2025-10-19"/>
    <x v="6"/>
    <x v="159"/>
    <x v="157"/>
    <x v="2"/>
    <x v="1"/>
    <x v="8"/>
    <n v="4"/>
    <n v="77.3"/>
    <n v="0.05"/>
    <x v="191"/>
    <x v="191"/>
    <x v="0"/>
  </r>
  <r>
    <x v="192"/>
    <s v="2025-11-26"/>
    <x v="10"/>
    <x v="160"/>
    <x v="158"/>
    <x v="3"/>
    <x v="0"/>
    <x v="0"/>
    <n v="8"/>
    <n v="81.12"/>
    <n v="0"/>
    <x v="192"/>
    <x v="192"/>
    <x v="1"/>
  </r>
  <r>
    <x v="193"/>
    <s v="2025-03-10"/>
    <x v="7"/>
    <x v="161"/>
    <x v="114"/>
    <x v="4"/>
    <x v="3"/>
    <x v="11"/>
    <n v="6"/>
    <n v="31.78"/>
    <n v="0"/>
    <x v="193"/>
    <x v="193"/>
    <x v="2"/>
  </r>
  <r>
    <x v="194"/>
    <s v="2025-10-15"/>
    <x v="6"/>
    <x v="162"/>
    <x v="159"/>
    <x v="1"/>
    <x v="0"/>
    <x v="7"/>
    <n v="1"/>
    <n v="194.55"/>
    <n v="0.05"/>
    <x v="194"/>
    <x v="194"/>
    <x v="1"/>
  </r>
  <r>
    <x v="195"/>
    <s v="2025-07-04"/>
    <x v="4"/>
    <x v="163"/>
    <x v="142"/>
    <x v="2"/>
    <x v="1"/>
    <x v="1"/>
    <n v="4"/>
    <n v="52.31"/>
    <n v="0.1"/>
    <x v="195"/>
    <x v="195"/>
    <x v="0"/>
  </r>
  <r>
    <x v="196"/>
    <s v="2025-06-01"/>
    <x v="2"/>
    <x v="152"/>
    <x v="82"/>
    <x v="3"/>
    <x v="3"/>
    <x v="9"/>
    <n v="5"/>
    <n v="28.1"/>
    <n v="0.1"/>
    <x v="196"/>
    <x v="196"/>
    <x v="1"/>
  </r>
  <r>
    <x v="197"/>
    <s v="2025-10-13"/>
    <x v="6"/>
    <x v="164"/>
    <x v="160"/>
    <x v="2"/>
    <x v="0"/>
    <x v="0"/>
    <n v="5"/>
    <n v="74.83"/>
    <n v="0.1"/>
    <x v="197"/>
    <x v="197"/>
    <x v="0"/>
  </r>
  <r>
    <x v="198"/>
    <s v="2025-11-13"/>
    <x v="10"/>
    <x v="165"/>
    <x v="3"/>
    <x v="3"/>
    <x v="1"/>
    <x v="8"/>
    <n v="5"/>
    <n v="153.91"/>
    <n v="0.15"/>
    <x v="198"/>
    <x v="198"/>
    <x v="2"/>
  </r>
  <r>
    <x v="199"/>
    <s v="2025-02-05"/>
    <x v="8"/>
    <x v="55"/>
    <x v="161"/>
    <x v="1"/>
    <x v="1"/>
    <x v="1"/>
    <n v="6"/>
    <n v="113.06"/>
    <n v="0"/>
    <x v="199"/>
    <x v="199"/>
    <x v="0"/>
  </r>
  <r>
    <x v="200"/>
    <s v="2025-08-23"/>
    <x v="0"/>
    <x v="166"/>
    <x v="162"/>
    <x v="3"/>
    <x v="1"/>
    <x v="10"/>
    <n v="6"/>
    <n v="11.63"/>
    <n v="0.05"/>
    <x v="200"/>
    <x v="200"/>
    <x v="2"/>
  </r>
  <r>
    <x v="201"/>
    <s v="2025-06-07"/>
    <x v="2"/>
    <x v="167"/>
    <x v="126"/>
    <x v="4"/>
    <x v="3"/>
    <x v="11"/>
    <n v="7"/>
    <n v="11.72"/>
    <n v="0"/>
    <x v="201"/>
    <x v="201"/>
    <x v="1"/>
  </r>
  <r>
    <x v="202"/>
    <s v="2025-10-12"/>
    <x v="6"/>
    <x v="168"/>
    <x v="113"/>
    <x v="0"/>
    <x v="3"/>
    <x v="12"/>
    <n v="2"/>
    <n v="16.100000000000001"/>
    <n v="0.1"/>
    <x v="202"/>
    <x v="202"/>
    <x v="1"/>
  </r>
  <r>
    <x v="203"/>
    <s v="2025-07-14"/>
    <x v="4"/>
    <x v="169"/>
    <x v="135"/>
    <x v="2"/>
    <x v="1"/>
    <x v="1"/>
    <n v="5"/>
    <n v="193.08"/>
    <n v="0.1"/>
    <x v="203"/>
    <x v="203"/>
    <x v="1"/>
  </r>
  <r>
    <x v="204"/>
    <s v="2025-05-17"/>
    <x v="11"/>
    <x v="126"/>
    <x v="160"/>
    <x v="1"/>
    <x v="0"/>
    <x v="3"/>
    <n v="4"/>
    <n v="60.81"/>
    <n v="0.15"/>
    <x v="204"/>
    <x v="204"/>
    <x v="0"/>
  </r>
  <r>
    <x v="205"/>
    <s v="2025-06-30"/>
    <x v="2"/>
    <x v="170"/>
    <x v="163"/>
    <x v="2"/>
    <x v="1"/>
    <x v="8"/>
    <n v="6"/>
    <n v="125.88"/>
    <n v="0.1"/>
    <x v="205"/>
    <x v="205"/>
    <x v="0"/>
  </r>
  <r>
    <x v="206"/>
    <s v="2025-07-03"/>
    <x v="4"/>
    <x v="171"/>
    <x v="164"/>
    <x v="3"/>
    <x v="0"/>
    <x v="0"/>
    <n v="1"/>
    <n v="171.91"/>
    <n v="0.15"/>
    <x v="206"/>
    <x v="206"/>
    <x v="2"/>
  </r>
  <r>
    <x v="207"/>
    <s v="2025-10-28"/>
    <x v="6"/>
    <x v="172"/>
    <x v="165"/>
    <x v="3"/>
    <x v="0"/>
    <x v="3"/>
    <n v="2"/>
    <n v="112.85"/>
    <n v="0.15"/>
    <x v="207"/>
    <x v="207"/>
    <x v="0"/>
  </r>
  <r>
    <x v="208"/>
    <s v="2025-03-11"/>
    <x v="7"/>
    <x v="22"/>
    <x v="166"/>
    <x v="4"/>
    <x v="0"/>
    <x v="7"/>
    <n v="3"/>
    <n v="140.75"/>
    <n v="0.15"/>
    <x v="208"/>
    <x v="208"/>
    <x v="0"/>
  </r>
  <r>
    <x v="209"/>
    <s v="2025-03-23"/>
    <x v="7"/>
    <x v="72"/>
    <x v="167"/>
    <x v="0"/>
    <x v="3"/>
    <x v="9"/>
    <n v="1"/>
    <n v="53.83"/>
    <n v="0.15"/>
    <x v="209"/>
    <x v="209"/>
    <x v="0"/>
  </r>
  <r>
    <x v="210"/>
    <s v="2025-12-14"/>
    <x v="3"/>
    <x v="173"/>
    <x v="168"/>
    <x v="4"/>
    <x v="0"/>
    <x v="0"/>
    <n v="6"/>
    <n v="189.49"/>
    <n v="0.15"/>
    <x v="210"/>
    <x v="210"/>
    <x v="0"/>
  </r>
  <r>
    <x v="211"/>
    <s v="2025-11-09"/>
    <x v="10"/>
    <x v="174"/>
    <x v="169"/>
    <x v="3"/>
    <x v="1"/>
    <x v="8"/>
    <n v="5"/>
    <n v="147.97"/>
    <n v="0.1"/>
    <x v="211"/>
    <x v="211"/>
    <x v="1"/>
  </r>
  <r>
    <x v="212"/>
    <s v="2025-12-27"/>
    <x v="3"/>
    <x v="112"/>
    <x v="170"/>
    <x v="3"/>
    <x v="1"/>
    <x v="10"/>
    <n v="8"/>
    <n v="53.43"/>
    <n v="0.05"/>
    <x v="212"/>
    <x v="212"/>
    <x v="0"/>
  </r>
  <r>
    <x v="213"/>
    <s v="2025-04-25"/>
    <x v="9"/>
    <x v="83"/>
    <x v="6"/>
    <x v="0"/>
    <x v="0"/>
    <x v="0"/>
    <n v="2"/>
    <n v="139.63"/>
    <n v="0.1"/>
    <x v="213"/>
    <x v="213"/>
    <x v="1"/>
  </r>
  <r>
    <x v="214"/>
    <s v="2025-11-04"/>
    <x v="10"/>
    <x v="39"/>
    <x v="0"/>
    <x v="1"/>
    <x v="1"/>
    <x v="8"/>
    <n v="5"/>
    <n v="120.82"/>
    <n v="0.15"/>
    <x v="214"/>
    <x v="214"/>
    <x v="2"/>
  </r>
  <r>
    <x v="215"/>
    <s v="2025-05-30"/>
    <x v="11"/>
    <x v="175"/>
    <x v="153"/>
    <x v="4"/>
    <x v="3"/>
    <x v="12"/>
    <n v="8"/>
    <n v="96.08"/>
    <n v="0.15"/>
    <x v="215"/>
    <x v="215"/>
    <x v="0"/>
  </r>
  <r>
    <x v="216"/>
    <s v="2025-06-02"/>
    <x v="2"/>
    <x v="176"/>
    <x v="30"/>
    <x v="1"/>
    <x v="0"/>
    <x v="0"/>
    <n v="6"/>
    <n v="170.32"/>
    <n v="0.15"/>
    <x v="216"/>
    <x v="216"/>
    <x v="1"/>
  </r>
  <r>
    <x v="217"/>
    <s v="2025-06-17"/>
    <x v="2"/>
    <x v="177"/>
    <x v="171"/>
    <x v="0"/>
    <x v="3"/>
    <x v="9"/>
    <n v="4"/>
    <n v="44.73"/>
    <n v="0.15"/>
    <x v="217"/>
    <x v="217"/>
    <x v="1"/>
  </r>
  <r>
    <x v="218"/>
    <s v="2025-09-13"/>
    <x v="1"/>
    <x v="89"/>
    <x v="172"/>
    <x v="4"/>
    <x v="0"/>
    <x v="3"/>
    <n v="3"/>
    <n v="162.19"/>
    <n v="0.15"/>
    <x v="218"/>
    <x v="218"/>
    <x v="1"/>
  </r>
  <r>
    <x v="219"/>
    <s v="2025-07-12"/>
    <x v="4"/>
    <x v="178"/>
    <x v="122"/>
    <x v="1"/>
    <x v="1"/>
    <x v="10"/>
    <n v="5"/>
    <n v="185.14"/>
    <n v="0.05"/>
    <x v="219"/>
    <x v="219"/>
    <x v="1"/>
  </r>
  <r>
    <x v="220"/>
    <s v="2025-06-17"/>
    <x v="2"/>
    <x v="176"/>
    <x v="173"/>
    <x v="2"/>
    <x v="0"/>
    <x v="7"/>
    <n v="6"/>
    <n v="56.41"/>
    <n v="0.15"/>
    <x v="220"/>
    <x v="220"/>
    <x v="0"/>
  </r>
  <r>
    <x v="221"/>
    <s v="2025-01-12"/>
    <x v="5"/>
    <x v="179"/>
    <x v="174"/>
    <x v="0"/>
    <x v="2"/>
    <x v="5"/>
    <n v="3"/>
    <n v="23.64"/>
    <n v="0.1"/>
    <x v="221"/>
    <x v="221"/>
    <x v="0"/>
  </r>
  <r>
    <x v="222"/>
    <s v="2025-11-11"/>
    <x v="10"/>
    <x v="177"/>
    <x v="175"/>
    <x v="2"/>
    <x v="0"/>
    <x v="7"/>
    <n v="2"/>
    <n v="19.190000000000001"/>
    <n v="0.15"/>
    <x v="222"/>
    <x v="222"/>
    <x v="0"/>
  </r>
  <r>
    <x v="223"/>
    <s v="2025-05-02"/>
    <x v="11"/>
    <x v="20"/>
    <x v="176"/>
    <x v="4"/>
    <x v="1"/>
    <x v="8"/>
    <n v="4"/>
    <n v="168.58"/>
    <n v="0.15"/>
    <x v="223"/>
    <x v="223"/>
    <x v="2"/>
  </r>
  <r>
    <x v="224"/>
    <s v="2025-02-25"/>
    <x v="8"/>
    <x v="97"/>
    <x v="177"/>
    <x v="4"/>
    <x v="1"/>
    <x v="8"/>
    <n v="1"/>
    <n v="136.03"/>
    <n v="0"/>
    <x v="224"/>
    <x v="224"/>
    <x v="2"/>
  </r>
  <r>
    <x v="225"/>
    <s v="2025-04-14"/>
    <x v="9"/>
    <x v="180"/>
    <x v="128"/>
    <x v="0"/>
    <x v="0"/>
    <x v="0"/>
    <n v="4"/>
    <n v="36.090000000000003"/>
    <n v="0.15"/>
    <x v="225"/>
    <x v="225"/>
    <x v="1"/>
  </r>
  <r>
    <x v="226"/>
    <s v="2025-04-23"/>
    <x v="9"/>
    <x v="144"/>
    <x v="86"/>
    <x v="4"/>
    <x v="1"/>
    <x v="10"/>
    <n v="5"/>
    <n v="135.03"/>
    <n v="0.05"/>
    <x v="226"/>
    <x v="226"/>
    <x v="1"/>
  </r>
  <r>
    <x v="227"/>
    <s v="2025-07-21"/>
    <x v="4"/>
    <x v="144"/>
    <x v="114"/>
    <x v="1"/>
    <x v="0"/>
    <x v="0"/>
    <n v="2"/>
    <n v="138.35"/>
    <n v="0"/>
    <x v="227"/>
    <x v="227"/>
    <x v="2"/>
  </r>
  <r>
    <x v="228"/>
    <s v="2025-09-24"/>
    <x v="1"/>
    <x v="181"/>
    <x v="83"/>
    <x v="1"/>
    <x v="3"/>
    <x v="9"/>
    <n v="1"/>
    <n v="70.42"/>
    <n v="0"/>
    <x v="228"/>
    <x v="228"/>
    <x v="0"/>
  </r>
  <r>
    <x v="229"/>
    <s v="2025-06-13"/>
    <x v="2"/>
    <x v="182"/>
    <x v="178"/>
    <x v="0"/>
    <x v="2"/>
    <x v="2"/>
    <n v="3"/>
    <n v="104.19"/>
    <n v="0"/>
    <x v="229"/>
    <x v="229"/>
    <x v="2"/>
  </r>
  <r>
    <x v="230"/>
    <s v="2025-06-26"/>
    <x v="2"/>
    <x v="38"/>
    <x v="179"/>
    <x v="1"/>
    <x v="3"/>
    <x v="11"/>
    <n v="1"/>
    <n v="119.51"/>
    <n v="0.15"/>
    <x v="230"/>
    <x v="230"/>
    <x v="2"/>
  </r>
  <r>
    <x v="231"/>
    <s v="2025-11-10"/>
    <x v="10"/>
    <x v="183"/>
    <x v="180"/>
    <x v="0"/>
    <x v="0"/>
    <x v="3"/>
    <n v="5"/>
    <n v="168.55"/>
    <n v="0.15"/>
    <x v="231"/>
    <x v="231"/>
    <x v="1"/>
  </r>
  <r>
    <x v="232"/>
    <s v="2025-02-26"/>
    <x v="8"/>
    <x v="96"/>
    <x v="181"/>
    <x v="0"/>
    <x v="2"/>
    <x v="5"/>
    <n v="7"/>
    <n v="162.35"/>
    <n v="0.05"/>
    <x v="232"/>
    <x v="232"/>
    <x v="0"/>
  </r>
  <r>
    <x v="233"/>
    <s v="2025-10-13"/>
    <x v="6"/>
    <x v="0"/>
    <x v="182"/>
    <x v="2"/>
    <x v="2"/>
    <x v="6"/>
    <n v="7"/>
    <n v="106.37"/>
    <n v="0.1"/>
    <x v="233"/>
    <x v="233"/>
    <x v="0"/>
  </r>
  <r>
    <x v="234"/>
    <s v="2025-01-08"/>
    <x v="5"/>
    <x v="19"/>
    <x v="183"/>
    <x v="0"/>
    <x v="3"/>
    <x v="11"/>
    <n v="3"/>
    <n v="210.46"/>
    <n v="0"/>
    <x v="234"/>
    <x v="234"/>
    <x v="0"/>
  </r>
  <r>
    <x v="235"/>
    <s v="2025-10-03"/>
    <x v="6"/>
    <x v="184"/>
    <x v="184"/>
    <x v="2"/>
    <x v="1"/>
    <x v="1"/>
    <n v="3"/>
    <n v="125.75"/>
    <n v="0.15"/>
    <x v="235"/>
    <x v="235"/>
    <x v="1"/>
  </r>
  <r>
    <x v="236"/>
    <s v="2025-05-02"/>
    <x v="11"/>
    <x v="32"/>
    <x v="185"/>
    <x v="0"/>
    <x v="3"/>
    <x v="9"/>
    <n v="1"/>
    <n v="96.73"/>
    <n v="0"/>
    <x v="236"/>
    <x v="236"/>
    <x v="1"/>
  </r>
  <r>
    <x v="237"/>
    <s v="2025-04-11"/>
    <x v="9"/>
    <x v="185"/>
    <x v="186"/>
    <x v="2"/>
    <x v="2"/>
    <x v="2"/>
    <n v="1"/>
    <n v="10.02"/>
    <n v="0.15"/>
    <x v="237"/>
    <x v="237"/>
    <x v="2"/>
  </r>
  <r>
    <x v="238"/>
    <s v="2025-07-06"/>
    <x v="4"/>
    <x v="186"/>
    <x v="66"/>
    <x v="4"/>
    <x v="0"/>
    <x v="7"/>
    <n v="7"/>
    <n v="85.22"/>
    <n v="0"/>
    <x v="238"/>
    <x v="238"/>
    <x v="0"/>
  </r>
  <r>
    <x v="239"/>
    <s v="2025-05-15"/>
    <x v="11"/>
    <x v="28"/>
    <x v="187"/>
    <x v="1"/>
    <x v="1"/>
    <x v="1"/>
    <n v="4"/>
    <n v="16.7"/>
    <n v="0"/>
    <x v="239"/>
    <x v="239"/>
    <x v="2"/>
  </r>
  <r>
    <x v="240"/>
    <s v="2025-06-30"/>
    <x v="2"/>
    <x v="187"/>
    <x v="188"/>
    <x v="1"/>
    <x v="3"/>
    <x v="9"/>
    <n v="5"/>
    <n v="202.16"/>
    <n v="0.1"/>
    <x v="240"/>
    <x v="240"/>
    <x v="1"/>
  </r>
  <r>
    <x v="241"/>
    <s v="2025-09-25"/>
    <x v="1"/>
    <x v="188"/>
    <x v="189"/>
    <x v="3"/>
    <x v="0"/>
    <x v="7"/>
    <n v="7"/>
    <n v="167.02"/>
    <n v="0.1"/>
    <x v="241"/>
    <x v="241"/>
    <x v="0"/>
  </r>
  <r>
    <x v="242"/>
    <s v="2025-05-17"/>
    <x v="11"/>
    <x v="70"/>
    <x v="63"/>
    <x v="4"/>
    <x v="2"/>
    <x v="4"/>
    <n v="7"/>
    <n v="66.81"/>
    <n v="0"/>
    <x v="242"/>
    <x v="242"/>
    <x v="2"/>
  </r>
  <r>
    <x v="243"/>
    <s v="2025-06-03"/>
    <x v="2"/>
    <x v="189"/>
    <x v="190"/>
    <x v="0"/>
    <x v="2"/>
    <x v="6"/>
    <n v="3"/>
    <n v="215.22"/>
    <n v="0.1"/>
    <x v="243"/>
    <x v="243"/>
    <x v="0"/>
  </r>
  <r>
    <x v="244"/>
    <s v="2025-03-15"/>
    <x v="7"/>
    <x v="58"/>
    <x v="191"/>
    <x v="3"/>
    <x v="0"/>
    <x v="0"/>
    <n v="5"/>
    <n v="83.27"/>
    <n v="0.1"/>
    <x v="244"/>
    <x v="244"/>
    <x v="2"/>
  </r>
  <r>
    <x v="245"/>
    <s v="2025-08-21"/>
    <x v="0"/>
    <x v="190"/>
    <x v="192"/>
    <x v="0"/>
    <x v="2"/>
    <x v="5"/>
    <n v="4"/>
    <n v="172.48"/>
    <n v="0.1"/>
    <x v="245"/>
    <x v="245"/>
    <x v="1"/>
  </r>
  <r>
    <x v="246"/>
    <s v="2025-12-06"/>
    <x v="3"/>
    <x v="191"/>
    <x v="7"/>
    <x v="4"/>
    <x v="3"/>
    <x v="11"/>
    <n v="3"/>
    <n v="145.97999999999999"/>
    <n v="0.15"/>
    <x v="246"/>
    <x v="246"/>
    <x v="1"/>
  </r>
  <r>
    <x v="247"/>
    <s v="2025-06-09"/>
    <x v="2"/>
    <x v="186"/>
    <x v="193"/>
    <x v="4"/>
    <x v="1"/>
    <x v="10"/>
    <n v="5"/>
    <n v="56.51"/>
    <n v="0.05"/>
    <x v="247"/>
    <x v="247"/>
    <x v="0"/>
  </r>
  <r>
    <x v="248"/>
    <s v="2025-03-03"/>
    <x v="7"/>
    <x v="27"/>
    <x v="194"/>
    <x v="4"/>
    <x v="0"/>
    <x v="7"/>
    <n v="6"/>
    <n v="231.36"/>
    <n v="0"/>
    <x v="248"/>
    <x v="248"/>
    <x v="0"/>
  </r>
  <r>
    <x v="249"/>
    <s v="2025-05-08"/>
    <x v="11"/>
    <x v="192"/>
    <x v="195"/>
    <x v="4"/>
    <x v="3"/>
    <x v="12"/>
    <n v="5"/>
    <n v="168.64"/>
    <n v="0.1"/>
    <x v="249"/>
    <x v="249"/>
    <x v="1"/>
  </r>
  <r>
    <x v="250"/>
    <s v="2025-06-22"/>
    <x v="2"/>
    <x v="193"/>
    <x v="196"/>
    <x v="0"/>
    <x v="3"/>
    <x v="11"/>
    <n v="8"/>
    <n v="190.5"/>
    <n v="0.1"/>
    <x v="250"/>
    <x v="250"/>
    <x v="1"/>
  </r>
  <r>
    <x v="251"/>
    <s v="2025-07-10"/>
    <x v="4"/>
    <x v="76"/>
    <x v="98"/>
    <x v="3"/>
    <x v="1"/>
    <x v="10"/>
    <n v="4"/>
    <n v="223.71"/>
    <n v="0"/>
    <x v="251"/>
    <x v="251"/>
    <x v="0"/>
  </r>
  <r>
    <x v="252"/>
    <s v="2025-06-02"/>
    <x v="2"/>
    <x v="194"/>
    <x v="145"/>
    <x v="4"/>
    <x v="1"/>
    <x v="8"/>
    <n v="6"/>
    <n v="63.66"/>
    <n v="0.05"/>
    <x v="252"/>
    <x v="252"/>
    <x v="0"/>
  </r>
  <r>
    <x v="253"/>
    <s v="2025-11-13"/>
    <x v="10"/>
    <x v="195"/>
    <x v="148"/>
    <x v="4"/>
    <x v="0"/>
    <x v="0"/>
    <n v="6"/>
    <n v="26.5"/>
    <n v="0.05"/>
    <x v="253"/>
    <x v="253"/>
    <x v="2"/>
  </r>
  <r>
    <x v="254"/>
    <s v="2025-01-14"/>
    <x v="5"/>
    <x v="196"/>
    <x v="104"/>
    <x v="1"/>
    <x v="0"/>
    <x v="0"/>
    <n v="7"/>
    <n v="175.03"/>
    <n v="0.05"/>
    <x v="254"/>
    <x v="254"/>
    <x v="1"/>
  </r>
  <r>
    <x v="255"/>
    <s v="2025-10-22"/>
    <x v="6"/>
    <x v="197"/>
    <x v="197"/>
    <x v="0"/>
    <x v="0"/>
    <x v="0"/>
    <n v="1"/>
    <n v="179.5"/>
    <n v="0.1"/>
    <x v="255"/>
    <x v="255"/>
    <x v="0"/>
  </r>
  <r>
    <x v="256"/>
    <s v="2025-11-02"/>
    <x v="10"/>
    <x v="198"/>
    <x v="198"/>
    <x v="2"/>
    <x v="1"/>
    <x v="8"/>
    <n v="1"/>
    <n v="90.42"/>
    <n v="0.15"/>
    <x v="256"/>
    <x v="256"/>
    <x v="0"/>
  </r>
  <r>
    <x v="257"/>
    <s v="2025-05-25"/>
    <x v="11"/>
    <x v="164"/>
    <x v="199"/>
    <x v="4"/>
    <x v="3"/>
    <x v="12"/>
    <n v="3"/>
    <n v="100.42"/>
    <n v="0.05"/>
    <x v="257"/>
    <x v="257"/>
    <x v="2"/>
  </r>
  <r>
    <x v="258"/>
    <s v="2025-01-04"/>
    <x v="5"/>
    <x v="199"/>
    <x v="86"/>
    <x v="2"/>
    <x v="3"/>
    <x v="11"/>
    <n v="1"/>
    <n v="16.489999999999998"/>
    <n v="0.05"/>
    <x v="258"/>
    <x v="258"/>
    <x v="0"/>
  </r>
  <r>
    <x v="259"/>
    <s v="2025-08-07"/>
    <x v="0"/>
    <x v="200"/>
    <x v="200"/>
    <x v="1"/>
    <x v="1"/>
    <x v="10"/>
    <n v="4"/>
    <n v="150.83000000000001"/>
    <n v="0"/>
    <x v="259"/>
    <x v="259"/>
    <x v="1"/>
  </r>
  <r>
    <x v="260"/>
    <s v="2025-02-23"/>
    <x v="8"/>
    <x v="201"/>
    <x v="127"/>
    <x v="2"/>
    <x v="1"/>
    <x v="8"/>
    <n v="5"/>
    <n v="133.28"/>
    <n v="0.05"/>
    <x v="260"/>
    <x v="260"/>
    <x v="1"/>
  </r>
  <r>
    <x v="261"/>
    <s v="2025-12-23"/>
    <x v="3"/>
    <x v="202"/>
    <x v="201"/>
    <x v="1"/>
    <x v="1"/>
    <x v="8"/>
    <n v="1"/>
    <n v="64.92"/>
    <n v="0.15"/>
    <x v="261"/>
    <x v="261"/>
    <x v="1"/>
  </r>
  <r>
    <x v="262"/>
    <s v="2025-12-03"/>
    <x v="3"/>
    <x v="203"/>
    <x v="202"/>
    <x v="1"/>
    <x v="3"/>
    <x v="11"/>
    <n v="1"/>
    <n v="39.409999999999997"/>
    <n v="0.15"/>
    <x v="262"/>
    <x v="262"/>
    <x v="0"/>
  </r>
  <r>
    <x v="263"/>
    <s v="2025-08-09"/>
    <x v="0"/>
    <x v="204"/>
    <x v="203"/>
    <x v="2"/>
    <x v="2"/>
    <x v="6"/>
    <n v="8"/>
    <n v="197.75"/>
    <n v="0.15"/>
    <x v="263"/>
    <x v="263"/>
    <x v="0"/>
  </r>
  <r>
    <x v="264"/>
    <s v="2025-08-22"/>
    <x v="0"/>
    <x v="205"/>
    <x v="204"/>
    <x v="0"/>
    <x v="3"/>
    <x v="11"/>
    <n v="7"/>
    <n v="138.30000000000001"/>
    <n v="0"/>
    <x v="264"/>
    <x v="264"/>
    <x v="0"/>
  </r>
  <r>
    <x v="265"/>
    <s v="2025-10-29"/>
    <x v="6"/>
    <x v="206"/>
    <x v="205"/>
    <x v="2"/>
    <x v="2"/>
    <x v="4"/>
    <n v="3"/>
    <n v="217.23"/>
    <n v="0"/>
    <x v="265"/>
    <x v="265"/>
    <x v="2"/>
  </r>
  <r>
    <x v="266"/>
    <s v="2025-04-06"/>
    <x v="9"/>
    <x v="166"/>
    <x v="5"/>
    <x v="1"/>
    <x v="0"/>
    <x v="3"/>
    <n v="5"/>
    <n v="93.14"/>
    <n v="0.15"/>
    <x v="266"/>
    <x v="266"/>
    <x v="1"/>
  </r>
  <r>
    <x v="267"/>
    <s v="2025-11-02"/>
    <x v="10"/>
    <x v="139"/>
    <x v="206"/>
    <x v="1"/>
    <x v="1"/>
    <x v="10"/>
    <n v="6"/>
    <n v="157.97999999999999"/>
    <n v="0"/>
    <x v="267"/>
    <x v="267"/>
    <x v="2"/>
  </r>
  <r>
    <x v="268"/>
    <s v="2025-12-21"/>
    <x v="3"/>
    <x v="207"/>
    <x v="207"/>
    <x v="2"/>
    <x v="1"/>
    <x v="1"/>
    <n v="8"/>
    <n v="75.83"/>
    <n v="0.15"/>
    <x v="268"/>
    <x v="268"/>
    <x v="1"/>
  </r>
  <r>
    <x v="269"/>
    <s v="2025-01-08"/>
    <x v="5"/>
    <x v="208"/>
    <x v="145"/>
    <x v="2"/>
    <x v="0"/>
    <x v="3"/>
    <n v="2"/>
    <n v="142.5"/>
    <n v="0"/>
    <x v="269"/>
    <x v="269"/>
    <x v="0"/>
  </r>
  <r>
    <x v="270"/>
    <s v="2025-12-06"/>
    <x v="3"/>
    <x v="150"/>
    <x v="67"/>
    <x v="4"/>
    <x v="2"/>
    <x v="2"/>
    <n v="3"/>
    <n v="204.61"/>
    <n v="0.15"/>
    <x v="270"/>
    <x v="270"/>
    <x v="2"/>
  </r>
  <r>
    <x v="271"/>
    <s v="2025-03-16"/>
    <x v="7"/>
    <x v="209"/>
    <x v="138"/>
    <x v="3"/>
    <x v="0"/>
    <x v="0"/>
    <n v="5"/>
    <n v="134.65"/>
    <n v="0.15"/>
    <x v="271"/>
    <x v="271"/>
    <x v="2"/>
  </r>
  <r>
    <x v="272"/>
    <s v="2025-05-06"/>
    <x v="11"/>
    <x v="115"/>
    <x v="208"/>
    <x v="2"/>
    <x v="2"/>
    <x v="5"/>
    <n v="3"/>
    <n v="93.29"/>
    <n v="0.1"/>
    <x v="272"/>
    <x v="272"/>
    <x v="0"/>
  </r>
  <r>
    <x v="273"/>
    <s v="2025-02-19"/>
    <x v="8"/>
    <x v="210"/>
    <x v="209"/>
    <x v="1"/>
    <x v="1"/>
    <x v="1"/>
    <n v="4"/>
    <n v="139.96"/>
    <n v="0"/>
    <x v="273"/>
    <x v="273"/>
    <x v="2"/>
  </r>
  <r>
    <x v="274"/>
    <s v="2025-04-18"/>
    <x v="9"/>
    <x v="84"/>
    <x v="91"/>
    <x v="4"/>
    <x v="0"/>
    <x v="3"/>
    <n v="7"/>
    <n v="192.72"/>
    <n v="0"/>
    <x v="274"/>
    <x v="274"/>
    <x v="1"/>
  </r>
  <r>
    <x v="275"/>
    <s v="2025-06-27"/>
    <x v="2"/>
    <x v="211"/>
    <x v="210"/>
    <x v="0"/>
    <x v="1"/>
    <x v="10"/>
    <n v="8"/>
    <n v="66.739999999999995"/>
    <n v="0.15"/>
    <x v="275"/>
    <x v="275"/>
    <x v="2"/>
  </r>
  <r>
    <x v="276"/>
    <s v="2025-05-10"/>
    <x v="11"/>
    <x v="212"/>
    <x v="211"/>
    <x v="4"/>
    <x v="1"/>
    <x v="10"/>
    <n v="3"/>
    <n v="180.58"/>
    <n v="0"/>
    <x v="276"/>
    <x v="276"/>
    <x v="0"/>
  </r>
  <r>
    <x v="277"/>
    <s v="2025-03-01"/>
    <x v="7"/>
    <x v="213"/>
    <x v="212"/>
    <x v="4"/>
    <x v="0"/>
    <x v="0"/>
    <n v="4"/>
    <n v="173.23"/>
    <n v="0.05"/>
    <x v="277"/>
    <x v="277"/>
    <x v="0"/>
  </r>
  <r>
    <x v="278"/>
    <s v="2025-02-28"/>
    <x v="8"/>
    <x v="214"/>
    <x v="213"/>
    <x v="2"/>
    <x v="3"/>
    <x v="9"/>
    <n v="6"/>
    <n v="128.61000000000001"/>
    <n v="0"/>
    <x v="278"/>
    <x v="278"/>
    <x v="0"/>
  </r>
  <r>
    <x v="279"/>
    <s v="2025-06-03"/>
    <x v="2"/>
    <x v="15"/>
    <x v="121"/>
    <x v="4"/>
    <x v="1"/>
    <x v="10"/>
    <n v="6"/>
    <n v="102.68"/>
    <n v="0.1"/>
    <x v="279"/>
    <x v="279"/>
    <x v="0"/>
  </r>
  <r>
    <x v="280"/>
    <s v="2025-04-04"/>
    <x v="9"/>
    <x v="215"/>
    <x v="177"/>
    <x v="1"/>
    <x v="3"/>
    <x v="12"/>
    <n v="2"/>
    <n v="174"/>
    <n v="0.05"/>
    <x v="280"/>
    <x v="280"/>
    <x v="2"/>
  </r>
  <r>
    <x v="281"/>
    <s v="2025-02-13"/>
    <x v="8"/>
    <x v="119"/>
    <x v="214"/>
    <x v="2"/>
    <x v="0"/>
    <x v="3"/>
    <n v="3"/>
    <n v="98.57"/>
    <n v="0.05"/>
    <x v="48"/>
    <x v="281"/>
    <x v="0"/>
  </r>
  <r>
    <x v="282"/>
    <s v="2025-07-03"/>
    <x v="4"/>
    <x v="216"/>
    <x v="215"/>
    <x v="3"/>
    <x v="2"/>
    <x v="2"/>
    <n v="7"/>
    <n v="180.52"/>
    <n v="0"/>
    <x v="281"/>
    <x v="282"/>
    <x v="1"/>
  </r>
  <r>
    <x v="283"/>
    <s v="2025-07-09"/>
    <x v="4"/>
    <x v="217"/>
    <x v="216"/>
    <x v="0"/>
    <x v="2"/>
    <x v="2"/>
    <n v="1"/>
    <n v="83.13"/>
    <n v="0"/>
    <x v="282"/>
    <x v="283"/>
    <x v="0"/>
  </r>
  <r>
    <x v="284"/>
    <s v="2025-01-17"/>
    <x v="5"/>
    <x v="218"/>
    <x v="104"/>
    <x v="4"/>
    <x v="3"/>
    <x v="9"/>
    <n v="7"/>
    <n v="159.12"/>
    <n v="0.05"/>
    <x v="283"/>
    <x v="284"/>
    <x v="0"/>
  </r>
  <r>
    <x v="285"/>
    <s v="2025-05-01"/>
    <x v="11"/>
    <x v="219"/>
    <x v="152"/>
    <x v="0"/>
    <x v="0"/>
    <x v="0"/>
    <n v="4"/>
    <n v="210.59"/>
    <n v="0.05"/>
    <x v="284"/>
    <x v="285"/>
    <x v="2"/>
  </r>
  <r>
    <x v="286"/>
    <s v="2025-11-05"/>
    <x v="10"/>
    <x v="220"/>
    <x v="6"/>
    <x v="2"/>
    <x v="2"/>
    <x v="4"/>
    <n v="2"/>
    <n v="91.7"/>
    <n v="0.1"/>
    <x v="285"/>
    <x v="286"/>
    <x v="0"/>
  </r>
  <r>
    <x v="287"/>
    <s v="2025-03-02"/>
    <x v="7"/>
    <x v="44"/>
    <x v="99"/>
    <x v="3"/>
    <x v="2"/>
    <x v="4"/>
    <n v="6"/>
    <n v="186.72"/>
    <n v="0.05"/>
    <x v="286"/>
    <x v="287"/>
    <x v="1"/>
  </r>
  <r>
    <x v="288"/>
    <s v="2025-10-13"/>
    <x v="6"/>
    <x v="221"/>
    <x v="217"/>
    <x v="2"/>
    <x v="3"/>
    <x v="12"/>
    <n v="6"/>
    <n v="228.46"/>
    <n v="0.15"/>
    <x v="287"/>
    <x v="288"/>
    <x v="1"/>
  </r>
  <r>
    <x v="289"/>
    <s v="2025-10-30"/>
    <x v="6"/>
    <x v="89"/>
    <x v="218"/>
    <x v="0"/>
    <x v="0"/>
    <x v="7"/>
    <n v="4"/>
    <n v="161.05000000000001"/>
    <n v="0.1"/>
    <x v="288"/>
    <x v="289"/>
    <x v="1"/>
  </r>
  <r>
    <x v="290"/>
    <s v="2025-08-30"/>
    <x v="0"/>
    <x v="222"/>
    <x v="219"/>
    <x v="4"/>
    <x v="2"/>
    <x v="4"/>
    <n v="3"/>
    <n v="46.19"/>
    <n v="0.05"/>
    <x v="289"/>
    <x v="290"/>
    <x v="1"/>
  </r>
  <r>
    <x v="291"/>
    <s v="2025-10-11"/>
    <x v="6"/>
    <x v="102"/>
    <x v="109"/>
    <x v="1"/>
    <x v="2"/>
    <x v="4"/>
    <n v="8"/>
    <n v="181.01"/>
    <n v="0"/>
    <x v="290"/>
    <x v="291"/>
    <x v="1"/>
  </r>
  <r>
    <x v="292"/>
    <s v="2025-07-05"/>
    <x v="4"/>
    <x v="84"/>
    <x v="13"/>
    <x v="4"/>
    <x v="0"/>
    <x v="3"/>
    <n v="8"/>
    <n v="159.97999999999999"/>
    <n v="0"/>
    <x v="291"/>
    <x v="292"/>
    <x v="1"/>
  </r>
  <r>
    <x v="293"/>
    <s v="2025-05-23"/>
    <x v="11"/>
    <x v="223"/>
    <x v="220"/>
    <x v="1"/>
    <x v="3"/>
    <x v="9"/>
    <n v="5"/>
    <n v="49.13"/>
    <n v="0.1"/>
    <x v="292"/>
    <x v="293"/>
    <x v="0"/>
  </r>
  <r>
    <x v="294"/>
    <s v="2025-10-29"/>
    <x v="6"/>
    <x v="224"/>
    <x v="69"/>
    <x v="2"/>
    <x v="2"/>
    <x v="6"/>
    <n v="5"/>
    <n v="204.55"/>
    <n v="0.1"/>
    <x v="293"/>
    <x v="294"/>
    <x v="1"/>
  </r>
  <r>
    <x v="295"/>
    <s v="2025-12-21"/>
    <x v="3"/>
    <x v="225"/>
    <x v="115"/>
    <x v="3"/>
    <x v="1"/>
    <x v="8"/>
    <n v="8"/>
    <n v="127.28"/>
    <n v="0.1"/>
    <x v="294"/>
    <x v="295"/>
    <x v="2"/>
  </r>
  <r>
    <x v="296"/>
    <s v="2025-09-06"/>
    <x v="1"/>
    <x v="47"/>
    <x v="11"/>
    <x v="2"/>
    <x v="2"/>
    <x v="2"/>
    <n v="2"/>
    <n v="146.82"/>
    <n v="0.05"/>
    <x v="295"/>
    <x v="296"/>
    <x v="2"/>
  </r>
  <r>
    <x v="297"/>
    <s v="2025-10-18"/>
    <x v="6"/>
    <x v="226"/>
    <x v="221"/>
    <x v="3"/>
    <x v="1"/>
    <x v="1"/>
    <n v="5"/>
    <n v="66.59"/>
    <n v="0"/>
    <x v="296"/>
    <x v="297"/>
    <x v="1"/>
  </r>
  <r>
    <x v="298"/>
    <s v="2025-07-10"/>
    <x v="4"/>
    <x v="200"/>
    <x v="76"/>
    <x v="1"/>
    <x v="3"/>
    <x v="11"/>
    <n v="1"/>
    <n v="142.96"/>
    <n v="0.1"/>
    <x v="297"/>
    <x v="298"/>
    <x v="2"/>
  </r>
  <r>
    <x v="299"/>
    <s v="2025-04-27"/>
    <x v="9"/>
    <x v="15"/>
    <x v="163"/>
    <x v="2"/>
    <x v="0"/>
    <x v="7"/>
    <n v="3"/>
    <n v="88.11"/>
    <n v="0.15"/>
    <x v="298"/>
    <x v="299"/>
    <x v="0"/>
  </r>
  <r>
    <x v="300"/>
    <s v="2025-08-03"/>
    <x v="0"/>
    <x v="109"/>
    <x v="158"/>
    <x v="4"/>
    <x v="3"/>
    <x v="11"/>
    <n v="3"/>
    <n v="167.6"/>
    <n v="0"/>
    <x v="299"/>
    <x v="300"/>
    <x v="0"/>
  </r>
  <r>
    <x v="301"/>
    <s v="2025-05-02"/>
    <x v="11"/>
    <x v="227"/>
    <x v="222"/>
    <x v="4"/>
    <x v="3"/>
    <x v="12"/>
    <n v="8"/>
    <n v="206.4"/>
    <n v="0.1"/>
    <x v="300"/>
    <x v="301"/>
    <x v="0"/>
  </r>
  <r>
    <x v="302"/>
    <s v="2025-12-05"/>
    <x v="3"/>
    <x v="228"/>
    <x v="223"/>
    <x v="0"/>
    <x v="1"/>
    <x v="1"/>
    <n v="1"/>
    <n v="79.22"/>
    <n v="0.15"/>
    <x v="301"/>
    <x v="302"/>
    <x v="1"/>
  </r>
  <r>
    <x v="303"/>
    <s v="2025-11-02"/>
    <x v="10"/>
    <x v="191"/>
    <x v="224"/>
    <x v="3"/>
    <x v="2"/>
    <x v="5"/>
    <n v="5"/>
    <n v="138.9"/>
    <n v="0.15"/>
    <x v="302"/>
    <x v="303"/>
    <x v="2"/>
  </r>
  <r>
    <x v="304"/>
    <s v="2025-01-09"/>
    <x v="5"/>
    <x v="229"/>
    <x v="225"/>
    <x v="3"/>
    <x v="1"/>
    <x v="10"/>
    <n v="8"/>
    <n v="193.43"/>
    <n v="0.05"/>
    <x v="303"/>
    <x v="304"/>
    <x v="0"/>
  </r>
  <r>
    <x v="305"/>
    <s v="2025-03-10"/>
    <x v="7"/>
    <x v="230"/>
    <x v="210"/>
    <x v="4"/>
    <x v="3"/>
    <x v="11"/>
    <n v="7"/>
    <n v="50.89"/>
    <n v="0.1"/>
    <x v="304"/>
    <x v="305"/>
    <x v="1"/>
  </r>
  <r>
    <x v="306"/>
    <s v="2025-04-16"/>
    <x v="9"/>
    <x v="231"/>
    <x v="201"/>
    <x v="1"/>
    <x v="0"/>
    <x v="7"/>
    <n v="8"/>
    <n v="17.28"/>
    <n v="0.05"/>
    <x v="305"/>
    <x v="306"/>
    <x v="1"/>
  </r>
  <r>
    <x v="307"/>
    <s v="2025-09-30"/>
    <x v="1"/>
    <x v="232"/>
    <x v="193"/>
    <x v="0"/>
    <x v="2"/>
    <x v="6"/>
    <n v="4"/>
    <n v="48.3"/>
    <n v="0.05"/>
    <x v="306"/>
    <x v="307"/>
    <x v="1"/>
  </r>
  <r>
    <x v="308"/>
    <s v="2025-05-23"/>
    <x v="11"/>
    <x v="116"/>
    <x v="18"/>
    <x v="1"/>
    <x v="1"/>
    <x v="8"/>
    <n v="4"/>
    <n v="61.94"/>
    <n v="0.15"/>
    <x v="307"/>
    <x v="308"/>
    <x v="0"/>
  </r>
  <r>
    <x v="309"/>
    <s v="2025-06-21"/>
    <x v="2"/>
    <x v="185"/>
    <x v="63"/>
    <x v="4"/>
    <x v="1"/>
    <x v="1"/>
    <n v="8"/>
    <n v="120.35"/>
    <n v="0"/>
    <x v="308"/>
    <x v="231"/>
    <x v="2"/>
  </r>
  <r>
    <x v="310"/>
    <s v="2025-12-08"/>
    <x v="3"/>
    <x v="26"/>
    <x v="209"/>
    <x v="4"/>
    <x v="2"/>
    <x v="5"/>
    <n v="8"/>
    <n v="102.75"/>
    <n v="0.1"/>
    <x v="309"/>
    <x v="309"/>
    <x v="0"/>
  </r>
  <r>
    <x v="311"/>
    <s v="2025-03-27"/>
    <x v="7"/>
    <x v="233"/>
    <x v="81"/>
    <x v="0"/>
    <x v="3"/>
    <x v="12"/>
    <n v="5"/>
    <n v="214.71"/>
    <n v="0.05"/>
    <x v="310"/>
    <x v="310"/>
    <x v="2"/>
  </r>
  <r>
    <x v="312"/>
    <s v="2025-07-18"/>
    <x v="4"/>
    <x v="234"/>
    <x v="220"/>
    <x v="0"/>
    <x v="2"/>
    <x v="4"/>
    <n v="8"/>
    <n v="232.23"/>
    <n v="0.1"/>
    <x v="311"/>
    <x v="311"/>
    <x v="1"/>
  </r>
  <r>
    <x v="313"/>
    <s v="2025-02-25"/>
    <x v="8"/>
    <x v="130"/>
    <x v="86"/>
    <x v="4"/>
    <x v="0"/>
    <x v="0"/>
    <n v="8"/>
    <n v="222.73"/>
    <n v="0"/>
    <x v="312"/>
    <x v="312"/>
    <x v="1"/>
  </r>
  <r>
    <x v="314"/>
    <s v="2025-07-22"/>
    <x v="4"/>
    <x v="23"/>
    <x v="226"/>
    <x v="1"/>
    <x v="3"/>
    <x v="12"/>
    <n v="2"/>
    <n v="243.31"/>
    <n v="0.1"/>
    <x v="313"/>
    <x v="313"/>
    <x v="2"/>
  </r>
  <r>
    <x v="315"/>
    <s v="2025-08-30"/>
    <x v="0"/>
    <x v="118"/>
    <x v="25"/>
    <x v="1"/>
    <x v="1"/>
    <x v="1"/>
    <n v="3"/>
    <n v="50.96"/>
    <n v="0.05"/>
    <x v="314"/>
    <x v="314"/>
    <x v="2"/>
  </r>
  <r>
    <x v="316"/>
    <s v="2025-08-02"/>
    <x v="0"/>
    <x v="235"/>
    <x v="227"/>
    <x v="3"/>
    <x v="3"/>
    <x v="9"/>
    <n v="6"/>
    <n v="215.68"/>
    <n v="0.1"/>
    <x v="315"/>
    <x v="315"/>
    <x v="2"/>
  </r>
  <r>
    <x v="317"/>
    <s v="2025-12-15"/>
    <x v="3"/>
    <x v="236"/>
    <x v="228"/>
    <x v="4"/>
    <x v="2"/>
    <x v="4"/>
    <n v="1"/>
    <n v="147.68"/>
    <n v="0.05"/>
    <x v="316"/>
    <x v="316"/>
    <x v="2"/>
  </r>
  <r>
    <x v="318"/>
    <s v="2025-02-17"/>
    <x v="8"/>
    <x v="237"/>
    <x v="136"/>
    <x v="4"/>
    <x v="2"/>
    <x v="5"/>
    <n v="7"/>
    <n v="124.95"/>
    <n v="0.15"/>
    <x v="317"/>
    <x v="317"/>
    <x v="2"/>
  </r>
  <r>
    <x v="319"/>
    <s v="2025-04-22"/>
    <x v="9"/>
    <x v="155"/>
    <x v="93"/>
    <x v="4"/>
    <x v="2"/>
    <x v="4"/>
    <n v="8"/>
    <n v="104.11"/>
    <n v="0.15"/>
    <x v="318"/>
    <x v="318"/>
    <x v="0"/>
  </r>
  <r>
    <x v="320"/>
    <s v="2025-10-26"/>
    <x v="6"/>
    <x v="48"/>
    <x v="229"/>
    <x v="3"/>
    <x v="2"/>
    <x v="4"/>
    <n v="2"/>
    <n v="108.13"/>
    <n v="0.15"/>
    <x v="319"/>
    <x v="319"/>
    <x v="1"/>
  </r>
  <r>
    <x v="321"/>
    <s v="2025-03-08"/>
    <x v="7"/>
    <x v="16"/>
    <x v="101"/>
    <x v="1"/>
    <x v="2"/>
    <x v="6"/>
    <n v="6"/>
    <n v="18.16"/>
    <n v="0.15"/>
    <x v="320"/>
    <x v="320"/>
    <x v="1"/>
  </r>
  <r>
    <x v="322"/>
    <s v="2025-12-18"/>
    <x v="3"/>
    <x v="115"/>
    <x v="230"/>
    <x v="2"/>
    <x v="0"/>
    <x v="7"/>
    <n v="1"/>
    <n v="200.48"/>
    <n v="0"/>
    <x v="321"/>
    <x v="321"/>
    <x v="0"/>
  </r>
  <r>
    <x v="323"/>
    <s v="2025-03-17"/>
    <x v="7"/>
    <x v="238"/>
    <x v="229"/>
    <x v="1"/>
    <x v="1"/>
    <x v="10"/>
    <n v="8"/>
    <n v="200.91"/>
    <n v="0.15"/>
    <x v="322"/>
    <x v="322"/>
    <x v="0"/>
  </r>
  <r>
    <x v="324"/>
    <s v="2025-12-02"/>
    <x v="3"/>
    <x v="239"/>
    <x v="231"/>
    <x v="3"/>
    <x v="0"/>
    <x v="7"/>
    <n v="4"/>
    <n v="52.55"/>
    <n v="0"/>
    <x v="323"/>
    <x v="323"/>
    <x v="1"/>
  </r>
  <r>
    <x v="325"/>
    <s v="2025-08-10"/>
    <x v="0"/>
    <x v="240"/>
    <x v="232"/>
    <x v="2"/>
    <x v="3"/>
    <x v="9"/>
    <n v="3"/>
    <n v="133.09"/>
    <n v="0.15"/>
    <x v="324"/>
    <x v="324"/>
    <x v="0"/>
  </r>
  <r>
    <x v="326"/>
    <s v="2025-03-12"/>
    <x v="7"/>
    <x v="72"/>
    <x v="233"/>
    <x v="0"/>
    <x v="0"/>
    <x v="7"/>
    <n v="3"/>
    <n v="58.72"/>
    <n v="0.1"/>
    <x v="325"/>
    <x v="325"/>
    <x v="0"/>
  </r>
  <r>
    <x v="327"/>
    <s v="2025-08-08"/>
    <x v="0"/>
    <x v="88"/>
    <x v="234"/>
    <x v="2"/>
    <x v="2"/>
    <x v="2"/>
    <n v="2"/>
    <n v="238.04"/>
    <n v="0.05"/>
    <x v="326"/>
    <x v="326"/>
    <x v="1"/>
  </r>
  <r>
    <x v="328"/>
    <s v="2025-03-25"/>
    <x v="7"/>
    <x v="194"/>
    <x v="154"/>
    <x v="4"/>
    <x v="3"/>
    <x v="12"/>
    <n v="2"/>
    <n v="227.72"/>
    <n v="0.05"/>
    <x v="327"/>
    <x v="327"/>
    <x v="1"/>
  </r>
  <r>
    <x v="329"/>
    <s v="2025-08-28"/>
    <x v="0"/>
    <x v="241"/>
    <x v="235"/>
    <x v="0"/>
    <x v="2"/>
    <x v="2"/>
    <n v="5"/>
    <n v="159.22999999999999"/>
    <n v="0.15"/>
    <x v="328"/>
    <x v="328"/>
    <x v="2"/>
  </r>
  <r>
    <x v="330"/>
    <s v="2025-11-17"/>
    <x v="10"/>
    <x v="242"/>
    <x v="236"/>
    <x v="1"/>
    <x v="0"/>
    <x v="0"/>
    <n v="7"/>
    <n v="10.029999999999999"/>
    <n v="0.1"/>
    <x v="329"/>
    <x v="329"/>
    <x v="0"/>
  </r>
  <r>
    <x v="331"/>
    <s v="2025-08-28"/>
    <x v="0"/>
    <x v="243"/>
    <x v="237"/>
    <x v="1"/>
    <x v="2"/>
    <x v="4"/>
    <n v="3"/>
    <n v="42.73"/>
    <n v="0"/>
    <x v="330"/>
    <x v="330"/>
    <x v="2"/>
  </r>
  <r>
    <x v="332"/>
    <s v="2025-04-14"/>
    <x v="9"/>
    <x v="244"/>
    <x v="6"/>
    <x v="3"/>
    <x v="2"/>
    <x v="5"/>
    <n v="8"/>
    <n v="155.49"/>
    <n v="0.05"/>
    <x v="331"/>
    <x v="331"/>
    <x v="1"/>
  </r>
  <r>
    <x v="333"/>
    <s v="2025-08-26"/>
    <x v="0"/>
    <x v="245"/>
    <x v="238"/>
    <x v="2"/>
    <x v="3"/>
    <x v="12"/>
    <n v="4"/>
    <n v="189.68"/>
    <n v="0.05"/>
    <x v="332"/>
    <x v="332"/>
    <x v="2"/>
  </r>
  <r>
    <x v="334"/>
    <s v="2025-03-13"/>
    <x v="7"/>
    <x v="246"/>
    <x v="239"/>
    <x v="4"/>
    <x v="0"/>
    <x v="3"/>
    <n v="2"/>
    <n v="75.55"/>
    <n v="0.15"/>
    <x v="333"/>
    <x v="333"/>
    <x v="1"/>
  </r>
  <r>
    <x v="335"/>
    <s v="2025-08-30"/>
    <x v="0"/>
    <x v="140"/>
    <x v="240"/>
    <x v="2"/>
    <x v="1"/>
    <x v="10"/>
    <n v="3"/>
    <n v="80.81"/>
    <n v="0"/>
    <x v="334"/>
    <x v="334"/>
    <x v="2"/>
  </r>
  <r>
    <x v="336"/>
    <s v="2025-08-14"/>
    <x v="0"/>
    <x v="247"/>
    <x v="58"/>
    <x v="0"/>
    <x v="3"/>
    <x v="11"/>
    <n v="4"/>
    <n v="72.010000000000005"/>
    <n v="0.15"/>
    <x v="335"/>
    <x v="335"/>
    <x v="1"/>
  </r>
  <r>
    <x v="337"/>
    <s v="2025-09-26"/>
    <x v="1"/>
    <x v="248"/>
    <x v="237"/>
    <x v="1"/>
    <x v="0"/>
    <x v="3"/>
    <n v="7"/>
    <n v="27.89"/>
    <n v="0.15"/>
    <x v="336"/>
    <x v="336"/>
    <x v="0"/>
  </r>
  <r>
    <x v="338"/>
    <s v="2025-06-03"/>
    <x v="2"/>
    <x v="185"/>
    <x v="241"/>
    <x v="3"/>
    <x v="2"/>
    <x v="6"/>
    <n v="4"/>
    <n v="36.270000000000003"/>
    <n v="0.1"/>
    <x v="337"/>
    <x v="337"/>
    <x v="1"/>
  </r>
  <r>
    <x v="339"/>
    <s v="2025-10-22"/>
    <x v="6"/>
    <x v="59"/>
    <x v="18"/>
    <x v="4"/>
    <x v="3"/>
    <x v="11"/>
    <n v="6"/>
    <n v="209.8"/>
    <n v="0.05"/>
    <x v="338"/>
    <x v="338"/>
    <x v="2"/>
  </r>
  <r>
    <x v="340"/>
    <s v="2025-07-28"/>
    <x v="4"/>
    <x v="249"/>
    <x v="218"/>
    <x v="0"/>
    <x v="3"/>
    <x v="11"/>
    <n v="4"/>
    <n v="213.46"/>
    <n v="0"/>
    <x v="339"/>
    <x v="339"/>
    <x v="2"/>
  </r>
  <r>
    <x v="341"/>
    <s v="2025-12-19"/>
    <x v="3"/>
    <x v="250"/>
    <x v="56"/>
    <x v="1"/>
    <x v="1"/>
    <x v="1"/>
    <n v="3"/>
    <n v="118.57"/>
    <n v="0.05"/>
    <x v="340"/>
    <x v="340"/>
    <x v="0"/>
  </r>
  <r>
    <x v="342"/>
    <s v="2025-11-27"/>
    <x v="10"/>
    <x v="251"/>
    <x v="85"/>
    <x v="2"/>
    <x v="1"/>
    <x v="1"/>
    <n v="3"/>
    <n v="39.340000000000003"/>
    <n v="0.1"/>
    <x v="341"/>
    <x v="341"/>
    <x v="2"/>
  </r>
  <r>
    <x v="343"/>
    <s v="2025-03-10"/>
    <x v="7"/>
    <x v="252"/>
    <x v="12"/>
    <x v="2"/>
    <x v="2"/>
    <x v="5"/>
    <n v="3"/>
    <n v="33.79"/>
    <n v="0"/>
    <x v="342"/>
    <x v="342"/>
    <x v="1"/>
  </r>
  <r>
    <x v="344"/>
    <s v="2025-01-12"/>
    <x v="5"/>
    <x v="253"/>
    <x v="168"/>
    <x v="1"/>
    <x v="0"/>
    <x v="0"/>
    <n v="2"/>
    <n v="93.1"/>
    <n v="0.05"/>
    <x v="343"/>
    <x v="343"/>
    <x v="2"/>
  </r>
  <r>
    <x v="345"/>
    <s v="2025-11-07"/>
    <x v="10"/>
    <x v="236"/>
    <x v="25"/>
    <x v="0"/>
    <x v="3"/>
    <x v="11"/>
    <n v="4"/>
    <n v="105.05"/>
    <n v="0.15"/>
    <x v="344"/>
    <x v="344"/>
    <x v="2"/>
  </r>
  <r>
    <x v="346"/>
    <s v="2025-02-17"/>
    <x v="8"/>
    <x v="208"/>
    <x v="23"/>
    <x v="3"/>
    <x v="3"/>
    <x v="12"/>
    <n v="7"/>
    <n v="131.13"/>
    <n v="0"/>
    <x v="345"/>
    <x v="345"/>
    <x v="2"/>
  </r>
  <r>
    <x v="347"/>
    <s v="2025-07-11"/>
    <x v="4"/>
    <x v="254"/>
    <x v="242"/>
    <x v="1"/>
    <x v="1"/>
    <x v="10"/>
    <n v="1"/>
    <n v="77.72"/>
    <n v="0.15"/>
    <x v="346"/>
    <x v="346"/>
    <x v="0"/>
  </r>
  <r>
    <x v="348"/>
    <s v="2025-10-10"/>
    <x v="6"/>
    <x v="110"/>
    <x v="243"/>
    <x v="3"/>
    <x v="0"/>
    <x v="3"/>
    <n v="5"/>
    <n v="36.1"/>
    <n v="0.15"/>
    <x v="347"/>
    <x v="347"/>
    <x v="0"/>
  </r>
  <r>
    <x v="349"/>
    <s v="2025-12-24"/>
    <x v="3"/>
    <x v="250"/>
    <x v="40"/>
    <x v="0"/>
    <x v="2"/>
    <x v="4"/>
    <n v="1"/>
    <n v="148.65"/>
    <n v="0.1"/>
    <x v="348"/>
    <x v="348"/>
    <x v="0"/>
  </r>
  <r>
    <x v="350"/>
    <s v="2025-03-04"/>
    <x v="7"/>
    <x v="255"/>
    <x v="241"/>
    <x v="2"/>
    <x v="1"/>
    <x v="1"/>
    <n v="3"/>
    <n v="182.83"/>
    <n v="0"/>
    <x v="349"/>
    <x v="124"/>
    <x v="0"/>
  </r>
  <r>
    <x v="351"/>
    <s v="2025-05-20"/>
    <x v="11"/>
    <x v="256"/>
    <x v="244"/>
    <x v="3"/>
    <x v="3"/>
    <x v="9"/>
    <n v="2"/>
    <n v="167.43"/>
    <n v="0.1"/>
    <x v="350"/>
    <x v="349"/>
    <x v="1"/>
  </r>
  <r>
    <x v="352"/>
    <s v="2025-02-18"/>
    <x v="8"/>
    <x v="25"/>
    <x v="190"/>
    <x v="2"/>
    <x v="0"/>
    <x v="3"/>
    <n v="2"/>
    <n v="88.47"/>
    <n v="0.1"/>
    <x v="351"/>
    <x v="350"/>
    <x v="1"/>
  </r>
  <r>
    <x v="353"/>
    <s v="2025-02-15"/>
    <x v="8"/>
    <x v="257"/>
    <x v="41"/>
    <x v="3"/>
    <x v="0"/>
    <x v="7"/>
    <n v="8"/>
    <n v="146.07"/>
    <n v="0"/>
    <x v="352"/>
    <x v="351"/>
    <x v="1"/>
  </r>
  <r>
    <x v="354"/>
    <s v="2025-12-24"/>
    <x v="3"/>
    <x v="258"/>
    <x v="245"/>
    <x v="4"/>
    <x v="0"/>
    <x v="3"/>
    <n v="8"/>
    <n v="245.85"/>
    <n v="0.15"/>
    <x v="353"/>
    <x v="352"/>
    <x v="1"/>
  </r>
  <r>
    <x v="355"/>
    <s v="2025-12-16"/>
    <x v="3"/>
    <x v="223"/>
    <x v="2"/>
    <x v="2"/>
    <x v="3"/>
    <x v="9"/>
    <n v="6"/>
    <n v="203.41"/>
    <n v="0.1"/>
    <x v="354"/>
    <x v="353"/>
    <x v="1"/>
  </r>
  <r>
    <x v="356"/>
    <s v="2025-08-19"/>
    <x v="0"/>
    <x v="259"/>
    <x v="246"/>
    <x v="1"/>
    <x v="3"/>
    <x v="12"/>
    <n v="3"/>
    <n v="218.32"/>
    <n v="0.15"/>
    <x v="355"/>
    <x v="354"/>
    <x v="2"/>
  </r>
  <r>
    <x v="357"/>
    <s v="2025-05-22"/>
    <x v="11"/>
    <x v="255"/>
    <x v="247"/>
    <x v="4"/>
    <x v="2"/>
    <x v="4"/>
    <n v="5"/>
    <n v="100.89"/>
    <n v="0.15"/>
    <x v="356"/>
    <x v="355"/>
    <x v="1"/>
  </r>
  <r>
    <x v="358"/>
    <s v="2025-09-30"/>
    <x v="1"/>
    <x v="260"/>
    <x v="49"/>
    <x v="4"/>
    <x v="0"/>
    <x v="7"/>
    <n v="2"/>
    <n v="152.88999999999999"/>
    <n v="0.1"/>
    <x v="357"/>
    <x v="356"/>
    <x v="0"/>
  </r>
  <r>
    <x v="359"/>
    <s v="2025-04-04"/>
    <x v="9"/>
    <x v="261"/>
    <x v="235"/>
    <x v="1"/>
    <x v="1"/>
    <x v="10"/>
    <n v="7"/>
    <n v="178.86"/>
    <n v="0.05"/>
    <x v="358"/>
    <x v="357"/>
    <x v="0"/>
  </r>
  <r>
    <x v="360"/>
    <s v="2025-04-26"/>
    <x v="9"/>
    <x v="149"/>
    <x v="248"/>
    <x v="4"/>
    <x v="1"/>
    <x v="8"/>
    <n v="3"/>
    <n v="244.27"/>
    <n v="0"/>
    <x v="359"/>
    <x v="358"/>
    <x v="0"/>
  </r>
  <r>
    <x v="361"/>
    <s v="2025-06-03"/>
    <x v="2"/>
    <x v="224"/>
    <x v="249"/>
    <x v="1"/>
    <x v="0"/>
    <x v="3"/>
    <n v="4"/>
    <n v="249.34"/>
    <n v="0"/>
    <x v="360"/>
    <x v="359"/>
    <x v="1"/>
  </r>
  <r>
    <x v="362"/>
    <s v="2025-05-10"/>
    <x v="11"/>
    <x v="262"/>
    <x v="250"/>
    <x v="0"/>
    <x v="2"/>
    <x v="6"/>
    <n v="7"/>
    <n v="109.09"/>
    <n v="0"/>
    <x v="361"/>
    <x v="360"/>
    <x v="1"/>
  </r>
  <r>
    <x v="363"/>
    <s v="2025-05-13"/>
    <x v="11"/>
    <x v="263"/>
    <x v="54"/>
    <x v="3"/>
    <x v="1"/>
    <x v="8"/>
    <n v="6"/>
    <n v="218.75"/>
    <n v="0.05"/>
    <x v="362"/>
    <x v="361"/>
    <x v="2"/>
  </r>
  <r>
    <x v="364"/>
    <s v="2025-08-30"/>
    <x v="0"/>
    <x v="264"/>
    <x v="116"/>
    <x v="3"/>
    <x v="2"/>
    <x v="4"/>
    <n v="6"/>
    <n v="57.05"/>
    <n v="0.1"/>
    <x v="363"/>
    <x v="362"/>
    <x v="2"/>
  </r>
  <r>
    <x v="365"/>
    <s v="2025-05-20"/>
    <x v="11"/>
    <x v="95"/>
    <x v="251"/>
    <x v="4"/>
    <x v="2"/>
    <x v="6"/>
    <n v="4"/>
    <n v="137.86000000000001"/>
    <n v="0.1"/>
    <x v="364"/>
    <x v="363"/>
    <x v="1"/>
  </r>
  <r>
    <x v="366"/>
    <s v="2025-11-21"/>
    <x v="10"/>
    <x v="243"/>
    <x v="35"/>
    <x v="2"/>
    <x v="3"/>
    <x v="12"/>
    <n v="7"/>
    <n v="141.97999999999999"/>
    <n v="0.1"/>
    <x v="365"/>
    <x v="364"/>
    <x v="0"/>
  </r>
  <r>
    <x v="367"/>
    <s v="2025-05-10"/>
    <x v="11"/>
    <x v="265"/>
    <x v="252"/>
    <x v="4"/>
    <x v="1"/>
    <x v="10"/>
    <n v="1"/>
    <n v="235.11"/>
    <n v="0.05"/>
    <x v="366"/>
    <x v="365"/>
    <x v="0"/>
  </r>
  <r>
    <x v="368"/>
    <s v="2025-09-17"/>
    <x v="1"/>
    <x v="99"/>
    <x v="105"/>
    <x v="3"/>
    <x v="1"/>
    <x v="1"/>
    <n v="1"/>
    <n v="31.67"/>
    <n v="0"/>
    <x v="367"/>
    <x v="366"/>
    <x v="2"/>
  </r>
  <r>
    <x v="369"/>
    <s v="2025-04-04"/>
    <x v="9"/>
    <x v="190"/>
    <x v="253"/>
    <x v="1"/>
    <x v="0"/>
    <x v="3"/>
    <n v="2"/>
    <n v="35.630000000000003"/>
    <n v="0.15"/>
    <x v="368"/>
    <x v="367"/>
    <x v="2"/>
  </r>
  <r>
    <x v="370"/>
    <s v="2025-08-20"/>
    <x v="0"/>
    <x v="266"/>
    <x v="254"/>
    <x v="0"/>
    <x v="0"/>
    <x v="0"/>
    <n v="7"/>
    <n v="43.03"/>
    <n v="0"/>
    <x v="369"/>
    <x v="368"/>
    <x v="2"/>
  </r>
  <r>
    <x v="371"/>
    <s v="2025-10-15"/>
    <x v="6"/>
    <x v="264"/>
    <x v="255"/>
    <x v="1"/>
    <x v="1"/>
    <x v="8"/>
    <n v="5"/>
    <n v="249.83"/>
    <n v="0"/>
    <x v="370"/>
    <x v="369"/>
    <x v="0"/>
  </r>
  <r>
    <x v="372"/>
    <s v="2025-06-12"/>
    <x v="2"/>
    <x v="182"/>
    <x v="161"/>
    <x v="4"/>
    <x v="2"/>
    <x v="6"/>
    <n v="2"/>
    <n v="14"/>
    <n v="0"/>
    <x v="371"/>
    <x v="370"/>
    <x v="1"/>
  </r>
  <r>
    <x v="373"/>
    <s v="2025-10-28"/>
    <x v="6"/>
    <x v="267"/>
    <x v="256"/>
    <x v="3"/>
    <x v="2"/>
    <x v="2"/>
    <n v="7"/>
    <n v="77.13"/>
    <n v="0.1"/>
    <x v="372"/>
    <x v="371"/>
    <x v="1"/>
  </r>
  <r>
    <x v="374"/>
    <s v="2025-11-20"/>
    <x v="10"/>
    <x v="92"/>
    <x v="18"/>
    <x v="1"/>
    <x v="1"/>
    <x v="10"/>
    <n v="2"/>
    <n v="183.41"/>
    <n v="0.1"/>
    <x v="373"/>
    <x v="372"/>
    <x v="1"/>
  </r>
  <r>
    <x v="375"/>
    <s v="2025-02-16"/>
    <x v="8"/>
    <x v="31"/>
    <x v="180"/>
    <x v="0"/>
    <x v="0"/>
    <x v="3"/>
    <n v="1"/>
    <n v="248.45"/>
    <n v="0"/>
    <x v="374"/>
    <x v="373"/>
    <x v="0"/>
  </r>
  <r>
    <x v="376"/>
    <s v="2025-01-12"/>
    <x v="5"/>
    <x v="75"/>
    <x v="153"/>
    <x v="4"/>
    <x v="3"/>
    <x v="9"/>
    <n v="3"/>
    <n v="187.53"/>
    <n v="0.1"/>
    <x v="375"/>
    <x v="374"/>
    <x v="2"/>
  </r>
  <r>
    <x v="377"/>
    <s v="2025-03-29"/>
    <x v="7"/>
    <x v="264"/>
    <x v="257"/>
    <x v="1"/>
    <x v="1"/>
    <x v="8"/>
    <n v="3"/>
    <n v="55.14"/>
    <n v="0"/>
    <x v="376"/>
    <x v="375"/>
    <x v="1"/>
  </r>
  <r>
    <x v="378"/>
    <s v="2025-12-15"/>
    <x v="3"/>
    <x v="92"/>
    <x v="25"/>
    <x v="4"/>
    <x v="1"/>
    <x v="8"/>
    <n v="3"/>
    <n v="197.34"/>
    <n v="0"/>
    <x v="377"/>
    <x v="376"/>
    <x v="1"/>
  </r>
  <r>
    <x v="379"/>
    <s v="2025-02-15"/>
    <x v="8"/>
    <x v="268"/>
    <x v="230"/>
    <x v="0"/>
    <x v="1"/>
    <x v="10"/>
    <n v="3"/>
    <n v="217.48"/>
    <n v="0.05"/>
    <x v="378"/>
    <x v="377"/>
    <x v="1"/>
  </r>
  <r>
    <x v="380"/>
    <s v="2025-05-22"/>
    <x v="11"/>
    <x v="269"/>
    <x v="258"/>
    <x v="4"/>
    <x v="2"/>
    <x v="5"/>
    <n v="8"/>
    <n v="214.57"/>
    <n v="0.05"/>
    <x v="379"/>
    <x v="378"/>
    <x v="2"/>
  </r>
  <r>
    <x v="381"/>
    <s v="2025-06-30"/>
    <x v="2"/>
    <x v="270"/>
    <x v="259"/>
    <x v="4"/>
    <x v="2"/>
    <x v="6"/>
    <n v="7"/>
    <n v="157.31"/>
    <n v="0.1"/>
    <x v="380"/>
    <x v="379"/>
    <x v="0"/>
  </r>
  <r>
    <x v="382"/>
    <s v="2025-11-30"/>
    <x v="10"/>
    <x v="248"/>
    <x v="215"/>
    <x v="0"/>
    <x v="0"/>
    <x v="7"/>
    <n v="4"/>
    <n v="27.69"/>
    <n v="0.15"/>
    <x v="381"/>
    <x v="380"/>
    <x v="0"/>
  </r>
  <r>
    <x v="383"/>
    <s v="2025-08-02"/>
    <x v="0"/>
    <x v="271"/>
    <x v="209"/>
    <x v="0"/>
    <x v="1"/>
    <x v="10"/>
    <n v="5"/>
    <n v="69.239999999999995"/>
    <n v="0.05"/>
    <x v="382"/>
    <x v="381"/>
    <x v="0"/>
  </r>
  <r>
    <x v="384"/>
    <s v="2025-05-28"/>
    <x v="11"/>
    <x v="272"/>
    <x v="18"/>
    <x v="2"/>
    <x v="1"/>
    <x v="1"/>
    <n v="6"/>
    <n v="153.08000000000001"/>
    <n v="0.1"/>
    <x v="383"/>
    <x v="382"/>
    <x v="2"/>
  </r>
  <r>
    <x v="385"/>
    <s v="2025-02-27"/>
    <x v="8"/>
    <x v="269"/>
    <x v="218"/>
    <x v="0"/>
    <x v="1"/>
    <x v="8"/>
    <n v="1"/>
    <n v="165.73"/>
    <n v="0.1"/>
    <x v="384"/>
    <x v="383"/>
    <x v="1"/>
  </r>
  <r>
    <x v="386"/>
    <s v="2025-06-14"/>
    <x v="2"/>
    <x v="273"/>
    <x v="147"/>
    <x v="1"/>
    <x v="1"/>
    <x v="8"/>
    <n v="2"/>
    <n v="92.02"/>
    <n v="0.1"/>
    <x v="385"/>
    <x v="384"/>
    <x v="2"/>
  </r>
  <r>
    <x v="387"/>
    <s v="2025-02-20"/>
    <x v="8"/>
    <x v="274"/>
    <x v="153"/>
    <x v="0"/>
    <x v="3"/>
    <x v="11"/>
    <n v="2"/>
    <n v="57.93"/>
    <n v="0.05"/>
    <x v="386"/>
    <x v="385"/>
    <x v="0"/>
  </r>
  <r>
    <x v="388"/>
    <s v="2025-08-12"/>
    <x v="0"/>
    <x v="147"/>
    <x v="54"/>
    <x v="3"/>
    <x v="1"/>
    <x v="10"/>
    <n v="6"/>
    <n v="92.03"/>
    <n v="0"/>
    <x v="387"/>
    <x v="386"/>
    <x v="2"/>
  </r>
  <r>
    <x v="389"/>
    <s v="2025-07-02"/>
    <x v="4"/>
    <x v="34"/>
    <x v="71"/>
    <x v="2"/>
    <x v="2"/>
    <x v="4"/>
    <n v="7"/>
    <n v="107.36"/>
    <n v="0"/>
    <x v="388"/>
    <x v="387"/>
    <x v="2"/>
  </r>
  <r>
    <x v="390"/>
    <s v="2025-06-13"/>
    <x v="2"/>
    <x v="97"/>
    <x v="144"/>
    <x v="3"/>
    <x v="3"/>
    <x v="9"/>
    <n v="4"/>
    <n v="154.72"/>
    <n v="0.15"/>
    <x v="389"/>
    <x v="388"/>
    <x v="1"/>
  </r>
  <r>
    <x v="391"/>
    <s v="2025-03-02"/>
    <x v="7"/>
    <x v="275"/>
    <x v="200"/>
    <x v="0"/>
    <x v="0"/>
    <x v="7"/>
    <n v="3"/>
    <n v="81.150000000000006"/>
    <n v="0.1"/>
    <x v="390"/>
    <x v="389"/>
    <x v="1"/>
  </r>
  <r>
    <x v="392"/>
    <s v="2025-11-16"/>
    <x v="10"/>
    <x v="276"/>
    <x v="90"/>
    <x v="3"/>
    <x v="3"/>
    <x v="12"/>
    <n v="2"/>
    <n v="177.84"/>
    <n v="0"/>
    <x v="391"/>
    <x v="390"/>
    <x v="1"/>
  </r>
  <r>
    <x v="393"/>
    <s v="2025-08-13"/>
    <x v="0"/>
    <x v="277"/>
    <x v="103"/>
    <x v="2"/>
    <x v="3"/>
    <x v="12"/>
    <n v="4"/>
    <n v="165.73"/>
    <n v="0.1"/>
    <x v="392"/>
    <x v="391"/>
    <x v="1"/>
  </r>
  <r>
    <x v="394"/>
    <s v="2025-04-21"/>
    <x v="9"/>
    <x v="278"/>
    <x v="260"/>
    <x v="3"/>
    <x v="0"/>
    <x v="0"/>
    <n v="1"/>
    <n v="149.31"/>
    <n v="0.05"/>
    <x v="393"/>
    <x v="392"/>
    <x v="1"/>
  </r>
  <r>
    <x v="395"/>
    <s v="2025-05-06"/>
    <x v="11"/>
    <x v="42"/>
    <x v="261"/>
    <x v="1"/>
    <x v="2"/>
    <x v="5"/>
    <n v="6"/>
    <n v="63.41"/>
    <n v="0.05"/>
    <x v="394"/>
    <x v="393"/>
    <x v="2"/>
  </r>
  <r>
    <x v="396"/>
    <s v="2025-07-16"/>
    <x v="4"/>
    <x v="279"/>
    <x v="262"/>
    <x v="1"/>
    <x v="2"/>
    <x v="5"/>
    <n v="1"/>
    <n v="177.11"/>
    <n v="0"/>
    <x v="395"/>
    <x v="394"/>
    <x v="0"/>
  </r>
  <r>
    <x v="397"/>
    <s v="2025-10-05"/>
    <x v="6"/>
    <x v="280"/>
    <x v="263"/>
    <x v="1"/>
    <x v="3"/>
    <x v="9"/>
    <n v="5"/>
    <n v="179.84"/>
    <n v="0.15"/>
    <x v="396"/>
    <x v="395"/>
    <x v="1"/>
  </r>
  <r>
    <x v="398"/>
    <s v="2025-05-29"/>
    <x v="11"/>
    <x v="281"/>
    <x v="264"/>
    <x v="1"/>
    <x v="0"/>
    <x v="0"/>
    <n v="5"/>
    <n v="109.18"/>
    <n v="0"/>
    <x v="397"/>
    <x v="396"/>
    <x v="0"/>
  </r>
  <r>
    <x v="399"/>
    <s v="2025-05-20"/>
    <x v="11"/>
    <x v="152"/>
    <x v="236"/>
    <x v="2"/>
    <x v="1"/>
    <x v="1"/>
    <n v="1"/>
    <n v="85.09"/>
    <n v="0"/>
    <x v="398"/>
    <x v="397"/>
    <x v="0"/>
  </r>
  <r>
    <x v="400"/>
    <s v="2025-04-06"/>
    <x v="9"/>
    <x v="102"/>
    <x v="265"/>
    <x v="1"/>
    <x v="3"/>
    <x v="11"/>
    <n v="7"/>
    <n v="87.69"/>
    <n v="0"/>
    <x v="399"/>
    <x v="398"/>
    <x v="0"/>
  </r>
  <r>
    <x v="401"/>
    <s v="2025-11-08"/>
    <x v="10"/>
    <x v="282"/>
    <x v="266"/>
    <x v="0"/>
    <x v="1"/>
    <x v="10"/>
    <n v="3"/>
    <n v="230.86"/>
    <n v="0.15"/>
    <x v="400"/>
    <x v="399"/>
    <x v="1"/>
  </r>
  <r>
    <x v="402"/>
    <s v="2025-07-27"/>
    <x v="4"/>
    <x v="283"/>
    <x v="267"/>
    <x v="4"/>
    <x v="2"/>
    <x v="2"/>
    <n v="5"/>
    <n v="113.13"/>
    <n v="0.1"/>
    <x v="401"/>
    <x v="400"/>
    <x v="2"/>
  </r>
  <r>
    <x v="403"/>
    <s v="2025-06-08"/>
    <x v="2"/>
    <x v="67"/>
    <x v="72"/>
    <x v="3"/>
    <x v="0"/>
    <x v="3"/>
    <n v="4"/>
    <n v="174.52"/>
    <n v="0.05"/>
    <x v="402"/>
    <x v="401"/>
    <x v="2"/>
  </r>
  <r>
    <x v="404"/>
    <s v="2025-03-03"/>
    <x v="7"/>
    <x v="22"/>
    <x v="114"/>
    <x v="2"/>
    <x v="3"/>
    <x v="11"/>
    <n v="6"/>
    <n v="163.97"/>
    <n v="0.15"/>
    <x v="403"/>
    <x v="402"/>
    <x v="0"/>
  </r>
  <r>
    <x v="405"/>
    <s v="2025-03-09"/>
    <x v="7"/>
    <x v="90"/>
    <x v="268"/>
    <x v="1"/>
    <x v="2"/>
    <x v="4"/>
    <n v="7"/>
    <n v="145.51"/>
    <n v="0"/>
    <x v="404"/>
    <x v="403"/>
    <x v="1"/>
  </r>
  <r>
    <x v="406"/>
    <s v="2025-04-24"/>
    <x v="9"/>
    <x v="284"/>
    <x v="73"/>
    <x v="1"/>
    <x v="2"/>
    <x v="4"/>
    <n v="5"/>
    <n v="174.04"/>
    <n v="0.05"/>
    <x v="405"/>
    <x v="404"/>
    <x v="1"/>
  </r>
  <r>
    <x v="407"/>
    <s v="2025-02-11"/>
    <x v="8"/>
    <x v="285"/>
    <x v="269"/>
    <x v="0"/>
    <x v="0"/>
    <x v="3"/>
    <n v="6"/>
    <n v="25.61"/>
    <n v="0.15"/>
    <x v="406"/>
    <x v="405"/>
    <x v="1"/>
  </r>
  <r>
    <x v="408"/>
    <s v="2025-06-11"/>
    <x v="2"/>
    <x v="90"/>
    <x v="170"/>
    <x v="4"/>
    <x v="0"/>
    <x v="7"/>
    <n v="2"/>
    <n v="214.1"/>
    <n v="0.1"/>
    <x v="407"/>
    <x v="406"/>
    <x v="1"/>
  </r>
  <r>
    <x v="409"/>
    <s v="2025-02-28"/>
    <x v="8"/>
    <x v="286"/>
    <x v="270"/>
    <x v="2"/>
    <x v="1"/>
    <x v="1"/>
    <n v="2"/>
    <n v="56.04"/>
    <n v="0.15"/>
    <x v="408"/>
    <x v="407"/>
    <x v="0"/>
  </r>
  <r>
    <x v="410"/>
    <s v="2025-11-16"/>
    <x v="10"/>
    <x v="287"/>
    <x v="131"/>
    <x v="1"/>
    <x v="3"/>
    <x v="9"/>
    <n v="3"/>
    <n v="108.53"/>
    <n v="0"/>
    <x v="409"/>
    <x v="408"/>
    <x v="2"/>
  </r>
  <r>
    <x v="411"/>
    <s v="2025-01-22"/>
    <x v="5"/>
    <x v="83"/>
    <x v="47"/>
    <x v="2"/>
    <x v="0"/>
    <x v="3"/>
    <n v="3"/>
    <n v="166.44"/>
    <n v="0.15"/>
    <x v="410"/>
    <x v="409"/>
    <x v="1"/>
  </r>
  <r>
    <x v="412"/>
    <s v="2025-05-15"/>
    <x v="11"/>
    <x v="241"/>
    <x v="271"/>
    <x v="2"/>
    <x v="2"/>
    <x v="6"/>
    <n v="6"/>
    <n v="87.08"/>
    <n v="0.05"/>
    <x v="411"/>
    <x v="410"/>
    <x v="2"/>
  </r>
  <r>
    <x v="413"/>
    <s v="2025-10-14"/>
    <x v="6"/>
    <x v="40"/>
    <x v="115"/>
    <x v="3"/>
    <x v="3"/>
    <x v="12"/>
    <n v="1"/>
    <n v="106.49"/>
    <n v="0.05"/>
    <x v="412"/>
    <x v="411"/>
    <x v="2"/>
  </r>
  <r>
    <x v="414"/>
    <s v="2025-12-12"/>
    <x v="3"/>
    <x v="288"/>
    <x v="236"/>
    <x v="0"/>
    <x v="0"/>
    <x v="7"/>
    <n v="1"/>
    <n v="178.27"/>
    <n v="0.05"/>
    <x v="413"/>
    <x v="412"/>
    <x v="2"/>
  </r>
  <r>
    <x v="415"/>
    <s v="2025-02-13"/>
    <x v="8"/>
    <x v="289"/>
    <x v="272"/>
    <x v="1"/>
    <x v="0"/>
    <x v="3"/>
    <n v="5"/>
    <n v="117.57"/>
    <n v="0"/>
    <x v="414"/>
    <x v="413"/>
    <x v="1"/>
  </r>
  <r>
    <x v="416"/>
    <s v="2025-05-21"/>
    <x v="11"/>
    <x v="114"/>
    <x v="273"/>
    <x v="2"/>
    <x v="1"/>
    <x v="1"/>
    <n v="2"/>
    <n v="228.88"/>
    <n v="0"/>
    <x v="415"/>
    <x v="414"/>
    <x v="2"/>
  </r>
  <r>
    <x v="417"/>
    <s v="2025-12-31"/>
    <x v="3"/>
    <x v="242"/>
    <x v="274"/>
    <x v="4"/>
    <x v="0"/>
    <x v="3"/>
    <n v="6"/>
    <n v="135.22"/>
    <n v="0.1"/>
    <x v="416"/>
    <x v="415"/>
    <x v="0"/>
  </r>
  <r>
    <x v="418"/>
    <s v="2025-05-20"/>
    <x v="11"/>
    <x v="91"/>
    <x v="255"/>
    <x v="1"/>
    <x v="1"/>
    <x v="10"/>
    <n v="1"/>
    <n v="77.12"/>
    <n v="0.1"/>
    <x v="417"/>
    <x v="416"/>
    <x v="2"/>
  </r>
  <r>
    <x v="419"/>
    <s v="2025-08-25"/>
    <x v="0"/>
    <x v="290"/>
    <x v="275"/>
    <x v="0"/>
    <x v="2"/>
    <x v="2"/>
    <n v="4"/>
    <n v="208.87"/>
    <n v="0"/>
    <x v="418"/>
    <x v="417"/>
    <x v="2"/>
  </r>
  <r>
    <x v="420"/>
    <s v="2025-01-31"/>
    <x v="5"/>
    <x v="291"/>
    <x v="276"/>
    <x v="4"/>
    <x v="2"/>
    <x v="2"/>
    <n v="1"/>
    <n v="237.03"/>
    <n v="0"/>
    <x v="419"/>
    <x v="418"/>
    <x v="2"/>
  </r>
  <r>
    <x v="421"/>
    <s v="2025-03-05"/>
    <x v="7"/>
    <x v="228"/>
    <x v="277"/>
    <x v="1"/>
    <x v="1"/>
    <x v="1"/>
    <n v="3"/>
    <n v="115.58"/>
    <n v="0.05"/>
    <x v="420"/>
    <x v="419"/>
    <x v="1"/>
  </r>
  <r>
    <x v="422"/>
    <s v="2025-07-31"/>
    <x v="4"/>
    <x v="292"/>
    <x v="278"/>
    <x v="2"/>
    <x v="1"/>
    <x v="8"/>
    <n v="1"/>
    <n v="141.72999999999999"/>
    <n v="0.15"/>
    <x v="421"/>
    <x v="420"/>
    <x v="2"/>
  </r>
  <r>
    <x v="423"/>
    <s v="2025-04-13"/>
    <x v="9"/>
    <x v="65"/>
    <x v="131"/>
    <x v="0"/>
    <x v="3"/>
    <x v="12"/>
    <n v="8"/>
    <n v="99.07"/>
    <n v="0.05"/>
    <x v="422"/>
    <x v="421"/>
    <x v="0"/>
  </r>
  <r>
    <x v="424"/>
    <s v="2025-02-04"/>
    <x v="8"/>
    <x v="14"/>
    <x v="36"/>
    <x v="0"/>
    <x v="2"/>
    <x v="6"/>
    <n v="4"/>
    <n v="222.32"/>
    <n v="0.15"/>
    <x v="423"/>
    <x v="422"/>
    <x v="1"/>
  </r>
  <r>
    <x v="425"/>
    <s v="2025-02-04"/>
    <x v="8"/>
    <x v="293"/>
    <x v="227"/>
    <x v="1"/>
    <x v="1"/>
    <x v="10"/>
    <n v="7"/>
    <n v="224.59"/>
    <n v="0"/>
    <x v="424"/>
    <x v="423"/>
    <x v="1"/>
  </r>
  <r>
    <x v="426"/>
    <s v="2025-07-31"/>
    <x v="4"/>
    <x v="33"/>
    <x v="121"/>
    <x v="0"/>
    <x v="0"/>
    <x v="3"/>
    <n v="7"/>
    <n v="136.26"/>
    <n v="0.05"/>
    <x v="425"/>
    <x v="424"/>
    <x v="2"/>
  </r>
  <r>
    <x v="427"/>
    <s v="2025-07-06"/>
    <x v="4"/>
    <x v="110"/>
    <x v="279"/>
    <x v="1"/>
    <x v="1"/>
    <x v="8"/>
    <n v="7"/>
    <n v="126.86"/>
    <n v="0"/>
    <x v="426"/>
    <x v="425"/>
    <x v="0"/>
  </r>
  <r>
    <x v="428"/>
    <s v="2025-08-10"/>
    <x v="0"/>
    <x v="294"/>
    <x v="137"/>
    <x v="2"/>
    <x v="0"/>
    <x v="7"/>
    <n v="5"/>
    <n v="83.45"/>
    <n v="0.15"/>
    <x v="427"/>
    <x v="426"/>
    <x v="0"/>
  </r>
  <r>
    <x v="429"/>
    <s v="2025-05-22"/>
    <x v="11"/>
    <x v="295"/>
    <x v="280"/>
    <x v="3"/>
    <x v="1"/>
    <x v="1"/>
    <n v="8"/>
    <n v="143.5"/>
    <n v="0.1"/>
    <x v="428"/>
    <x v="427"/>
    <x v="1"/>
  </r>
  <r>
    <x v="430"/>
    <s v="2025-01-17"/>
    <x v="5"/>
    <x v="296"/>
    <x v="220"/>
    <x v="2"/>
    <x v="2"/>
    <x v="5"/>
    <n v="2"/>
    <n v="124.67"/>
    <n v="0.1"/>
    <x v="429"/>
    <x v="428"/>
    <x v="1"/>
  </r>
  <r>
    <x v="431"/>
    <s v="2025-04-24"/>
    <x v="9"/>
    <x v="110"/>
    <x v="281"/>
    <x v="4"/>
    <x v="2"/>
    <x v="6"/>
    <n v="6"/>
    <n v="246.71"/>
    <n v="0.15"/>
    <x v="430"/>
    <x v="429"/>
    <x v="2"/>
  </r>
  <r>
    <x v="432"/>
    <s v="2025-11-05"/>
    <x v="10"/>
    <x v="24"/>
    <x v="260"/>
    <x v="1"/>
    <x v="2"/>
    <x v="4"/>
    <n v="1"/>
    <n v="91.66"/>
    <n v="0.1"/>
    <x v="431"/>
    <x v="430"/>
    <x v="2"/>
  </r>
  <r>
    <x v="433"/>
    <s v="2025-04-19"/>
    <x v="9"/>
    <x v="297"/>
    <x v="282"/>
    <x v="4"/>
    <x v="1"/>
    <x v="10"/>
    <n v="2"/>
    <n v="86.54"/>
    <n v="0.1"/>
    <x v="432"/>
    <x v="431"/>
    <x v="1"/>
  </r>
  <r>
    <x v="434"/>
    <s v="2025-07-14"/>
    <x v="4"/>
    <x v="298"/>
    <x v="283"/>
    <x v="1"/>
    <x v="2"/>
    <x v="2"/>
    <n v="3"/>
    <n v="190.96"/>
    <n v="0"/>
    <x v="433"/>
    <x v="432"/>
    <x v="0"/>
  </r>
  <r>
    <x v="435"/>
    <s v="2025-10-05"/>
    <x v="6"/>
    <x v="299"/>
    <x v="210"/>
    <x v="2"/>
    <x v="2"/>
    <x v="2"/>
    <n v="8"/>
    <n v="180.97"/>
    <n v="0"/>
    <x v="434"/>
    <x v="433"/>
    <x v="2"/>
  </r>
  <r>
    <x v="436"/>
    <s v="2025-01-10"/>
    <x v="5"/>
    <x v="204"/>
    <x v="284"/>
    <x v="2"/>
    <x v="3"/>
    <x v="12"/>
    <n v="7"/>
    <n v="63.1"/>
    <n v="0.15"/>
    <x v="435"/>
    <x v="434"/>
    <x v="2"/>
  </r>
  <r>
    <x v="437"/>
    <s v="2025-08-31"/>
    <x v="0"/>
    <x v="300"/>
    <x v="281"/>
    <x v="2"/>
    <x v="2"/>
    <x v="2"/>
    <n v="7"/>
    <n v="25.62"/>
    <n v="0.1"/>
    <x v="436"/>
    <x v="316"/>
    <x v="0"/>
  </r>
  <r>
    <x v="438"/>
    <s v="2025-05-21"/>
    <x v="11"/>
    <x v="301"/>
    <x v="109"/>
    <x v="1"/>
    <x v="0"/>
    <x v="3"/>
    <n v="5"/>
    <n v="80.290000000000006"/>
    <n v="0.1"/>
    <x v="437"/>
    <x v="435"/>
    <x v="1"/>
  </r>
  <r>
    <x v="439"/>
    <s v="2025-02-27"/>
    <x v="8"/>
    <x v="302"/>
    <x v="285"/>
    <x v="0"/>
    <x v="1"/>
    <x v="1"/>
    <n v="5"/>
    <n v="184.01"/>
    <n v="0.05"/>
    <x v="438"/>
    <x v="436"/>
    <x v="2"/>
  </r>
  <r>
    <x v="440"/>
    <s v="2025-08-13"/>
    <x v="0"/>
    <x v="41"/>
    <x v="286"/>
    <x v="1"/>
    <x v="0"/>
    <x v="3"/>
    <n v="6"/>
    <n v="165.21"/>
    <n v="0"/>
    <x v="439"/>
    <x v="437"/>
    <x v="2"/>
  </r>
  <r>
    <x v="441"/>
    <s v="2025-03-01"/>
    <x v="7"/>
    <x v="249"/>
    <x v="72"/>
    <x v="3"/>
    <x v="2"/>
    <x v="6"/>
    <n v="8"/>
    <n v="228.75"/>
    <n v="0.15"/>
    <x v="440"/>
    <x v="438"/>
    <x v="1"/>
  </r>
  <r>
    <x v="442"/>
    <s v="2025-04-13"/>
    <x v="9"/>
    <x v="140"/>
    <x v="287"/>
    <x v="3"/>
    <x v="3"/>
    <x v="9"/>
    <n v="5"/>
    <n v="20.39"/>
    <n v="0.1"/>
    <x v="441"/>
    <x v="439"/>
    <x v="0"/>
  </r>
  <r>
    <x v="443"/>
    <s v="2025-12-11"/>
    <x v="3"/>
    <x v="303"/>
    <x v="288"/>
    <x v="2"/>
    <x v="3"/>
    <x v="12"/>
    <n v="8"/>
    <n v="214.38"/>
    <n v="0.05"/>
    <x v="442"/>
    <x v="440"/>
    <x v="0"/>
  </r>
  <r>
    <x v="444"/>
    <s v="2025-09-06"/>
    <x v="1"/>
    <x v="58"/>
    <x v="150"/>
    <x v="2"/>
    <x v="2"/>
    <x v="2"/>
    <n v="8"/>
    <n v="155.52000000000001"/>
    <n v="0.05"/>
    <x v="443"/>
    <x v="441"/>
    <x v="2"/>
  </r>
  <r>
    <x v="445"/>
    <s v="2025-06-21"/>
    <x v="2"/>
    <x v="173"/>
    <x v="209"/>
    <x v="2"/>
    <x v="1"/>
    <x v="10"/>
    <n v="4"/>
    <n v="106.81"/>
    <n v="0.1"/>
    <x v="444"/>
    <x v="442"/>
    <x v="2"/>
  </r>
  <r>
    <x v="446"/>
    <s v="2025-04-19"/>
    <x v="9"/>
    <x v="304"/>
    <x v="223"/>
    <x v="3"/>
    <x v="2"/>
    <x v="5"/>
    <n v="3"/>
    <n v="153.25"/>
    <n v="0"/>
    <x v="445"/>
    <x v="443"/>
    <x v="0"/>
  </r>
  <r>
    <x v="447"/>
    <s v="2025-08-16"/>
    <x v="0"/>
    <x v="305"/>
    <x v="121"/>
    <x v="3"/>
    <x v="3"/>
    <x v="9"/>
    <n v="1"/>
    <n v="166.29"/>
    <n v="0.05"/>
    <x v="446"/>
    <x v="444"/>
    <x v="1"/>
  </r>
  <r>
    <x v="448"/>
    <s v="2025-04-24"/>
    <x v="9"/>
    <x v="306"/>
    <x v="289"/>
    <x v="1"/>
    <x v="1"/>
    <x v="8"/>
    <n v="6"/>
    <n v="35.44"/>
    <n v="0"/>
    <x v="447"/>
    <x v="445"/>
    <x v="1"/>
  </r>
  <r>
    <x v="449"/>
    <s v="2025-03-01"/>
    <x v="7"/>
    <x v="68"/>
    <x v="66"/>
    <x v="3"/>
    <x v="2"/>
    <x v="6"/>
    <n v="4"/>
    <n v="66.86"/>
    <n v="0"/>
    <x v="448"/>
    <x v="446"/>
    <x v="0"/>
  </r>
  <r>
    <x v="450"/>
    <s v="2025-04-08"/>
    <x v="9"/>
    <x v="202"/>
    <x v="6"/>
    <x v="2"/>
    <x v="1"/>
    <x v="1"/>
    <n v="2"/>
    <n v="207.03"/>
    <n v="0.15"/>
    <x v="449"/>
    <x v="447"/>
    <x v="1"/>
  </r>
  <r>
    <x v="451"/>
    <s v="2025-09-10"/>
    <x v="1"/>
    <x v="109"/>
    <x v="139"/>
    <x v="0"/>
    <x v="3"/>
    <x v="11"/>
    <n v="6"/>
    <n v="49.91"/>
    <n v="0.1"/>
    <x v="450"/>
    <x v="448"/>
    <x v="1"/>
  </r>
  <r>
    <x v="452"/>
    <s v="2025-03-13"/>
    <x v="7"/>
    <x v="77"/>
    <x v="31"/>
    <x v="0"/>
    <x v="1"/>
    <x v="1"/>
    <n v="4"/>
    <n v="94.08"/>
    <n v="0.1"/>
    <x v="451"/>
    <x v="449"/>
    <x v="2"/>
  </r>
  <r>
    <x v="453"/>
    <s v="2025-06-01"/>
    <x v="2"/>
    <x v="307"/>
    <x v="268"/>
    <x v="0"/>
    <x v="0"/>
    <x v="3"/>
    <n v="6"/>
    <n v="89.18"/>
    <n v="0.05"/>
    <x v="452"/>
    <x v="450"/>
    <x v="1"/>
  </r>
  <r>
    <x v="454"/>
    <s v="2025-08-13"/>
    <x v="0"/>
    <x v="128"/>
    <x v="290"/>
    <x v="4"/>
    <x v="3"/>
    <x v="9"/>
    <n v="1"/>
    <n v="91.65"/>
    <n v="0.1"/>
    <x v="431"/>
    <x v="451"/>
    <x v="0"/>
  </r>
  <r>
    <x v="455"/>
    <s v="2025-01-12"/>
    <x v="5"/>
    <x v="308"/>
    <x v="291"/>
    <x v="0"/>
    <x v="2"/>
    <x v="2"/>
    <n v="1"/>
    <n v="165.37"/>
    <n v="0"/>
    <x v="453"/>
    <x v="452"/>
    <x v="0"/>
  </r>
  <r>
    <x v="456"/>
    <s v="2025-11-26"/>
    <x v="10"/>
    <x v="309"/>
    <x v="292"/>
    <x v="1"/>
    <x v="2"/>
    <x v="6"/>
    <n v="2"/>
    <n v="231.29"/>
    <n v="0.1"/>
    <x v="454"/>
    <x v="453"/>
    <x v="1"/>
  </r>
  <r>
    <x v="457"/>
    <s v="2025-06-09"/>
    <x v="2"/>
    <x v="287"/>
    <x v="41"/>
    <x v="4"/>
    <x v="3"/>
    <x v="9"/>
    <n v="5"/>
    <n v="109.14"/>
    <n v="0.05"/>
    <x v="455"/>
    <x v="454"/>
    <x v="2"/>
  </r>
  <r>
    <x v="458"/>
    <s v="2025-09-02"/>
    <x v="1"/>
    <x v="46"/>
    <x v="278"/>
    <x v="1"/>
    <x v="3"/>
    <x v="12"/>
    <n v="2"/>
    <n v="159.9"/>
    <n v="0.1"/>
    <x v="456"/>
    <x v="455"/>
    <x v="2"/>
  </r>
  <r>
    <x v="459"/>
    <s v="2025-04-15"/>
    <x v="9"/>
    <x v="310"/>
    <x v="293"/>
    <x v="1"/>
    <x v="0"/>
    <x v="3"/>
    <n v="4"/>
    <n v="222.86"/>
    <n v="0"/>
    <x v="457"/>
    <x v="456"/>
    <x v="1"/>
  </r>
  <r>
    <x v="460"/>
    <s v="2025-12-28"/>
    <x v="3"/>
    <x v="271"/>
    <x v="218"/>
    <x v="2"/>
    <x v="1"/>
    <x v="8"/>
    <n v="5"/>
    <n v="172.35"/>
    <n v="0.05"/>
    <x v="458"/>
    <x v="457"/>
    <x v="1"/>
  </r>
  <r>
    <x v="461"/>
    <s v="2025-03-14"/>
    <x v="7"/>
    <x v="311"/>
    <x v="122"/>
    <x v="2"/>
    <x v="1"/>
    <x v="10"/>
    <n v="2"/>
    <n v="36.19"/>
    <n v="0"/>
    <x v="459"/>
    <x v="225"/>
    <x v="1"/>
  </r>
  <r>
    <x v="462"/>
    <s v="2025-10-30"/>
    <x v="6"/>
    <x v="312"/>
    <x v="294"/>
    <x v="3"/>
    <x v="0"/>
    <x v="3"/>
    <n v="6"/>
    <n v="31.84"/>
    <n v="0.1"/>
    <x v="460"/>
    <x v="458"/>
    <x v="0"/>
  </r>
  <r>
    <x v="463"/>
    <s v="2025-06-30"/>
    <x v="2"/>
    <x v="313"/>
    <x v="295"/>
    <x v="0"/>
    <x v="0"/>
    <x v="7"/>
    <n v="3"/>
    <n v="195.99"/>
    <n v="0.1"/>
    <x v="461"/>
    <x v="459"/>
    <x v="0"/>
  </r>
  <r>
    <x v="464"/>
    <s v="2025-01-02"/>
    <x v="5"/>
    <x v="314"/>
    <x v="296"/>
    <x v="4"/>
    <x v="2"/>
    <x v="5"/>
    <n v="2"/>
    <n v="38.299999999999997"/>
    <n v="0.15"/>
    <x v="462"/>
    <x v="460"/>
    <x v="1"/>
  </r>
  <r>
    <x v="465"/>
    <s v="2025-05-31"/>
    <x v="11"/>
    <x v="124"/>
    <x v="289"/>
    <x v="0"/>
    <x v="3"/>
    <x v="12"/>
    <n v="7"/>
    <n v="128.05000000000001"/>
    <n v="0.1"/>
    <x v="463"/>
    <x v="461"/>
    <x v="2"/>
  </r>
  <r>
    <x v="466"/>
    <s v="2025-09-04"/>
    <x v="1"/>
    <x v="315"/>
    <x v="126"/>
    <x v="4"/>
    <x v="1"/>
    <x v="1"/>
    <n v="4"/>
    <n v="88.48"/>
    <n v="0.05"/>
    <x v="464"/>
    <x v="462"/>
    <x v="1"/>
  </r>
  <r>
    <x v="467"/>
    <s v="2025-08-15"/>
    <x v="0"/>
    <x v="227"/>
    <x v="297"/>
    <x v="2"/>
    <x v="1"/>
    <x v="10"/>
    <n v="5"/>
    <n v="25.41"/>
    <n v="0"/>
    <x v="465"/>
    <x v="463"/>
    <x v="2"/>
  </r>
  <r>
    <x v="468"/>
    <s v="2025-10-31"/>
    <x v="6"/>
    <x v="186"/>
    <x v="31"/>
    <x v="3"/>
    <x v="1"/>
    <x v="8"/>
    <n v="8"/>
    <n v="173.68"/>
    <n v="0"/>
    <x v="466"/>
    <x v="464"/>
    <x v="2"/>
  </r>
  <r>
    <x v="469"/>
    <s v="2025-04-06"/>
    <x v="9"/>
    <x v="316"/>
    <x v="121"/>
    <x v="3"/>
    <x v="1"/>
    <x v="1"/>
    <n v="6"/>
    <n v="188.91"/>
    <n v="0.1"/>
    <x v="467"/>
    <x v="465"/>
    <x v="2"/>
  </r>
  <r>
    <x v="470"/>
    <s v="2025-05-05"/>
    <x v="11"/>
    <x v="291"/>
    <x v="298"/>
    <x v="4"/>
    <x v="2"/>
    <x v="4"/>
    <n v="2"/>
    <n v="213.06"/>
    <n v="0.15"/>
    <x v="468"/>
    <x v="466"/>
    <x v="2"/>
  </r>
  <r>
    <x v="471"/>
    <s v="2025-06-15"/>
    <x v="2"/>
    <x v="317"/>
    <x v="217"/>
    <x v="0"/>
    <x v="3"/>
    <x v="11"/>
    <n v="5"/>
    <n v="27.58"/>
    <n v="0.05"/>
    <x v="469"/>
    <x v="467"/>
    <x v="0"/>
  </r>
  <r>
    <x v="472"/>
    <s v="2025-08-02"/>
    <x v="0"/>
    <x v="318"/>
    <x v="83"/>
    <x v="2"/>
    <x v="1"/>
    <x v="1"/>
    <n v="3"/>
    <n v="116.81"/>
    <n v="0"/>
    <x v="470"/>
    <x v="468"/>
    <x v="2"/>
  </r>
  <r>
    <x v="473"/>
    <s v="2025-10-25"/>
    <x v="6"/>
    <x v="319"/>
    <x v="160"/>
    <x v="3"/>
    <x v="0"/>
    <x v="0"/>
    <n v="7"/>
    <n v="25.18"/>
    <n v="0.05"/>
    <x v="471"/>
    <x v="469"/>
    <x v="0"/>
  </r>
  <r>
    <x v="474"/>
    <s v="2025-04-07"/>
    <x v="9"/>
    <x v="320"/>
    <x v="299"/>
    <x v="4"/>
    <x v="0"/>
    <x v="3"/>
    <n v="4"/>
    <n v="132.6"/>
    <n v="0.05"/>
    <x v="472"/>
    <x v="470"/>
    <x v="2"/>
  </r>
  <r>
    <x v="475"/>
    <s v="2025-12-30"/>
    <x v="3"/>
    <x v="321"/>
    <x v="275"/>
    <x v="3"/>
    <x v="1"/>
    <x v="10"/>
    <n v="5"/>
    <n v="197.93"/>
    <n v="0.1"/>
    <x v="473"/>
    <x v="471"/>
    <x v="1"/>
  </r>
  <r>
    <x v="476"/>
    <s v="2025-04-25"/>
    <x v="9"/>
    <x v="217"/>
    <x v="175"/>
    <x v="1"/>
    <x v="3"/>
    <x v="12"/>
    <n v="2"/>
    <n v="166.4"/>
    <n v="0.15"/>
    <x v="474"/>
    <x v="472"/>
    <x v="2"/>
  </r>
  <r>
    <x v="477"/>
    <s v="2025-10-28"/>
    <x v="6"/>
    <x v="159"/>
    <x v="252"/>
    <x v="4"/>
    <x v="3"/>
    <x v="12"/>
    <n v="2"/>
    <n v="66.22"/>
    <n v="0.05"/>
    <x v="475"/>
    <x v="473"/>
    <x v="0"/>
  </r>
  <r>
    <x v="478"/>
    <s v="2025-04-14"/>
    <x v="9"/>
    <x v="313"/>
    <x v="205"/>
    <x v="2"/>
    <x v="3"/>
    <x v="11"/>
    <n v="8"/>
    <n v="159.03"/>
    <n v="0.15"/>
    <x v="476"/>
    <x v="474"/>
    <x v="2"/>
  </r>
  <r>
    <x v="479"/>
    <s v="2025-10-12"/>
    <x v="6"/>
    <x v="143"/>
    <x v="300"/>
    <x v="4"/>
    <x v="3"/>
    <x v="12"/>
    <n v="7"/>
    <n v="124.42"/>
    <n v="0.05"/>
    <x v="477"/>
    <x v="475"/>
    <x v="2"/>
  </r>
  <r>
    <x v="480"/>
    <s v="2025-08-28"/>
    <x v="0"/>
    <x v="35"/>
    <x v="196"/>
    <x v="2"/>
    <x v="2"/>
    <x v="6"/>
    <n v="6"/>
    <n v="18.899999999999999"/>
    <n v="0.1"/>
    <x v="478"/>
    <x v="476"/>
    <x v="0"/>
  </r>
  <r>
    <x v="481"/>
    <s v="2025-06-10"/>
    <x v="2"/>
    <x v="149"/>
    <x v="226"/>
    <x v="3"/>
    <x v="1"/>
    <x v="1"/>
    <n v="1"/>
    <n v="198.14"/>
    <n v="0.1"/>
    <x v="479"/>
    <x v="477"/>
    <x v="0"/>
  </r>
  <r>
    <x v="482"/>
    <s v="2025-06-03"/>
    <x v="2"/>
    <x v="322"/>
    <x v="70"/>
    <x v="4"/>
    <x v="0"/>
    <x v="0"/>
    <n v="3"/>
    <n v="62.33"/>
    <n v="0.05"/>
    <x v="480"/>
    <x v="478"/>
    <x v="1"/>
  </r>
  <r>
    <x v="483"/>
    <s v="2025-02-04"/>
    <x v="8"/>
    <x v="323"/>
    <x v="158"/>
    <x v="0"/>
    <x v="0"/>
    <x v="7"/>
    <n v="1"/>
    <n v="228.82"/>
    <n v="0.15"/>
    <x v="481"/>
    <x v="479"/>
    <x v="0"/>
  </r>
  <r>
    <x v="484"/>
    <s v="2025-04-12"/>
    <x v="9"/>
    <x v="180"/>
    <x v="117"/>
    <x v="0"/>
    <x v="3"/>
    <x v="9"/>
    <n v="7"/>
    <n v="34.01"/>
    <n v="0"/>
    <x v="482"/>
    <x v="480"/>
    <x v="1"/>
  </r>
  <r>
    <x v="485"/>
    <s v="2025-07-06"/>
    <x v="4"/>
    <x v="314"/>
    <x v="67"/>
    <x v="0"/>
    <x v="1"/>
    <x v="1"/>
    <n v="3"/>
    <n v="202.12"/>
    <n v="0.1"/>
    <x v="483"/>
    <x v="481"/>
    <x v="0"/>
  </r>
  <r>
    <x v="486"/>
    <s v="2025-06-21"/>
    <x v="2"/>
    <x v="324"/>
    <x v="301"/>
    <x v="0"/>
    <x v="1"/>
    <x v="1"/>
    <n v="6"/>
    <n v="198.1"/>
    <n v="0.1"/>
    <x v="484"/>
    <x v="482"/>
    <x v="0"/>
  </r>
  <r>
    <x v="487"/>
    <s v="2025-02-16"/>
    <x v="8"/>
    <x v="254"/>
    <x v="152"/>
    <x v="1"/>
    <x v="3"/>
    <x v="11"/>
    <n v="4"/>
    <n v="116.13"/>
    <n v="0"/>
    <x v="485"/>
    <x v="483"/>
    <x v="1"/>
  </r>
  <r>
    <x v="488"/>
    <s v="2025-09-21"/>
    <x v="1"/>
    <x v="320"/>
    <x v="133"/>
    <x v="3"/>
    <x v="2"/>
    <x v="5"/>
    <n v="2"/>
    <n v="28.53"/>
    <n v="0.1"/>
    <x v="486"/>
    <x v="484"/>
    <x v="1"/>
  </r>
  <r>
    <x v="489"/>
    <s v="2025-10-17"/>
    <x v="6"/>
    <x v="247"/>
    <x v="142"/>
    <x v="1"/>
    <x v="1"/>
    <x v="10"/>
    <n v="6"/>
    <n v="229.3"/>
    <n v="0"/>
    <x v="487"/>
    <x v="485"/>
    <x v="2"/>
  </r>
  <r>
    <x v="490"/>
    <s v="2025-09-19"/>
    <x v="1"/>
    <x v="44"/>
    <x v="302"/>
    <x v="3"/>
    <x v="0"/>
    <x v="3"/>
    <n v="6"/>
    <n v="125.67"/>
    <n v="0.05"/>
    <x v="488"/>
    <x v="486"/>
    <x v="1"/>
  </r>
  <r>
    <x v="491"/>
    <s v="2025-01-14"/>
    <x v="5"/>
    <x v="34"/>
    <x v="45"/>
    <x v="4"/>
    <x v="3"/>
    <x v="12"/>
    <n v="4"/>
    <n v="116.04"/>
    <n v="0.15"/>
    <x v="489"/>
    <x v="487"/>
    <x v="2"/>
  </r>
  <r>
    <x v="492"/>
    <s v="2025-05-15"/>
    <x v="11"/>
    <x v="325"/>
    <x v="303"/>
    <x v="4"/>
    <x v="2"/>
    <x v="2"/>
    <n v="6"/>
    <n v="22.69"/>
    <n v="0.15"/>
    <x v="490"/>
    <x v="488"/>
    <x v="0"/>
  </r>
  <r>
    <x v="493"/>
    <s v="2025-04-18"/>
    <x v="9"/>
    <x v="187"/>
    <x v="143"/>
    <x v="1"/>
    <x v="1"/>
    <x v="10"/>
    <n v="6"/>
    <n v="187.1"/>
    <n v="0.1"/>
    <x v="491"/>
    <x v="489"/>
    <x v="1"/>
  </r>
  <r>
    <x v="494"/>
    <s v="2025-02-04"/>
    <x v="8"/>
    <x v="230"/>
    <x v="304"/>
    <x v="1"/>
    <x v="1"/>
    <x v="10"/>
    <n v="5"/>
    <n v="23.37"/>
    <n v="0.05"/>
    <x v="492"/>
    <x v="490"/>
    <x v="1"/>
  </r>
  <r>
    <x v="495"/>
    <s v="2025-06-29"/>
    <x v="2"/>
    <x v="260"/>
    <x v="96"/>
    <x v="2"/>
    <x v="1"/>
    <x v="1"/>
    <n v="3"/>
    <n v="107.1"/>
    <n v="0.05"/>
    <x v="493"/>
    <x v="491"/>
    <x v="2"/>
  </r>
  <r>
    <x v="496"/>
    <s v="2025-08-10"/>
    <x v="0"/>
    <x v="326"/>
    <x v="305"/>
    <x v="3"/>
    <x v="0"/>
    <x v="3"/>
    <n v="5"/>
    <n v="125.26"/>
    <n v="0.1"/>
    <x v="494"/>
    <x v="492"/>
    <x v="1"/>
  </r>
  <r>
    <x v="497"/>
    <s v="2025-12-05"/>
    <x v="3"/>
    <x v="327"/>
    <x v="60"/>
    <x v="4"/>
    <x v="3"/>
    <x v="12"/>
    <n v="6"/>
    <n v="57.99"/>
    <n v="0.15"/>
    <x v="495"/>
    <x v="493"/>
    <x v="2"/>
  </r>
  <r>
    <x v="498"/>
    <s v="2025-02-13"/>
    <x v="8"/>
    <x v="11"/>
    <x v="72"/>
    <x v="0"/>
    <x v="1"/>
    <x v="8"/>
    <n v="6"/>
    <n v="45.5"/>
    <n v="0.05"/>
    <x v="496"/>
    <x v="494"/>
    <x v="1"/>
  </r>
  <r>
    <x v="499"/>
    <s v="2025-06-01"/>
    <x v="2"/>
    <x v="11"/>
    <x v="306"/>
    <x v="4"/>
    <x v="0"/>
    <x v="7"/>
    <n v="8"/>
    <n v="36.46"/>
    <n v="0"/>
    <x v="497"/>
    <x v="495"/>
    <x v="0"/>
  </r>
  <r>
    <x v="500"/>
    <s v="2025-07-04"/>
    <x v="4"/>
    <x v="328"/>
    <x v="307"/>
    <x v="1"/>
    <x v="2"/>
    <x v="6"/>
    <n v="6"/>
    <n v="140.18"/>
    <n v="0.1"/>
    <x v="498"/>
    <x v="496"/>
    <x v="1"/>
  </r>
  <r>
    <x v="501"/>
    <s v="2025-04-02"/>
    <x v="9"/>
    <x v="263"/>
    <x v="308"/>
    <x v="1"/>
    <x v="2"/>
    <x v="4"/>
    <n v="8"/>
    <n v="124.97"/>
    <n v="0"/>
    <x v="499"/>
    <x v="497"/>
    <x v="1"/>
  </r>
  <r>
    <x v="502"/>
    <s v="2025-12-16"/>
    <x v="3"/>
    <x v="201"/>
    <x v="309"/>
    <x v="0"/>
    <x v="2"/>
    <x v="4"/>
    <n v="7"/>
    <n v="224.56"/>
    <n v="0"/>
    <x v="500"/>
    <x v="498"/>
    <x v="2"/>
  </r>
  <r>
    <x v="503"/>
    <s v="2025-07-22"/>
    <x v="4"/>
    <x v="318"/>
    <x v="310"/>
    <x v="4"/>
    <x v="3"/>
    <x v="12"/>
    <n v="5"/>
    <n v="46"/>
    <n v="0.1"/>
    <x v="501"/>
    <x v="319"/>
    <x v="0"/>
  </r>
  <r>
    <x v="504"/>
    <s v="2025-06-09"/>
    <x v="2"/>
    <x v="82"/>
    <x v="34"/>
    <x v="4"/>
    <x v="0"/>
    <x v="7"/>
    <n v="8"/>
    <n v="93.74"/>
    <n v="0.15"/>
    <x v="502"/>
    <x v="499"/>
    <x v="0"/>
  </r>
  <r>
    <x v="505"/>
    <s v="2025-09-28"/>
    <x v="1"/>
    <x v="291"/>
    <x v="95"/>
    <x v="1"/>
    <x v="3"/>
    <x v="12"/>
    <n v="2"/>
    <n v="138.15"/>
    <n v="0.15"/>
    <x v="503"/>
    <x v="500"/>
    <x v="1"/>
  </r>
  <r>
    <x v="506"/>
    <s v="2025-08-25"/>
    <x v="0"/>
    <x v="255"/>
    <x v="185"/>
    <x v="0"/>
    <x v="2"/>
    <x v="4"/>
    <n v="7"/>
    <n v="91.64"/>
    <n v="0.05"/>
    <x v="504"/>
    <x v="501"/>
    <x v="0"/>
  </r>
  <r>
    <x v="507"/>
    <s v="2025-06-13"/>
    <x v="2"/>
    <x v="329"/>
    <x v="2"/>
    <x v="0"/>
    <x v="2"/>
    <x v="2"/>
    <n v="8"/>
    <n v="180.08"/>
    <n v="0.15"/>
    <x v="505"/>
    <x v="502"/>
    <x v="1"/>
  </r>
  <r>
    <x v="508"/>
    <s v="2025-05-17"/>
    <x v="11"/>
    <x v="69"/>
    <x v="311"/>
    <x v="1"/>
    <x v="0"/>
    <x v="7"/>
    <n v="5"/>
    <n v="232.71"/>
    <n v="0"/>
    <x v="506"/>
    <x v="503"/>
    <x v="0"/>
  </r>
  <r>
    <x v="509"/>
    <s v="2025-10-22"/>
    <x v="6"/>
    <x v="220"/>
    <x v="312"/>
    <x v="2"/>
    <x v="2"/>
    <x v="6"/>
    <n v="6"/>
    <n v="38.53"/>
    <n v="0.05"/>
    <x v="507"/>
    <x v="504"/>
    <x v="1"/>
  </r>
  <r>
    <x v="510"/>
    <s v="2025-10-06"/>
    <x v="6"/>
    <x v="55"/>
    <x v="313"/>
    <x v="0"/>
    <x v="2"/>
    <x v="4"/>
    <n v="6"/>
    <n v="180.21"/>
    <n v="0.05"/>
    <x v="508"/>
    <x v="505"/>
    <x v="0"/>
  </r>
  <r>
    <x v="511"/>
    <s v="2025-09-11"/>
    <x v="1"/>
    <x v="130"/>
    <x v="232"/>
    <x v="0"/>
    <x v="2"/>
    <x v="6"/>
    <n v="3"/>
    <n v="154.97999999999999"/>
    <n v="0.1"/>
    <x v="509"/>
    <x v="506"/>
    <x v="0"/>
  </r>
  <r>
    <x v="512"/>
    <s v="2025-06-23"/>
    <x v="2"/>
    <x v="330"/>
    <x v="303"/>
    <x v="4"/>
    <x v="3"/>
    <x v="11"/>
    <n v="3"/>
    <n v="145.43"/>
    <n v="0.15"/>
    <x v="510"/>
    <x v="91"/>
    <x v="0"/>
  </r>
  <r>
    <x v="513"/>
    <s v="2025-03-29"/>
    <x v="7"/>
    <x v="110"/>
    <x v="314"/>
    <x v="1"/>
    <x v="2"/>
    <x v="4"/>
    <n v="2"/>
    <n v="86.84"/>
    <n v="0"/>
    <x v="511"/>
    <x v="507"/>
    <x v="2"/>
  </r>
  <r>
    <x v="514"/>
    <s v="2025-01-19"/>
    <x v="5"/>
    <x v="41"/>
    <x v="315"/>
    <x v="2"/>
    <x v="1"/>
    <x v="8"/>
    <n v="7"/>
    <n v="175.86"/>
    <n v="0"/>
    <x v="512"/>
    <x v="508"/>
    <x v="2"/>
  </r>
  <r>
    <x v="515"/>
    <s v="2025-11-02"/>
    <x v="10"/>
    <x v="113"/>
    <x v="316"/>
    <x v="4"/>
    <x v="0"/>
    <x v="7"/>
    <n v="8"/>
    <n v="84.11"/>
    <n v="0.1"/>
    <x v="513"/>
    <x v="509"/>
    <x v="1"/>
  </r>
  <r>
    <x v="516"/>
    <s v="2025-02-08"/>
    <x v="8"/>
    <x v="155"/>
    <x v="117"/>
    <x v="1"/>
    <x v="3"/>
    <x v="9"/>
    <n v="4"/>
    <n v="116.36"/>
    <n v="0.1"/>
    <x v="514"/>
    <x v="510"/>
    <x v="1"/>
  </r>
  <r>
    <x v="517"/>
    <s v="2025-03-05"/>
    <x v="7"/>
    <x v="91"/>
    <x v="282"/>
    <x v="0"/>
    <x v="0"/>
    <x v="3"/>
    <n v="8"/>
    <n v="210.77"/>
    <n v="0.1"/>
    <x v="515"/>
    <x v="511"/>
    <x v="0"/>
  </r>
  <r>
    <x v="518"/>
    <s v="2025-03-30"/>
    <x v="7"/>
    <x v="109"/>
    <x v="44"/>
    <x v="0"/>
    <x v="3"/>
    <x v="12"/>
    <n v="1"/>
    <n v="47.6"/>
    <n v="0.15"/>
    <x v="516"/>
    <x v="512"/>
    <x v="2"/>
  </r>
  <r>
    <x v="519"/>
    <s v="2025-04-27"/>
    <x v="9"/>
    <x v="331"/>
    <x v="252"/>
    <x v="3"/>
    <x v="3"/>
    <x v="12"/>
    <n v="8"/>
    <n v="68.41"/>
    <n v="0.1"/>
    <x v="517"/>
    <x v="513"/>
    <x v="0"/>
  </r>
  <r>
    <x v="520"/>
    <s v="2025-02-15"/>
    <x v="8"/>
    <x v="12"/>
    <x v="317"/>
    <x v="1"/>
    <x v="0"/>
    <x v="3"/>
    <n v="5"/>
    <n v="157.01"/>
    <n v="0.15"/>
    <x v="518"/>
    <x v="514"/>
    <x v="2"/>
  </r>
  <r>
    <x v="521"/>
    <s v="2025-02-16"/>
    <x v="8"/>
    <x v="214"/>
    <x v="172"/>
    <x v="1"/>
    <x v="1"/>
    <x v="8"/>
    <n v="4"/>
    <n v="103.13"/>
    <n v="0.1"/>
    <x v="519"/>
    <x v="515"/>
    <x v="2"/>
  </r>
  <r>
    <x v="522"/>
    <s v="2025-02-19"/>
    <x v="8"/>
    <x v="3"/>
    <x v="112"/>
    <x v="1"/>
    <x v="1"/>
    <x v="8"/>
    <n v="2"/>
    <n v="238.01"/>
    <n v="0"/>
    <x v="520"/>
    <x v="516"/>
    <x v="2"/>
  </r>
  <r>
    <x v="523"/>
    <s v="2025-04-06"/>
    <x v="9"/>
    <x v="128"/>
    <x v="318"/>
    <x v="2"/>
    <x v="1"/>
    <x v="8"/>
    <n v="2"/>
    <n v="146.03"/>
    <n v="0.05"/>
    <x v="521"/>
    <x v="517"/>
    <x v="0"/>
  </r>
  <r>
    <x v="524"/>
    <s v="2025-08-27"/>
    <x v="0"/>
    <x v="8"/>
    <x v="319"/>
    <x v="2"/>
    <x v="3"/>
    <x v="11"/>
    <n v="3"/>
    <n v="120.06"/>
    <n v="0.15"/>
    <x v="522"/>
    <x v="518"/>
    <x v="1"/>
  </r>
  <r>
    <x v="525"/>
    <s v="2025-12-25"/>
    <x v="3"/>
    <x v="63"/>
    <x v="320"/>
    <x v="0"/>
    <x v="2"/>
    <x v="6"/>
    <n v="3"/>
    <n v="53.27"/>
    <n v="0.15"/>
    <x v="523"/>
    <x v="519"/>
    <x v="1"/>
  </r>
  <r>
    <x v="526"/>
    <s v="2025-01-13"/>
    <x v="5"/>
    <x v="332"/>
    <x v="140"/>
    <x v="4"/>
    <x v="3"/>
    <x v="12"/>
    <n v="6"/>
    <n v="77.47"/>
    <n v="0.05"/>
    <x v="524"/>
    <x v="520"/>
    <x v="2"/>
  </r>
  <r>
    <x v="527"/>
    <s v="2025-06-16"/>
    <x v="2"/>
    <x v="113"/>
    <x v="321"/>
    <x v="2"/>
    <x v="3"/>
    <x v="12"/>
    <n v="3"/>
    <n v="222.49"/>
    <n v="0.15"/>
    <x v="525"/>
    <x v="521"/>
    <x v="1"/>
  </r>
  <r>
    <x v="528"/>
    <s v="2025-03-29"/>
    <x v="7"/>
    <x v="333"/>
    <x v="285"/>
    <x v="3"/>
    <x v="2"/>
    <x v="6"/>
    <n v="7"/>
    <n v="55.03"/>
    <n v="0.1"/>
    <x v="526"/>
    <x v="522"/>
    <x v="0"/>
  </r>
  <r>
    <x v="529"/>
    <s v="2025-07-26"/>
    <x v="4"/>
    <x v="123"/>
    <x v="275"/>
    <x v="2"/>
    <x v="2"/>
    <x v="2"/>
    <n v="6"/>
    <n v="37.450000000000003"/>
    <n v="0.1"/>
    <x v="527"/>
    <x v="523"/>
    <x v="1"/>
  </r>
  <r>
    <x v="530"/>
    <s v="2025-01-21"/>
    <x v="5"/>
    <x v="7"/>
    <x v="160"/>
    <x v="1"/>
    <x v="2"/>
    <x v="6"/>
    <n v="2"/>
    <n v="29.39"/>
    <n v="0"/>
    <x v="528"/>
    <x v="524"/>
    <x v="2"/>
  </r>
  <r>
    <x v="531"/>
    <s v="2025-07-21"/>
    <x v="4"/>
    <x v="334"/>
    <x v="319"/>
    <x v="1"/>
    <x v="3"/>
    <x v="9"/>
    <n v="1"/>
    <n v="136.84"/>
    <n v="0.15"/>
    <x v="529"/>
    <x v="525"/>
    <x v="1"/>
  </r>
  <r>
    <x v="532"/>
    <s v="2025-07-27"/>
    <x v="4"/>
    <x v="335"/>
    <x v="322"/>
    <x v="4"/>
    <x v="2"/>
    <x v="4"/>
    <n v="5"/>
    <n v="26.04"/>
    <n v="0.1"/>
    <x v="530"/>
    <x v="526"/>
    <x v="0"/>
  </r>
  <r>
    <x v="533"/>
    <s v="2025-12-18"/>
    <x v="3"/>
    <x v="336"/>
    <x v="241"/>
    <x v="0"/>
    <x v="2"/>
    <x v="6"/>
    <n v="1"/>
    <n v="48.74"/>
    <n v="0.05"/>
    <x v="531"/>
    <x v="527"/>
    <x v="2"/>
  </r>
  <r>
    <x v="534"/>
    <s v="2025-09-28"/>
    <x v="1"/>
    <x v="337"/>
    <x v="323"/>
    <x v="1"/>
    <x v="0"/>
    <x v="0"/>
    <n v="2"/>
    <n v="23.06"/>
    <n v="0.15"/>
    <x v="532"/>
    <x v="528"/>
    <x v="2"/>
  </r>
  <r>
    <x v="535"/>
    <s v="2025-11-05"/>
    <x v="10"/>
    <x v="44"/>
    <x v="324"/>
    <x v="2"/>
    <x v="2"/>
    <x v="5"/>
    <n v="6"/>
    <n v="161.49"/>
    <n v="0.15"/>
    <x v="533"/>
    <x v="529"/>
    <x v="0"/>
  </r>
  <r>
    <x v="536"/>
    <s v="2025-10-20"/>
    <x v="6"/>
    <x v="338"/>
    <x v="325"/>
    <x v="1"/>
    <x v="1"/>
    <x v="10"/>
    <n v="2"/>
    <n v="142.88999999999999"/>
    <n v="0"/>
    <x v="534"/>
    <x v="530"/>
    <x v="0"/>
  </r>
  <r>
    <x v="537"/>
    <s v="2025-06-03"/>
    <x v="2"/>
    <x v="339"/>
    <x v="69"/>
    <x v="1"/>
    <x v="1"/>
    <x v="1"/>
    <n v="3"/>
    <n v="69.680000000000007"/>
    <n v="0"/>
    <x v="535"/>
    <x v="531"/>
    <x v="1"/>
  </r>
  <r>
    <x v="538"/>
    <s v="2025-04-18"/>
    <x v="9"/>
    <x v="41"/>
    <x v="288"/>
    <x v="0"/>
    <x v="1"/>
    <x v="8"/>
    <n v="7"/>
    <n v="169.24"/>
    <n v="0.05"/>
    <x v="536"/>
    <x v="532"/>
    <x v="0"/>
  </r>
  <r>
    <x v="539"/>
    <s v="2025-05-30"/>
    <x v="11"/>
    <x v="340"/>
    <x v="167"/>
    <x v="2"/>
    <x v="2"/>
    <x v="4"/>
    <n v="3"/>
    <n v="227.63"/>
    <n v="0.05"/>
    <x v="537"/>
    <x v="533"/>
    <x v="1"/>
  </r>
  <r>
    <x v="540"/>
    <s v="2025-11-28"/>
    <x v="10"/>
    <x v="341"/>
    <x v="88"/>
    <x v="3"/>
    <x v="0"/>
    <x v="0"/>
    <n v="7"/>
    <n v="109.43"/>
    <n v="0.15"/>
    <x v="538"/>
    <x v="534"/>
    <x v="0"/>
  </r>
  <r>
    <x v="541"/>
    <s v="2025-05-29"/>
    <x v="11"/>
    <x v="37"/>
    <x v="180"/>
    <x v="0"/>
    <x v="1"/>
    <x v="10"/>
    <n v="1"/>
    <n v="210.76"/>
    <n v="0.15"/>
    <x v="539"/>
    <x v="535"/>
    <x v="2"/>
  </r>
  <r>
    <x v="542"/>
    <s v="2025-03-22"/>
    <x v="7"/>
    <x v="266"/>
    <x v="326"/>
    <x v="4"/>
    <x v="1"/>
    <x v="8"/>
    <n v="2"/>
    <n v="85.51"/>
    <n v="0.15"/>
    <x v="540"/>
    <x v="536"/>
    <x v="0"/>
  </r>
  <r>
    <x v="543"/>
    <s v="2025-11-17"/>
    <x v="10"/>
    <x v="58"/>
    <x v="187"/>
    <x v="2"/>
    <x v="1"/>
    <x v="10"/>
    <n v="8"/>
    <n v="190.87"/>
    <n v="0.15"/>
    <x v="541"/>
    <x v="537"/>
    <x v="2"/>
  </r>
  <r>
    <x v="544"/>
    <s v="2025-12-15"/>
    <x v="3"/>
    <x v="342"/>
    <x v="136"/>
    <x v="2"/>
    <x v="3"/>
    <x v="12"/>
    <n v="3"/>
    <n v="40.22"/>
    <n v="0.05"/>
    <x v="542"/>
    <x v="538"/>
    <x v="2"/>
  </r>
  <r>
    <x v="545"/>
    <s v="2025-08-22"/>
    <x v="0"/>
    <x v="23"/>
    <x v="327"/>
    <x v="2"/>
    <x v="2"/>
    <x v="6"/>
    <n v="5"/>
    <n v="203.69"/>
    <n v="0.15"/>
    <x v="543"/>
    <x v="539"/>
    <x v="0"/>
  </r>
  <r>
    <x v="546"/>
    <s v="2025-04-22"/>
    <x v="9"/>
    <x v="33"/>
    <x v="41"/>
    <x v="0"/>
    <x v="0"/>
    <x v="3"/>
    <n v="5"/>
    <n v="215.59"/>
    <n v="0.05"/>
    <x v="544"/>
    <x v="540"/>
    <x v="1"/>
  </r>
  <r>
    <x v="547"/>
    <s v="2025-03-03"/>
    <x v="7"/>
    <x v="83"/>
    <x v="169"/>
    <x v="1"/>
    <x v="2"/>
    <x v="6"/>
    <n v="4"/>
    <n v="57.68"/>
    <n v="0.05"/>
    <x v="545"/>
    <x v="541"/>
    <x v="2"/>
  </r>
  <r>
    <x v="548"/>
    <s v="2025-03-22"/>
    <x v="7"/>
    <x v="343"/>
    <x v="63"/>
    <x v="4"/>
    <x v="3"/>
    <x v="11"/>
    <n v="6"/>
    <n v="125.4"/>
    <n v="0.1"/>
    <x v="546"/>
    <x v="542"/>
    <x v="2"/>
  </r>
  <r>
    <x v="549"/>
    <s v="2025-05-15"/>
    <x v="11"/>
    <x v="60"/>
    <x v="267"/>
    <x v="4"/>
    <x v="3"/>
    <x v="9"/>
    <n v="8"/>
    <n v="23.96"/>
    <n v="0.15"/>
    <x v="547"/>
    <x v="543"/>
    <x v="2"/>
  </r>
  <r>
    <x v="550"/>
    <s v="2025-04-24"/>
    <x v="9"/>
    <x v="344"/>
    <x v="123"/>
    <x v="0"/>
    <x v="2"/>
    <x v="5"/>
    <n v="5"/>
    <n v="115.4"/>
    <n v="0.1"/>
    <x v="548"/>
    <x v="544"/>
    <x v="2"/>
  </r>
  <r>
    <x v="551"/>
    <s v="2025-03-30"/>
    <x v="7"/>
    <x v="43"/>
    <x v="328"/>
    <x v="3"/>
    <x v="1"/>
    <x v="8"/>
    <n v="6"/>
    <n v="154.36000000000001"/>
    <n v="0.05"/>
    <x v="549"/>
    <x v="545"/>
    <x v="1"/>
  </r>
  <r>
    <x v="552"/>
    <s v="2025-10-24"/>
    <x v="6"/>
    <x v="242"/>
    <x v="107"/>
    <x v="4"/>
    <x v="2"/>
    <x v="2"/>
    <n v="2"/>
    <n v="147.29"/>
    <n v="0.05"/>
    <x v="550"/>
    <x v="546"/>
    <x v="0"/>
  </r>
  <r>
    <x v="553"/>
    <s v="2025-07-05"/>
    <x v="4"/>
    <x v="301"/>
    <x v="318"/>
    <x v="3"/>
    <x v="3"/>
    <x v="9"/>
    <n v="8"/>
    <n v="179.96"/>
    <n v="0.15"/>
    <x v="551"/>
    <x v="547"/>
    <x v="1"/>
  </r>
  <r>
    <x v="554"/>
    <s v="2025-10-18"/>
    <x v="6"/>
    <x v="345"/>
    <x v="68"/>
    <x v="2"/>
    <x v="3"/>
    <x v="12"/>
    <n v="3"/>
    <n v="56.46"/>
    <n v="0.15"/>
    <x v="552"/>
    <x v="548"/>
    <x v="1"/>
  </r>
  <r>
    <x v="555"/>
    <s v="2025-12-22"/>
    <x v="3"/>
    <x v="283"/>
    <x v="96"/>
    <x v="0"/>
    <x v="2"/>
    <x v="4"/>
    <n v="5"/>
    <n v="43.08"/>
    <n v="0.15"/>
    <x v="553"/>
    <x v="549"/>
    <x v="0"/>
  </r>
  <r>
    <x v="556"/>
    <s v="2025-02-23"/>
    <x v="8"/>
    <x v="346"/>
    <x v="26"/>
    <x v="4"/>
    <x v="2"/>
    <x v="4"/>
    <n v="7"/>
    <n v="208.05"/>
    <n v="0"/>
    <x v="554"/>
    <x v="550"/>
    <x v="1"/>
  </r>
  <r>
    <x v="557"/>
    <s v="2025-12-27"/>
    <x v="3"/>
    <x v="347"/>
    <x v="133"/>
    <x v="2"/>
    <x v="0"/>
    <x v="7"/>
    <n v="5"/>
    <n v="59.98"/>
    <n v="0.05"/>
    <x v="555"/>
    <x v="517"/>
    <x v="0"/>
  </r>
  <r>
    <x v="558"/>
    <s v="2025-08-11"/>
    <x v="0"/>
    <x v="223"/>
    <x v="329"/>
    <x v="4"/>
    <x v="0"/>
    <x v="7"/>
    <n v="5"/>
    <n v="99.89"/>
    <n v="0"/>
    <x v="556"/>
    <x v="551"/>
    <x v="1"/>
  </r>
  <r>
    <x v="559"/>
    <s v="2025-10-22"/>
    <x v="6"/>
    <x v="114"/>
    <x v="330"/>
    <x v="0"/>
    <x v="1"/>
    <x v="1"/>
    <n v="7"/>
    <n v="175.4"/>
    <n v="0.1"/>
    <x v="557"/>
    <x v="552"/>
    <x v="1"/>
  </r>
  <r>
    <x v="560"/>
    <s v="2025-06-22"/>
    <x v="2"/>
    <x v="348"/>
    <x v="331"/>
    <x v="1"/>
    <x v="0"/>
    <x v="7"/>
    <n v="3"/>
    <n v="231.53"/>
    <n v="0"/>
    <x v="558"/>
    <x v="553"/>
    <x v="2"/>
  </r>
  <r>
    <x v="561"/>
    <s v="2025-10-29"/>
    <x v="6"/>
    <x v="270"/>
    <x v="332"/>
    <x v="4"/>
    <x v="1"/>
    <x v="8"/>
    <n v="2"/>
    <n v="148.91999999999999"/>
    <n v="0.1"/>
    <x v="559"/>
    <x v="554"/>
    <x v="2"/>
  </r>
  <r>
    <x v="562"/>
    <s v="2025-06-20"/>
    <x v="2"/>
    <x v="349"/>
    <x v="189"/>
    <x v="1"/>
    <x v="2"/>
    <x v="5"/>
    <n v="7"/>
    <n v="129.4"/>
    <n v="0.15"/>
    <x v="560"/>
    <x v="555"/>
    <x v="2"/>
  </r>
  <r>
    <x v="563"/>
    <s v="2025-02-11"/>
    <x v="8"/>
    <x v="307"/>
    <x v="333"/>
    <x v="1"/>
    <x v="2"/>
    <x v="6"/>
    <n v="3"/>
    <n v="210.95"/>
    <n v="0.15"/>
    <x v="561"/>
    <x v="556"/>
    <x v="1"/>
  </r>
  <r>
    <x v="564"/>
    <s v="2025-04-25"/>
    <x v="9"/>
    <x v="110"/>
    <x v="242"/>
    <x v="4"/>
    <x v="0"/>
    <x v="7"/>
    <n v="6"/>
    <n v="92.4"/>
    <n v="0.15"/>
    <x v="562"/>
    <x v="557"/>
    <x v="2"/>
  </r>
  <r>
    <x v="565"/>
    <s v="2025-09-30"/>
    <x v="1"/>
    <x v="235"/>
    <x v="330"/>
    <x v="4"/>
    <x v="1"/>
    <x v="8"/>
    <n v="1"/>
    <n v="220.5"/>
    <n v="0.1"/>
    <x v="563"/>
    <x v="558"/>
    <x v="1"/>
  </r>
  <r>
    <x v="566"/>
    <s v="2025-06-13"/>
    <x v="2"/>
    <x v="205"/>
    <x v="253"/>
    <x v="0"/>
    <x v="1"/>
    <x v="1"/>
    <n v="5"/>
    <n v="205.03"/>
    <n v="0.15"/>
    <x v="564"/>
    <x v="559"/>
    <x v="1"/>
  </r>
  <r>
    <x v="567"/>
    <s v="2025-02-18"/>
    <x v="8"/>
    <x v="36"/>
    <x v="334"/>
    <x v="0"/>
    <x v="2"/>
    <x v="6"/>
    <n v="3"/>
    <n v="169.91"/>
    <n v="0.05"/>
    <x v="565"/>
    <x v="475"/>
    <x v="2"/>
  </r>
  <r>
    <x v="568"/>
    <s v="2025-09-30"/>
    <x v="1"/>
    <x v="350"/>
    <x v="146"/>
    <x v="2"/>
    <x v="2"/>
    <x v="2"/>
    <n v="6"/>
    <n v="194.86"/>
    <n v="0.1"/>
    <x v="566"/>
    <x v="560"/>
    <x v="0"/>
  </r>
  <r>
    <x v="569"/>
    <s v="2025-10-10"/>
    <x v="6"/>
    <x v="116"/>
    <x v="335"/>
    <x v="1"/>
    <x v="0"/>
    <x v="0"/>
    <n v="7"/>
    <n v="110.79"/>
    <n v="0.05"/>
    <x v="567"/>
    <x v="561"/>
    <x v="2"/>
  </r>
  <r>
    <x v="570"/>
    <s v="2025-08-18"/>
    <x v="0"/>
    <x v="351"/>
    <x v="213"/>
    <x v="3"/>
    <x v="1"/>
    <x v="1"/>
    <n v="8"/>
    <n v="196.26"/>
    <n v="0.1"/>
    <x v="568"/>
    <x v="562"/>
    <x v="2"/>
  </r>
  <r>
    <x v="571"/>
    <s v="2025-03-07"/>
    <x v="7"/>
    <x v="352"/>
    <x v="336"/>
    <x v="2"/>
    <x v="0"/>
    <x v="0"/>
    <n v="2"/>
    <n v="85.53"/>
    <n v="0.15"/>
    <x v="569"/>
    <x v="563"/>
    <x v="0"/>
  </r>
  <r>
    <x v="572"/>
    <s v="2025-06-17"/>
    <x v="2"/>
    <x v="247"/>
    <x v="203"/>
    <x v="2"/>
    <x v="3"/>
    <x v="9"/>
    <n v="3"/>
    <n v="59.72"/>
    <n v="0"/>
    <x v="570"/>
    <x v="564"/>
    <x v="1"/>
  </r>
  <r>
    <x v="573"/>
    <s v="2025-03-18"/>
    <x v="7"/>
    <x v="353"/>
    <x v="149"/>
    <x v="3"/>
    <x v="1"/>
    <x v="10"/>
    <n v="1"/>
    <n v="128.68"/>
    <n v="0.15"/>
    <x v="571"/>
    <x v="565"/>
    <x v="0"/>
  </r>
  <r>
    <x v="574"/>
    <s v="2025-05-26"/>
    <x v="11"/>
    <x v="354"/>
    <x v="337"/>
    <x v="3"/>
    <x v="2"/>
    <x v="5"/>
    <n v="2"/>
    <n v="88.84"/>
    <n v="0.15"/>
    <x v="572"/>
    <x v="566"/>
    <x v="1"/>
  </r>
  <r>
    <x v="575"/>
    <s v="2025-01-08"/>
    <x v="5"/>
    <x v="351"/>
    <x v="56"/>
    <x v="0"/>
    <x v="1"/>
    <x v="8"/>
    <n v="4"/>
    <n v="165.19"/>
    <n v="0.05"/>
    <x v="573"/>
    <x v="567"/>
    <x v="2"/>
  </r>
  <r>
    <x v="576"/>
    <s v="2025-12-06"/>
    <x v="3"/>
    <x v="74"/>
    <x v="306"/>
    <x v="2"/>
    <x v="3"/>
    <x v="11"/>
    <n v="6"/>
    <n v="71.239999999999995"/>
    <n v="0.15"/>
    <x v="574"/>
    <x v="568"/>
    <x v="0"/>
  </r>
  <r>
    <x v="577"/>
    <s v="2025-01-19"/>
    <x v="5"/>
    <x v="70"/>
    <x v="197"/>
    <x v="0"/>
    <x v="2"/>
    <x v="5"/>
    <n v="3"/>
    <n v="228.16"/>
    <n v="0"/>
    <x v="575"/>
    <x v="569"/>
    <x v="2"/>
  </r>
  <r>
    <x v="578"/>
    <s v="2025-09-11"/>
    <x v="1"/>
    <x v="200"/>
    <x v="31"/>
    <x v="4"/>
    <x v="1"/>
    <x v="8"/>
    <n v="2"/>
    <n v="238.86"/>
    <n v="0.1"/>
    <x v="576"/>
    <x v="570"/>
    <x v="0"/>
  </r>
  <r>
    <x v="579"/>
    <s v="2025-05-27"/>
    <x v="11"/>
    <x v="355"/>
    <x v="277"/>
    <x v="3"/>
    <x v="0"/>
    <x v="3"/>
    <n v="2"/>
    <n v="79.03"/>
    <n v="0.05"/>
    <x v="577"/>
    <x v="571"/>
    <x v="1"/>
  </r>
  <r>
    <x v="580"/>
    <s v="2025-08-26"/>
    <x v="0"/>
    <x v="356"/>
    <x v="338"/>
    <x v="3"/>
    <x v="0"/>
    <x v="3"/>
    <n v="4"/>
    <n v="101.1"/>
    <n v="0.15"/>
    <x v="578"/>
    <x v="572"/>
    <x v="2"/>
  </r>
  <r>
    <x v="581"/>
    <s v="2025-06-26"/>
    <x v="2"/>
    <x v="226"/>
    <x v="339"/>
    <x v="1"/>
    <x v="0"/>
    <x v="3"/>
    <n v="4"/>
    <n v="129.49"/>
    <n v="0.1"/>
    <x v="579"/>
    <x v="573"/>
    <x v="2"/>
  </r>
  <r>
    <x v="582"/>
    <s v="2025-06-16"/>
    <x v="2"/>
    <x v="73"/>
    <x v="340"/>
    <x v="2"/>
    <x v="2"/>
    <x v="4"/>
    <n v="1"/>
    <n v="194.06"/>
    <n v="0.15"/>
    <x v="580"/>
    <x v="574"/>
    <x v="1"/>
  </r>
  <r>
    <x v="583"/>
    <s v="2025-02-24"/>
    <x v="8"/>
    <x v="24"/>
    <x v="312"/>
    <x v="4"/>
    <x v="0"/>
    <x v="7"/>
    <n v="8"/>
    <n v="217.62"/>
    <n v="0.15"/>
    <x v="581"/>
    <x v="575"/>
    <x v="2"/>
  </r>
  <r>
    <x v="584"/>
    <s v="2025-03-13"/>
    <x v="7"/>
    <x v="274"/>
    <x v="341"/>
    <x v="4"/>
    <x v="0"/>
    <x v="7"/>
    <n v="3"/>
    <n v="96.1"/>
    <n v="0.15"/>
    <x v="582"/>
    <x v="576"/>
    <x v="0"/>
  </r>
  <r>
    <x v="585"/>
    <s v="2025-11-28"/>
    <x v="10"/>
    <x v="337"/>
    <x v="39"/>
    <x v="1"/>
    <x v="0"/>
    <x v="0"/>
    <n v="5"/>
    <n v="81.209999999999994"/>
    <n v="0"/>
    <x v="583"/>
    <x v="577"/>
    <x v="1"/>
  </r>
  <r>
    <x v="586"/>
    <s v="2025-04-24"/>
    <x v="9"/>
    <x v="251"/>
    <x v="342"/>
    <x v="2"/>
    <x v="1"/>
    <x v="8"/>
    <n v="4"/>
    <n v="226.88"/>
    <n v="0"/>
    <x v="584"/>
    <x v="578"/>
    <x v="2"/>
  </r>
  <r>
    <x v="587"/>
    <s v="2025-08-14"/>
    <x v="0"/>
    <x v="212"/>
    <x v="305"/>
    <x v="3"/>
    <x v="3"/>
    <x v="11"/>
    <n v="8"/>
    <n v="239.41"/>
    <n v="0.05"/>
    <x v="585"/>
    <x v="579"/>
    <x v="2"/>
  </r>
  <r>
    <x v="588"/>
    <s v="2025-01-12"/>
    <x v="5"/>
    <x v="276"/>
    <x v="222"/>
    <x v="4"/>
    <x v="1"/>
    <x v="10"/>
    <n v="7"/>
    <n v="124.73"/>
    <n v="0.15"/>
    <x v="586"/>
    <x v="580"/>
    <x v="2"/>
  </r>
  <r>
    <x v="589"/>
    <s v="2025-02-01"/>
    <x v="8"/>
    <x v="287"/>
    <x v="336"/>
    <x v="0"/>
    <x v="3"/>
    <x v="9"/>
    <n v="2"/>
    <n v="238.64"/>
    <n v="0.05"/>
    <x v="587"/>
    <x v="581"/>
    <x v="1"/>
  </r>
  <r>
    <x v="590"/>
    <s v="2025-05-19"/>
    <x v="11"/>
    <x v="28"/>
    <x v="317"/>
    <x v="4"/>
    <x v="0"/>
    <x v="0"/>
    <n v="3"/>
    <n v="67.75"/>
    <n v="0.05"/>
    <x v="588"/>
    <x v="582"/>
    <x v="0"/>
  </r>
  <r>
    <x v="591"/>
    <s v="2025-05-26"/>
    <x v="11"/>
    <x v="278"/>
    <x v="222"/>
    <x v="4"/>
    <x v="0"/>
    <x v="0"/>
    <n v="2"/>
    <n v="240.17"/>
    <n v="0.1"/>
    <x v="589"/>
    <x v="98"/>
    <x v="1"/>
  </r>
  <r>
    <x v="592"/>
    <s v="2025-01-10"/>
    <x v="5"/>
    <x v="324"/>
    <x v="343"/>
    <x v="4"/>
    <x v="1"/>
    <x v="1"/>
    <n v="1"/>
    <n v="39.06"/>
    <n v="0.05"/>
    <x v="590"/>
    <x v="583"/>
    <x v="1"/>
  </r>
  <r>
    <x v="593"/>
    <s v="2025-03-18"/>
    <x v="7"/>
    <x v="195"/>
    <x v="344"/>
    <x v="4"/>
    <x v="2"/>
    <x v="5"/>
    <n v="3"/>
    <n v="34.6"/>
    <n v="0.15"/>
    <x v="591"/>
    <x v="584"/>
    <x v="0"/>
  </r>
  <r>
    <x v="594"/>
    <s v="2025-12-08"/>
    <x v="3"/>
    <x v="357"/>
    <x v="193"/>
    <x v="1"/>
    <x v="1"/>
    <x v="8"/>
    <n v="4"/>
    <n v="180.65"/>
    <n v="0.15"/>
    <x v="592"/>
    <x v="585"/>
    <x v="1"/>
  </r>
  <r>
    <x v="595"/>
    <s v="2025-05-13"/>
    <x v="11"/>
    <x v="358"/>
    <x v="259"/>
    <x v="0"/>
    <x v="2"/>
    <x v="6"/>
    <n v="4"/>
    <n v="130.6"/>
    <n v="0.15"/>
    <x v="593"/>
    <x v="586"/>
    <x v="1"/>
  </r>
  <r>
    <x v="596"/>
    <s v="2025-10-04"/>
    <x v="6"/>
    <x v="145"/>
    <x v="216"/>
    <x v="1"/>
    <x v="2"/>
    <x v="5"/>
    <n v="4"/>
    <n v="24.79"/>
    <n v="0.1"/>
    <x v="594"/>
    <x v="587"/>
    <x v="2"/>
  </r>
  <r>
    <x v="597"/>
    <s v="2025-10-13"/>
    <x v="6"/>
    <x v="28"/>
    <x v="345"/>
    <x v="2"/>
    <x v="1"/>
    <x v="10"/>
    <n v="6"/>
    <n v="189.61"/>
    <n v="0.05"/>
    <x v="595"/>
    <x v="588"/>
    <x v="1"/>
  </r>
  <r>
    <x v="598"/>
    <s v="2025-05-11"/>
    <x v="11"/>
    <x v="293"/>
    <x v="206"/>
    <x v="3"/>
    <x v="3"/>
    <x v="11"/>
    <n v="6"/>
    <n v="157.13"/>
    <n v="0.15"/>
    <x v="596"/>
    <x v="589"/>
    <x v="1"/>
  </r>
  <r>
    <x v="599"/>
    <s v="2025-10-07"/>
    <x v="6"/>
    <x v="137"/>
    <x v="346"/>
    <x v="2"/>
    <x v="3"/>
    <x v="9"/>
    <n v="8"/>
    <n v="149.62"/>
    <n v="0.05"/>
    <x v="597"/>
    <x v="590"/>
    <x v="2"/>
  </r>
  <r>
    <x v="600"/>
    <s v="2025-10-21"/>
    <x v="6"/>
    <x v="106"/>
    <x v="341"/>
    <x v="1"/>
    <x v="0"/>
    <x v="7"/>
    <n v="2"/>
    <n v="59.97"/>
    <n v="0.1"/>
    <x v="598"/>
    <x v="591"/>
    <x v="0"/>
  </r>
  <r>
    <x v="601"/>
    <s v="2025-02-20"/>
    <x v="8"/>
    <x v="273"/>
    <x v="39"/>
    <x v="4"/>
    <x v="2"/>
    <x v="4"/>
    <n v="5"/>
    <n v="35.25"/>
    <n v="0.15"/>
    <x v="599"/>
    <x v="592"/>
    <x v="0"/>
  </r>
  <r>
    <x v="602"/>
    <s v="2025-01-11"/>
    <x v="5"/>
    <x v="350"/>
    <x v="347"/>
    <x v="2"/>
    <x v="1"/>
    <x v="1"/>
    <n v="2"/>
    <n v="143.91"/>
    <n v="0.1"/>
    <x v="600"/>
    <x v="593"/>
    <x v="0"/>
  </r>
  <r>
    <x v="603"/>
    <s v="2025-12-04"/>
    <x v="3"/>
    <x v="359"/>
    <x v="131"/>
    <x v="2"/>
    <x v="3"/>
    <x v="9"/>
    <n v="2"/>
    <n v="238.32"/>
    <n v="0.1"/>
    <x v="601"/>
    <x v="594"/>
    <x v="0"/>
  </r>
  <r>
    <x v="604"/>
    <s v="2025-04-16"/>
    <x v="9"/>
    <x v="156"/>
    <x v="259"/>
    <x v="1"/>
    <x v="3"/>
    <x v="11"/>
    <n v="3"/>
    <n v="50.38"/>
    <n v="0.05"/>
    <x v="602"/>
    <x v="595"/>
    <x v="2"/>
  </r>
  <r>
    <x v="605"/>
    <s v="2025-01-10"/>
    <x v="5"/>
    <x v="263"/>
    <x v="223"/>
    <x v="0"/>
    <x v="1"/>
    <x v="1"/>
    <n v="8"/>
    <n v="164.07"/>
    <n v="0.15"/>
    <x v="603"/>
    <x v="596"/>
    <x v="2"/>
  </r>
  <r>
    <x v="606"/>
    <s v="2025-08-28"/>
    <x v="0"/>
    <x v="144"/>
    <x v="101"/>
    <x v="0"/>
    <x v="1"/>
    <x v="1"/>
    <n v="6"/>
    <n v="64.16"/>
    <n v="0"/>
    <x v="604"/>
    <x v="597"/>
    <x v="1"/>
  </r>
  <r>
    <x v="607"/>
    <s v="2025-10-10"/>
    <x v="6"/>
    <x v="206"/>
    <x v="348"/>
    <x v="3"/>
    <x v="2"/>
    <x v="4"/>
    <n v="4"/>
    <n v="153.58000000000001"/>
    <n v="0"/>
    <x v="605"/>
    <x v="598"/>
    <x v="2"/>
  </r>
  <r>
    <x v="608"/>
    <s v="2025-05-06"/>
    <x v="11"/>
    <x v="360"/>
    <x v="147"/>
    <x v="0"/>
    <x v="3"/>
    <x v="9"/>
    <n v="8"/>
    <n v="59.78"/>
    <n v="0"/>
    <x v="606"/>
    <x v="599"/>
    <x v="1"/>
  </r>
  <r>
    <x v="609"/>
    <s v="2025-09-27"/>
    <x v="1"/>
    <x v="145"/>
    <x v="292"/>
    <x v="1"/>
    <x v="0"/>
    <x v="7"/>
    <n v="2"/>
    <n v="41.14"/>
    <n v="0.15"/>
    <x v="607"/>
    <x v="600"/>
    <x v="0"/>
  </r>
  <r>
    <x v="610"/>
    <s v="2025-03-11"/>
    <x v="7"/>
    <x v="361"/>
    <x v="349"/>
    <x v="4"/>
    <x v="0"/>
    <x v="0"/>
    <n v="6"/>
    <n v="99.29"/>
    <n v="0"/>
    <x v="608"/>
    <x v="601"/>
    <x v="0"/>
  </r>
  <r>
    <x v="611"/>
    <s v="2025-07-03"/>
    <x v="4"/>
    <x v="305"/>
    <x v="349"/>
    <x v="3"/>
    <x v="3"/>
    <x v="9"/>
    <n v="7"/>
    <n v="185.14"/>
    <n v="0"/>
    <x v="609"/>
    <x v="602"/>
    <x v="0"/>
  </r>
  <r>
    <x v="612"/>
    <s v="2025-09-01"/>
    <x v="1"/>
    <x v="142"/>
    <x v="9"/>
    <x v="1"/>
    <x v="0"/>
    <x v="3"/>
    <n v="1"/>
    <n v="82.39"/>
    <n v="0.1"/>
    <x v="610"/>
    <x v="603"/>
    <x v="0"/>
  </r>
  <r>
    <x v="613"/>
    <s v="2025-10-31"/>
    <x v="6"/>
    <x v="232"/>
    <x v="68"/>
    <x v="1"/>
    <x v="1"/>
    <x v="1"/>
    <n v="3"/>
    <n v="121.87"/>
    <n v="0.15"/>
    <x v="611"/>
    <x v="604"/>
    <x v="2"/>
  </r>
  <r>
    <x v="614"/>
    <s v="2025-06-13"/>
    <x v="2"/>
    <x v="362"/>
    <x v="35"/>
    <x v="2"/>
    <x v="0"/>
    <x v="7"/>
    <n v="7"/>
    <n v="79.56"/>
    <n v="0.05"/>
    <x v="612"/>
    <x v="605"/>
    <x v="2"/>
  </r>
  <r>
    <x v="615"/>
    <s v="2025-07-04"/>
    <x v="4"/>
    <x v="250"/>
    <x v="350"/>
    <x v="2"/>
    <x v="1"/>
    <x v="8"/>
    <n v="1"/>
    <n v="235.67"/>
    <n v="0.05"/>
    <x v="613"/>
    <x v="582"/>
    <x v="0"/>
  </r>
  <r>
    <x v="616"/>
    <s v="2025-05-03"/>
    <x v="11"/>
    <x v="43"/>
    <x v="350"/>
    <x v="1"/>
    <x v="0"/>
    <x v="7"/>
    <n v="4"/>
    <n v="75.28"/>
    <n v="0.15"/>
    <x v="614"/>
    <x v="606"/>
    <x v="2"/>
  </r>
  <r>
    <x v="617"/>
    <s v="2025-12-06"/>
    <x v="3"/>
    <x v="27"/>
    <x v="2"/>
    <x v="1"/>
    <x v="1"/>
    <x v="1"/>
    <n v="4"/>
    <n v="164.59"/>
    <n v="0.1"/>
    <x v="615"/>
    <x v="607"/>
    <x v="0"/>
  </r>
  <r>
    <x v="618"/>
    <s v="2025-10-14"/>
    <x v="6"/>
    <x v="249"/>
    <x v="270"/>
    <x v="2"/>
    <x v="0"/>
    <x v="0"/>
    <n v="8"/>
    <n v="244.3"/>
    <n v="0.05"/>
    <x v="616"/>
    <x v="608"/>
    <x v="0"/>
  </r>
  <r>
    <x v="619"/>
    <s v="2025-04-24"/>
    <x v="9"/>
    <x v="186"/>
    <x v="351"/>
    <x v="2"/>
    <x v="1"/>
    <x v="8"/>
    <n v="1"/>
    <n v="174.04"/>
    <n v="0.15"/>
    <x v="617"/>
    <x v="609"/>
    <x v="2"/>
  </r>
  <r>
    <x v="620"/>
    <s v="2025-07-18"/>
    <x v="4"/>
    <x v="257"/>
    <x v="331"/>
    <x v="3"/>
    <x v="2"/>
    <x v="2"/>
    <n v="1"/>
    <n v="246.09"/>
    <n v="0.1"/>
    <x v="618"/>
    <x v="419"/>
    <x v="1"/>
  </r>
  <r>
    <x v="621"/>
    <s v="2025-12-15"/>
    <x v="3"/>
    <x v="180"/>
    <x v="352"/>
    <x v="4"/>
    <x v="0"/>
    <x v="3"/>
    <n v="3"/>
    <n v="142.04"/>
    <n v="0"/>
    <x v="619"/>
    <x v="610"/>
    <x v="0"/>
  </r>
  <r>
    <x v="622"/>
    <s v="2025-10-24"/>
    <x v="6"/>
    <x v="18"/>
    <x v="353"/>
    <x v="1"/>
    <x v="1"/>
    <x v="10"/>
    <n v="2"/>
    <n v="190.72"/>
    <n v="0.05"/>
    <x v="620"/>
    <x v="611"/>
    <x v="0"/>
  </r>
  <r>
    <x v="623"/>
    <s v="2025-12-07"/>
    <x v="3"/>
    <x v="285"/>
    <x v="354"/>
    <x v="3"/>
    <x v="0"/>
    <x v="7"/>
    <n v="6"/>
    <n v="30.37"/>
    <n v="0.15"/>
    <x v="621"/>
    <x v="612"/>
    <x v="0"/>
  </r>
  <r>
    <x v="624"/>
    <s v="2025-07-30"/>
    <x v="4"/>
    <x v="250"/>
    <x v="281"/>
    <x v="3"/>
    <x v="0"/>
    <x v="0"/>
    <n v="8"/>
    <n v="119.44"/>
    <n v="0.15"/>
    <x v="622"/>
    <x v="613"/>
    <x v="1"/>
  </r>
  <r>
    <x v="625"/>
    <s v="2025-06-10"/>
    <x v="2"/>
    <x v="170"/>
    <x v="39"/>
    <x v="2"/>
    <x v="3"/>
    <x v="11"/>
    <n v="6"/>
    <n v="85.06"/>
    <n v="0"/>
    <x v="623"/>
    <x v="614"/>
    <x v="0"/>
  </r>
  <r>
    <x v="626"/>
    <s v="2025-12-11"/>
    <x v="3"/>
    <x v="180"/>
    <x v="45"/>
    <x v="0"/>
    <x v="1"/>
    <x v="10"/>
    <n v="4"/>
    <n v="101.47"/>
    <n v="0.05"/>
    <x v="624"/>
    <x v="615"/>
    <x v="2"/>
  </r>
  <r>
    <x v="627"/>
    <s v="2025-12-20"/>
    <x v="3"/>
    <x v="27"/>
    <x v="160"/>
    <x v="0"/>
    <x v="3"/>
    <x v="11"/>
    <n v="1"/>
    <n v="145.28"/>
    <n v="0.1"/>
    <x v="625"/>
    <x v="616"/>
    <x v="2"/>
  </r>
  <r>
    <x v="628"/>
    <s v="2025-12-04"/>
    <x v="3"/>
    <x v="131"/>
    <x v="355"/>
    <x v="4"/>
    <x v="3"/>
    <x v="12"/>
    <n v="4"/>
    <n v="81.790000000000006"/>
    <n v="0"/>
    <x v="626"/>
    <x v="617"/>
    <x v="1"/>
  </r>
  <r>
    <x v="629"/>
    <s v="2025-10-05"/>
    <x v="6"/>
    <x v="298"/>
    <x v="330"/>
    <x v="2"/>
    <x v="3"/>
    <x v="9"/>
    <n v="2"/>
    <n v="151.16999999999999"/>
    <n v="0.15"/>
    <x v="627"/>
    <x v="618"/>
    <x v="0"/>
  </r>
  <r>
    <x v="630"/>
    <s v="2025-11-10"/>
    <x v="10"/>
    <x v="196"/>
    <x v="31"/>
    <x v="1"/>
    <x v="0"/>
    <x v="3"/>
    <n v="1"/>
    <n v="150.49"/>
    <n v="0.1"/>
    <x v="628"/>
    <x v="484"/>
    <x v="1"/>
  </r>
  <r>
    <x v="631"/>
    <s v="2025-09-13"/>
    <x v="1"/>
    <x v="363"/>
    <x v="356"/>
    <x v="3"/>
    <x v="3"/>
    <x v="9"/>
    <n v="1"/>
    <n v="238.77"/>
    <n v="0.15"/>
    <x v="629"/>
    <x v="619"/>
    <x v="2"/>
  </r>
  <r>
    <x v="632"/>
    <s v="2025-03-30"/>
    <x v="7"/>
    <x v="364"/>
    <x v="16"/>
    <x v="0"/>
    <x v="3"/>
    <x v="12"/>
    <n v="2"/>
    <n v="201.74"/>
    <n v="0.1"/>
    <x v="630"/>
    <x v="620"/>
    <x v="1"/>
  </r>
  <r>
    <x v="633"/>
    <s v="2025-11-12"/>
    <x v="10"/>
    <x v="344"/>
    <x v="59"/>
    <x v="1"/>
    <x v="0"/>
    <x v="7"/>
    <n v="4"/>
    <n v="234.11"/>
    <n v="0.05"/>
    <x v="631"/>
    <x v="621"/>
    <x v="0"/>
  </r>
  <r>
    <x v="634"/>
    <s v="2025-08-16"/>
    <x v="0"/>
    <x v="77"/>
    <x v="107"/>
    <x v="0"/>
    <x v="0"/>
    <x v="7"/>
    <n v="3"/>
    <n v="87.4"/>
    <n v="0.1"/>
    <x v="632"/>
    <x v="622"/>
    <x v="2"/>
  </r>
  <r>
    <x v="635"/>
    <s v="2025-07-10"/>
    <x v="4"/>
    <x v="298"/>
    <x v="357"/>
    <x v="3"/>
    <x v="1"/>
    <x v="10"/>
    <n v="5"/>
    <n v="166.18"/>
    <n v="0"/>
    <x v="633"/>
    <x v="623"/>
    <x v="1"/>
  </r>
  <r>
    <x v="636"/>
    <s v="2025-01-09"/>
    <x v="5"/>
    <x v="190"/>
    <x v="358"/>
    <x v="1"/>
    <x v="3"/>
    <x v="11"/>
    <n v="3"/>
    <n v="113.74"/>
    <n v="0.05"/>
    <x v="634"/>
    <x v="624"/>
    <x v="1"/>
  </r>
  <r>
    <x v="637"/>
    <s v="2025-11-14"/>
    <x v="10"/>
    <x v="365"/>
    <x v="359"/>
    <x v="3"/>
    <x v="0"/>
    <x v="3"/>
    <n v="7"/>
    <n v="154.66"/>
    <n v="0"/>
    <x v="635"/>
    <x v="625"/>
    <x v="0"/>
  </r>
  <r>
    <x v="638"/>
    <s v="2025-08-23"/>
    <x v="0"/>
    <x v="239"/>
    <x v="21"/>
    <x v="3"/>
    <x v="2"/>
    <x v="2"/>
    <n v="5"/>
    <n v="184.11"/>
    <n v="0.15"/>
    <x v="636"/>
    <x v="626"/>
    <x v="1"/>
  </r>
  <r>
    <x v="639"/>
    <s v="2025-06-24"/>
    <x v="2"/>
    <x v="93"/>
    <x v="190"/>
    <x v="3"/>
    <x v="2"/>
    <x v="6"/>
    <n v="3"/>
    <n v="195.69"/>
    <n v="0"/>
    <x v="637"/>
    <x v="627"/>
    <x v="2"/>
  </r>
  <r>
    <x v="640"/>
    <s v="2025-04-18"/>
    <x v="9"/>
    <x v="366"/>
    <x v="183"/>
    <x v="1"/>
    <x v="0"/>
    <x v="7"/>
    <n v="1"/>
    <n v="43.54"/>
    <n v="0.05"/>
    <x v="176"/>
    <x v="222"/>
    <x v="0"/>
  </r>
  <r>
    <x v="641"/>
    <s v="2025-03-25"/>
    <x v="7"/>
    <x v="367"/>
    <x v="360"/>
    <x v="1"/>
    <x v="1"/>
    <x v="8"/>
    <n v="2"/>
    <n v="85.6"/>
    <n v="0"/>
    <x v="638"/>
    <x v="628"/>
    <x v="2"/>
  </r>
  <r>
    <x v="642"/>
    <s v="2025-01-27"/>
    <x v="5"/>
    <x v="368"/>
    <x v="361"/>
    <x v="2"/>
    <x v="3"/>
    <x v="11"/>
    <n v="5"/>
    <n v="77.81"/>
    <n v="0.1"/>
    <x v="639"/>
    <x v="629"/>
    <x v="1"/>
  </r>
  <r>
    <x v="643"/>
    <s v="2025-04-17"/>
    <x v="9"/>
    <x v="323"/>
    <x v="226"/>
    <x v="1"/>
    <x v="3"/>
    <x v="9"/>
    <n v="4"/>
    <n v="242.27"/>
    <n v="0.05"/>
    <x v="640"/>
    <x v="630"/>
    <x v="2"/>
  </r>
  <r>
    <x v="644"/>
    <s v="2025-07-16"/>
    <x v="4"/>
    <x v="328"/>
    <x v="295"/>
    <x v="2"/>
    <x v="3"/>
    <x v="12"/>
    <n v="7"/>
    <n v="52.06"/>
    <n v="0.1"/>
    <x v="641"/>
    <x v="631"/>
    <x v="0"/>
  </r>
  <r>
    <x v="645"/>
    <s v="2025-08-03"/>
    <x v="0"/>
    <x v="164"/>
    <x v="186"/>
    <x v="0"/>
    <x v="1"/>
    <x v="10"/>
    <n v="5"/>
    <n v="242.77"/>
    <n v="0.1"/>
    <x v="642"/>
    <x v="632"/>
    <x v="1"/>
  </r>
  <r>
    <x v="646"/>
    <s v="2025-03-24"/>
    <x v="7"/>
    <x v="361"/>
    <x v="312"/>
    <x v="2"/>
    <x v="1"/>
    <x v="10"/>
    <n v="7"/>
    <n v="124.76"/>
    <n v="0"/>
    <x v="643"/>
    <x v="633"/>
    <x v="2"/>
  </r>
  <r>
    <x v="647"/>
    <s v="2025-11-14"/>
    <x v="10"/>
    <x v="85"/>
    <x v="314"/>
    <x v="1"/>
    <x v="2"/>
    <x v="4"/>
    <n v="7"/>
    <n v="193.22"/>
    <n v="0"/>
    <x v="644"/>
    <x v="634"/>
    <x v="2"/>
  </r>
  <r>
    <x v="648"/>
    <s v="2025-01-25"/>
    <x v="5"/>
    <x v="135"/>
    <x v="253"/>
    <x v="1"/>
    <x v="3"/>
    <x v="12"/>
    <n v="6"/>
    <n v="100.94"/>
    <n v="0"/>
    <x v="645"/>
    <x v="635"/>
    <x v="0"/>
  </r>
  <r>
    <x v="649"/>
    <s v="2025-12-01"/>
    <x v="3"/>
    <x v="284"/>
    <x v="241"/>
    <x v="2"/>
    <x v="0"/>
    <x v="7"/>
    <n v="2"/>
    <n v="28.87"/>
    <n v="0"/>
    <x v="646"/>
    <x v="636"/>
    <x v="1"/>
  </r>
  <r>
    <x v="650"/>
    <s v="2025-11-05"/>
    <x v="10"/>
    <x v="17"/>
    <x v="242"/>
    <x v="2"/>
    <x v="1"/>
    <x v="10"/>
    <n v="5"/>
    <n v="98.85"/>
    <n v="0.15"/>
    <x v="647"/>
    <x v="637"/>
    <x v="2"/>
  </r>
  <r>
    <x v="651"/>
    <s v="2025-07-18"/>
    <x v="4"/>
    <x v="170"/>
    <x v="362"/>
    <x v="3"/>
    <x v="3"/>
    <x v="12"/>
    <n v="2"/>
    <n v="58.64"/>
    <n v="0.15"/>
    <x v="648"/>
    <x v="638"/>
    <x v="1"/>
  </r>
  <r>
    <x v="652"/>
    <s v="2025-11-01"/>
    <x v="10"/>
    <x v="125"/>
    <x v="314"/>
    <x v="3"/>
    <x v="3"/>
    <x v="11"/>
    <n v="2"/>
    <n v="151.94"/>
    <n v="0.1"/>
    <x v="649"/>
    <x v="639"/>
    <x v="1"/>
  </r>
  <r>
    <x v="653"/>
    <s v="2025-09-30"/>
    <x v="1"/>
    <x v="137"/>
    <x v="307"/>
    <x v="0"/>
    <x v="2"/>
    <x v="6"/>
    <n v="6"/>
    <n v="42.08"/>
    <n v="0.15"/>
    <x v="650"/>
    <x v="640"/>
    <x v="0"/>
  </r>
  <r>
    <x v="654"/>
    <s v="2025-12-29"/>
    <x v="3"/>
    <x v="343"/>
    <x v="363"/>
    <x v="1"/>
    <x v="3"/>
    <x v="12"/>
    <n v="5"/>
    <n v="183.72"/>
    <n v="0.1"/>
    <x v="651"/>
    <x v="641"/>
    <x v="0"/>
  </r>
  <r>
    <x v="655"/>
    <s v="2025-12-18"/>
    <x v="3"/>
    <x v="365"/>
    <x v="364"/>
    <x v="0"/>
    <x v="1"/>
    <x v="10"/>
    <n v="7"/>
    <n v="85.9"/>
    <n v="0"/>
    <x v="652"/>
    <x v="642"/>
    <x v="1"/>
  </r>
  <r>
    <x v="656"/>
    <s v="2025-01-27"/>
    <x v="5"/>
    <x v="320"/>
    <x v="28"/>
    <x v="3"/>
    <x v="0"/>
    <x v="3"/>
    <n v="2"/>
    <n v="237.25"/>
    <n v="0.1"/>
    <x v="653"/>
    <x v="643"/>
    <x v="0"/>
  </r>
  <r>
    <x v="657"/>
    <s v="2025-07-24"/>
    <x v="4"/>
    <x v="369"/>
    <x v="218"/>
    <x v="4"/>
    <x v="2"/>
    <x v="6"/>
    <n v="7"/>
    <n v="74.099999999999994"/>
    <n v="0"/>
    <x v="654"/>
    <x v="644"/>
    <x v="2"/>
  </r>
  <r>
    <x v="658"/>
    <s v="2025-12-19"/>
    <x v="3"/>
    <x v="237"/>
    <x v="20"/>
    <x v="3"/>
    <x v="1"/>
    <x v="1"/>
    <n v="5"/>
    <n v="159.76"/>
    <n v="0.05"/>
    <x v="655"/>
    <x v="645"/>
    <x v="1"/>
  </r>
  <r>
    <x v="659"/>
    <s v="2025-08-28"/>
    <x v="0"/>
    <x v="252"/>
    <x v="365"/>
    <x v="2"/>
    <x v="2"/>
    <x v="5"/>
    <n v="8"/>
    <n v="101.94"/>
    <n v="0.05"/>
    <x v="656"/>
    <x v="646"/>
    <x v="2"/>
  </r>
  <r>
    <x v="660"/>
    <s v="2025-04-10"/>
    <x v="9"/>
    <x v="267"/>
    <x v="366"/>
    <x v="2"/>
    <x v="3"/>
    <x v="11"/>
    <n v="6"/>
    <n v="181.35"/>
    <n v="0.05"/>
    <x v="657"/>
    <x v="647"/>
    <x v="2"/>
  </r>
  <r>
    <x v="661"/>
    <s v="2025-10-22"/>
    <x v="6"/>
    <x v="84"/>
    <x v="323"/>
    <x v="0"/>
    <x v="0"/>
    <x v="3"/>
    <n v="4"/>
    <n v="13.3"/>
    <n v="0"/>
    <x v="658"/>
    <x v="648"/>
    <x v="2"/>
  </r>
  <r>
    <x v="662"/>
    <s v="2025-10-25"/>
    <x v="6"/>
    <x v="370"/>
    <x v="367"/>
    <x v="1"/>
    <x v="0"/>
    <x v="3"/>
    <n v="1"/>
    <n v="146.56"/>
    <n v="0.1"/>
    <x v="659"/>
    <x v="649"/>
    <x v="2"/>
  </r>
  <r>
    <x v="663"/>
    <s v="2025-10-27"/>
    <x v="6"/>
    <x v="212"/>
    <x v="240"/>
    <x v="2"/>
    <x v="3"/>
    <x v="9"/>
    <n v="8"/>
    <n v="243.28"/>
    <n v="0"/>
    <x v="660"/>
    <x v="650"/>
    <x v="0"/>
  </r>
  <r>
    <x v="664"/>
    <s v="2025-03-02"/>
    <x v="7"/>
    <x v="74"/>
    <x v="98"/>
    <x v="4"/>
    <x v="0"/>
    <x v="3"/>
    <n v="1"/>
    <n v="213.62"/>
    <n v="0"/>
    <x v="661"/>
    <x v="651"/>
    <x v="1"/>
  </r>
  <r>
    <x v="665"/>
    <s v="2025-01-05"/>
    <x v="5"/>
    <x v="344"/>
    <x v="354"/>
    <x v="0"/>
    <x v="1"/>
    <x v="10"/>
    <n v="1"/>
    <n v="65.77"/>
    <n v="0.15"/>
    <x v="662"/>
    <x v="652"/>
    <x v="1"/>
  </r>
  <r>
    <x v="666"/>
    <s v="2025-05-14"/>
    <x v="11"/>
    <x v="371"/>
    <x v="26"/>
    <x v="2"/>
    <x v="2"/>
    <x v="6"/>
    <n v="8"/>
    <n v="147.9"/>
    <n v="0.15"/>
    <x v="663"/>
    <x v="653"/>
    <x v="2"/>
  </r>
  <r>
    <x v="667"/>
    <s v="2025-09-12"/>
    <x v="1"/>
    <x v="372"/>
    <x v="134"/>
    <x v="0"/>
    <x v="1"/>
    <x v="1"/>
    <n v="6"/>
    <n v="217.38"/>
    <n v="0.15"/>
    <x v="664"/>
    <x v="654"/>
    <x v="2"/>
  </r>
  <r>
    <x v="668"/>
    <s v="2025-01-25"/>
    <x v="5"/>
    <x v="373"/>
    <x v="368"/>
    <x v="2"/>
    <x v="2"/>
    <x v="6"/>
    <n v="1"/>
    <n v="44.42"/>
    <n v="0.15"/>
    <x v="665"/>
    <x v="655"/>
    <x v="0"/>
  </r>
  <r>
    <x v="669"/>
    <s v="2025-10-22"/>
    <x v="6"/>
    <x v="251"/>
    <x v="44"/>
    <x v="0"/>
    <x v="0"/>
    <x v="3"/>
    <n v="3"/>
    <n v="18.89"/>
    <n v="0"/>
    <x v="666"/>
    <x v="656"/>
    <x v="0"/>
  </r>
  <r>
    <x v="670"/>
    <s v="2025-03-10"/>
    <x v="7"/>
    <x v="262"/>
    <x v="69"/>
    <x v="1"/>
    <x v="0"/>
    <x v="7"/>
    <n v="6"/>
    <n v="60.19"/>
    <n v="0.15"/>
    <x v="667"/>
    <x v="657"/>
    <x v="1"/>
  </r>
  <r>
    <x v="671"/>
    <s v="2025-01-07"/>
    <x v="5"/>
    <x v="374"/>
    <x v="369"/>
    <x v="0"/>
    <x v="1"/>
    <x v="8"/>
    <n v="5"/>
    <n v="11.93"/>
    <n v="0.05"/>
    <x v="666"/>
    <x v="658"/>
    <x v="1"/>
  </r>
  <r>
    <x v="672"/>
    <s v="2025-08-24"/>
    <x v="0"/>
    <x v="16"/>
    <x v="294"/>
    <x v="0"/>
    <x v="1"/>
    <x v="10"/>
    <n v="3"/>
    <n v="168.57"/>
    <n v="0.05"/>
    <x v="668"/>
    <x v="659"/>
    <x v="1"/>
  </r>
  <r>
    <x v="673"/>
    <s v="2025-04-08"/>
    <x v="9"/>
    <x v="90"/>
    <x v="183"/>
    <x v="3"/>
    <x v="3"/>
    <x v="11"/>
    <n v="2"/>
    <n v="94.11"/>
    <n v="0.15"/>
    <x v="669"/>
    <x v="660"/>
    <x v="0"/>
  </r>
  <r>
    <x v="674"/>
    <s v="2025-03-10"/>
    <x v="7"/>
    <x v="375"/>
    <x v="102"/>
    <x v="1"/>
    <x v="0"/>
    <x v="0"/>
    <n v="1"/>
    <n v="155.71"/>
    <n v="0.1"/>
    <x v="670"/>
    <x v="661"/>
    <x v="2"/>
  </r>
  <r>
    <x v="675"/>
    <s v="2025-09-05"/>
    <x v="1"/>
    <x v="274"/>
    <x v="119"/>
    <x v="2"/>
    <x v="0"/>
    <x v="3"/>
    <n v="3"/>
    <n v="108.17"/>
    <n v="0"/>
    <x v="671"/>
    <x v="662"/>
    <x v="2"/>
  </r>
  <r>
    <x v="676"/>
    <s v="2025-12-08"/>
    <x v="3"/>
    <x v="239"/>
    <x v="370"/>
    <x v="3"/>
    <x v="2"/>
    <x v="2"/>
    <n v="4"/>
    <n v="44.97"/>
    <n v="0.1"/>
    <x v="672"/>
    <x v="663"/>
    <x v="0"/>
  </r>
  <r>
    <x v="677"/>
    <s v="2025-08-04"/>
    <x v="0"/>
    <x v="376"/>
    <x v="348"/>
    <x v="3"/>
    <x v="2"/>
    <x v="4"/>
    <n v="6"/>
    <n v="48.71"/>
    <n v="0.05"/>
    <x v="673"/>
    <x v="664"/>
    <x v="0"/>
  </r>
  <r>
    <x v="678"/>
    <s v="2025-11-15"/>
    <x v="10"/>
    <x v="137"/>
    <x v="371"/>
    <x v="3"/>
    <x v="2"/>
    <x v="2"/>
    <n v="4"/>
    <n v="83.09"/>
    <n v="0.05"/>
    <x v="674"/>
    <x v="665"/>
    <x v="2"/>
  </r>
  <r>
    <x v="679"/>
    <s v="2025-08-02"/>
    <x v="0"/>
    <x v="150"/>
    <x v="321"/>
    <x v="3"/>
    <x v="0"/>
    <x v="7"/>
    <n v="2"/>
    <n v="18.739999999999998"/>
    <n v="0.05"/>
    <x v="675"/>
    <x v="666"/>
    <x v="0"/>
  </r>
  <r>
    <x v="680"/>
    <s v="2025-03-24"/>
    <x v="7"/>
    <x v="0"/>
    <x v="303"/>
    <x v="1"/>
    <x v="2"/>
    <x v="4"/>
    <n v="8"/>
    <n v="187.68"/>
    <n v="0.1"/>
    <x v="676"/>
    <x v="667"/>
    <x v="1"/>
  </r>
  <r>
    <x v="681"/>
    <s v="2025-09-05"/>
    <x v="1"/>
    <x v="377"/>
    <x v="126"/>
    <x v="4"/>
    <x v="1"/>
    <x v="8"/>
    <n v="6"/>
    <n v="50.74"/>
    <n v="0"/>
    <x v="677"/>
    <x v="668"/>
    <x v="1"/>
  </r>
  <r>
    <x v="682"/>
    <s v="2025-11-03"/>
    <x v="10"/>
    <x v="34"/>
    <x v="271"/>
    <x v="3"/>
    <x v="3"/>
    <x v="12"/>
    <n v="5"/>
    <n v="107.62"/>
    <n v="0.1"/>
    <x v="678"/>
    <x v="669"/>
    <x v="1"/>
  </r>
  <r>
    <x v="683"/>
    <s v="2025-12-18"/>
    <x v="3"/>
    <x v="165"/>
    <x v="308"/>
    <x v="4"/>
    <x v="2"/>
    <x v="6"/>
    <n v="7"/>
    <n v="136.71"/>
    <n v="0.1"/>
    <x v="679"/>
    <x v="670"/>
    <x v="1"/>
  </r>
  <r>
    <x v="684"/>
    <s v="2025-03-25"/>
    <x v="7"/>
    <x v="302"/>
    <x v="103"/>
    <x v="4"/>
    <x v="1"/>
    <x v="1"/>
    <n v="3"/>
    <n v="35.369999999999997"/>
    <n v="0.05"/>
    <x v="114"/>
    <x v="671"/>
    <x v="0"/>
  </r>
  <r>
    <x v="685"/>
    <s v="2025-03-11"/>
    <x v="7"/>
    <x v="157"/>
    <x v="43"/>
    <x v="2"/>
    <x v="0"/>
    <x v="3"/>
    <n v="6"/>
    <n v="94.76"/>
    <n v="0.1"/>
    <x v="680"/>
    <x v="672"/>
    <x v="2"/>
  </r>
  <r>
    <x v="686"/>
    <s v="2025-12-22"/>
    <x v="3"/>
    <x v="174"/>
    <x v="372"/>
    <x v="1"/>
    <x v="0"/>
    <x v="0"/>
    <n v="7"/>
    <n v="72.459999999999994"/>
    <n v="0.1"/>
    <x v="681"/>
    <x v="673"/>
    <x v="2"/>
  </r>
  <r>
    <x v="687"/>
    <s v="2025-03-07"/>
    <x v="7"/>
    <x v="378"/>
    <x v="89"/>
    <x v="4"/>
    <x v="3"/>
    <x v="11"/>
    <n v="7"/>
    <n v="169.98"/>
    <n v="0.1"/>
    <x v="682"/>
    <x v="674"/>
    <x v="2"/>
  </r>
  <r>
    <x v="688"/>
    <s v="2025-05-29"/>
    <x v="11"/>
    <x v="379"/>
    <x v="166"/>
    <x v="3"/>
    <x v="0"/>
    <x v="0"/>
    <n v="7"/>
    <n v="224.95"/>
    <n v="0.1"/>
    <x v="683"/>
    <x v="675"/>
    <x v="0"/>
  </r>
  <r>
    <x v="689"/>
    <s v="2025-03-13"/>
    <x v="7"/>
    <x v="64"/>
    <x v="44"/>
    <x v="3"/>
    <x v="3"/>
    <x v="9"/>
    <n v="8"/>
    <n v="92.97"/>
    <n v="0"/>
    <x v="684"/>
    <x v="676"/>
    <x v="2"/>
  </r>
  <r>
    <x v="690"/>
    <s v="2025-02-10"/>
    <x v="8"/>
    <x v="355"/>
    <x v="159"/>
    <x v="1"/>
    <x v="0"/>
    <x v="7"/>
    <n v="2"/>
    <n v="145.69999999999999"/>
    <n v="0.15"/>
    <x v="685"/>
    <x v="677"/>
    <x v="0"/>
  </r>
  <r>
    <x v="691"/>
    <s v="2025-01-03"/>
    <x v="5"/>
    <x v="89"/>
    <x v="59"/>
    <x v="2"/>
    <x v="0"/>
    <x v="0"/>
    <n v="7"/>
    <n v="182.9"/>
    <n v="0.15"/>
    <x v="686"/>
    <x v="678"/>
    <x v="0"/>
  </r>
  <r>
    <x v="692"/>
    <s v="2025-11-10"/>
    <x v="10"/>
    <x v="352"/>
    <x v="243"/>
    <x v="2"/>
    <x v="3"/>
    <x v="11"/>
    <n v="1"/>
    <n v="18.11"/>
    <n v="0.05"/>
    <x v="687"/>
    <x v="679"/>
    <x v="2"/>
  </r>
  <r>
    <x v="693"/>
    <s v="2025-06-09"/>
    <x v="2"/>
    <x v="164"/>
    <x v="173"/>
    <x v="2"/>
    <x v="3"/>
    <x v="12"/>
    <n v="4"/>
    <n v="44.07"/>
    <n v="0.15"/>
    <x v="688"/>
    <x v="680"/>
    <x v="0"/>
  </r>
  <r>
    <x v="694"/>
    <s v="2025-07-12"/>
    <x v="4"/>
    <x v="380"/>
    <x v="33"/>
    <x v="3"/>
    <x v="2"/>
    <x v="5"/>
    <n v="5"/>
    <n v="129.24"/>
    <n v="0.15"/>
    <x v="689"/>
    <x v="681"/>
    <x v="2"/>
  </r>
  <r>
    <x v="695"/>
    <s v="2025-04-02"/>
    <x v="9"/>
    <x v="189"/>
    <x v="373"/>
    <x v="1"/>
    <x v="2"/>
    <x v="4"/>
    <n v="4"/>
    <n v="103.25"/>
    <n v="0.1"/>
    <x v="690"/>
    <x v="682"/>
    <x v="2"/>
  </r>
  <r>
    <x v="696"/>
    <s v="2025-12-05"/>
    <x v="3"/>
    <x v="381"/>
    <x v="374"/>
    <x v="3"/>
    <x v="3"/>
    <x v="11"/>
    <n v="5"/>
    <n v="93.31"/>
    <n v="0"/>
    <x v="691"/>
    <x v="683"/>
    <x v="0"/>
  </r>
  <r>
    <x v="697"/>
    <s v="2025-02-26"/>
    <x v="8"/>
    <x v="154"/>
    <x v="316"/>
    <x v="3"/>
    <x v="2"/>
    <x v="5"/>
    <n v="1"/>
    <n v="207.71"/>
    <n v="0.05"/>
    <x v="692"/>
    <x v="684"/>
    <x v="0"/>
  </r>
  <r>
    <x v="698"/>
    <s v="2025-09-12"/>
    <x v="1"/>
    <x v="310"/>
    <x v="362"/>
    <x v="0"/>
    <x v="2"/>
    <x v="5"/>
    <n v="2"/>
    <n v="243.68"/>
    <n v="0"/>
    <x v="693"/>
    <x v="685"/>
    <x v="2"/>
  </r>
  <r>
    <x v="699"/>
    <s v="2025-05-01"/>
    <x v="11"/>
    <x v="382"/>
    <x v="165"/>
    <x v="0"/>
    <x v="3"/>
    <x v="9"/>
    <n v="3"/>
    <n v="68.13"/>
    <n v="0.1"/>
    <x v="694"/>
    <x v="686"/>
    <x v="1"/>
  </r>
  <r>
    <x v="700"/>
    <s v="2025-10-06"/>
    <x v="6"/>
    <x v="78"/>
    <x v="281"/>
    <x v="0"/>
    <x v="1"/>
    <x v="8"/>
    <n v="1"/>
    <n v="47.87"/>
    <n v="0.1"/>
    <x v="695"/>
    <x v="687"/>
    <x v="0"/>
  </r>
  <r>
    <x v="701"/>
    <s v="2025-04-01"/>
    <x v="9"/>
    <x v="383"/>
    <x v="375"/>
    <x v="0"/>
    <x v="2"/>
    <x v="5"/>
    <n v="6"/>
    <n v="197.04"/>
    <n v="0"/>
    <x v="696"/>
    <x v="688"/>
    <x v="0"/>
  </r>
  <r>
    <x v="702"/>
    <s v="2025-05-18"/>
    <x v="11"/>
    <x v="59"/>
    <x v="285"/>
    <x v="4"/>
    <x v="2"/>
    <x v="5"/>
    <n v="3"/>
    <n v="76.27"/>
    <n v="0.15"/>
    <x v="697"/>
    <x v="689"/>
    <x v="2"/>
  </r>
  <r>
    <x v="703"/>
    <s v="2025-07-11"/>
    <x v="4"/>
    <x v="384"/>
    <x v="338"/>
    <x v="3"/>
    <x v="0"/>
    <x v="7"/>
    <n v="7"/>
    <n v="73.02"/>
    <n v="0.1"/>
    <x v="698"/>
    <x v="690"/>
    <x v="1"/>
  </r>
  <r>
    <x v="704"/>
    <s v="2025-03-10"/>
    <x v="7"/>
    <x v="215"/>
    <x v="376"/>
    <x v="2"/>
    <x v="2"/>
    <x v="4"/>
    <n v="3"/>
    <n v="201.98"/>
    <n v="0.15"/>
    <x v="699"/>
    <x v="691"/>
    <x v="2"/>
  </r>
  <r>
    <x v="705"/>
    <s v="2025-06-30"/>
    <x v="2"/>
    <x v="385"/>
    <x v="77"/>
    <x v="1"/>
    <x v="3"/>
    <x v="12"/>
    <n v="2"/>
    <n v="240.02"/>
    <n v="0.15"/>
    <x v="700"/>
    <x v="692"/>
    <x v="2"/>
  </r>
  <r>
    <x v="706"/>
    <s v="2025-03-20"/>
    <x v="7"/>
    <x v="356"/>
    <x v="373"/>
    <x v="1"/>
    <x v="3"/>
    <x v="12"/>
    <n v="1"/>
    <n v="239.94"/>
    <n v="0.1"/>
    <x v="701"/>
    <x v="693"/>
    <x v="2"/>
  </r>
  <r>
    <x v="707"/>
    <s v="2025-10-02"/>
    <x v="6"/>
    <x v="281"/>
    <x v="73"/>
    <x v="1"/>
    <x v="3"/>
    <x v="11"/>
    <n v="2"/>
    <n v="148.77000000000001"/>
    <n v="0.05"/>
    <x v="702"/>
    <x v="694"/>
    <x v="1"/>
  </r>
  <r>
    <x v="708"/>
    <s v="2025-04-16"/>
    <x v="9"/>
    <x v="386"/>
    <x v="156"/>
    <x v="4"/>
    <x v="1"/>
    <x v="1"/>
    <n v="8"/>
    <n v="234.16"/>
    <n v="0.1"/>
    <x v="703"/>
    <x v="695"/>
    <x v="0"/>
  </r>
  <r>
    <x v="709"/>
    <s v="2025-06-01"/>
    <x v="2"/>
    <x v="288"/>
    <x v="377"/>
    <x v="3"/>
    <x v="3"/>
    <x v="11"/>
    <n v="7"/>
    <n v="203.29"/>
    <n v="0.05"/>
    <x v="704"/>
    <x v="696"/>
    <x v="2"/>
  </r>
  <r>
    <x v="710"/>
    <s v="2025-06-02"/>
    <x v="2"/>
    <x v="387"/>
    <x v="378"/>
    <x v="2"/>
    <x v="1"/>
    <x v="1"/>
    <n v="6"/>
    <n v="85.93"/>
    <n v="0.1"/>
    <x v="705"/>
    <x v="697"/>
    <x v="0"/>
  </r>
  <r>
    <x v="711"/>
    <s v="2025-03-13"/>
    <x v="7"/>
    <x v="128"/>
    <x v="213"/>
    <x v="0"/>
    <x v="1"/>
    <x v="10"/>
    <n v="2"/>
    <n v="221.49"/>
    <n v="0.1"/>
    <x v="706"/>
    <x v="698"/>
    <x v="2"/>
  </r>
  <r>
    <x v="712"/>
    <s v="2025-10-05"/>
    <x v="6"/>
    <x v="388"/>
    <x v="111"/>
    <x v="0"/>
    <x v="2"/>
    <x v="5"/>
    <n v="4"/>
    <n v="20.190000000000001"/>
    <n v="0.1"/>
    <x v="707"/>
    <x v="699"/>
    <x v="0"/>
  </r>
  <r>
    <x v="713"/>
    <s v="2025-09-18"/>
    <x v="1"/>
    <x v="135"/>
    <x v="379"/>
    <x v="4"/>
    <x v="3"/>
    <x v="9"/>
    <n v="6"/>
    <n v="59.58"/>
    <n v="0.15"/>
    <x v="708"/>
    <x v="639"/>
    <x v="2"/>
  </r>
  <r>
    <x v="714"/>
    <s v="2025-01-09"/>
    <x v="5"/>
    <x v="29"/>
    <x v="0"/>
    <x v="2"/>
    <x v="0"/>
    <x v="0"/>
    <n v="8"/>
    <n v="186.16"/>
    <n v="0.15"/>
    <x v="709"/>
    <x v="700"/>
    <x v="0"/>
  </r>
  <r>
    <x v="715"/>
    <s v="2025-04-23"/>
    <x v="9"/>
    <x v="389"/>
    <x v="101"/>
    <x v="3"/>
    <x v="0"/>
    <x v="0"/>
    <n v="8"/>
    <n v="173.77"/>
    <n v="0"/>
    <x v="710"/>
    <x v="701"/>
    <x v="0"/>
  </r>
  <r>
    <x v="716"/>
    <s v="2025-11-14"/>
    <x v="10"/>
    <x v="390"/>
    <x v="380"/>
    <x v="2"/>
    <x v="2"/>
    <x v="6"/>
    <n v="8"/>
    <n v="53.41"/>
    <n v="0.15"/>
    <x v="711"/>
    <x v="702"/>
    <x v="1"/>
  </r>
  <r>
    <x v="717"/>
    <s v="2025-01-27"/>
    <x v="5"/>
    <x v="391"/>
    <x v="159"/>
    <x v="3"/>
    <x v="2"/>
    <x v="4"/>
    <n v="8"/>
    <n v="203.9"/>
    <n v="0.15"/>
    <x v="712"/>
    <x v="703"/>
    <x v="2"/>
  </r>
  <r>
    <x v="718"/>
    <s v="2025-08-12"/>
    <x v="0"/>
    <x v="280"/>
    <x v="91"/>
    <x v="4"/>
    <x v="2"/>
    <x v="4"/>
    <n v="4"/>
    <n v="190.05"/>
    <n v="0.1"/>
    <x v="713"/>
    <x v="704"/>
    <x v="2"/>
  </r>
  <r>
    <x v="719"/>
    <s v="2025-10-09"/>
    <x v="6"/>
    <x v="119"/>
    <x v="254"/>
    <x v="2"/>
    <x v="1"/>
    <x v="8"/>
    <n v="2"/>
    <n v="187.43"/>
    <n v="0.05"/>
    <x v="714"/>
    <x v="705"/>
    <x v="2"/>
  </r>
  <r>
    <x v="720"/>
    <s v="2025-05-14"/>
    <x v="11"/>
    <x v="106"/>
    <x v="14"/>
    <x v="0"/>
    <x v="1"/>
    <x v="10"/>
    <n v="5"/>
    <n v="133.19"/>
    <n v="0"/>
    <x v="715"/>
    <x v="706"/>
    <x v="1"/>
  </r>
  <r>
    <x v="721"/>
    <s v="2025-09-01"/>
    <x v="1"/>
    <x v="229"/>
    <x v="118"/>
    <x v="0"/>
    <x v="1"/>
    <x v="8"/>
    <n v="3"/>
    <n v="193.8"/>
    <n v="0.15"/>
    <x v="716"/>
    <x v="707"/>
    <x v="1"/>
  </r>
  <r>
    <x v="722"/>
    <s v="2025-10-30"/>
    <x v="6"/>
    <x v="392"/>
    <x v="304"/>
    <x v="2"/>
    <x v="2"/>
    <x v="2"/>
    <n v="5"/>
    <n v="29.82"/>
    <n v="0"/>
    <x v="717"/>
    <x v="684"/>
    <x v="1"/>
  </r>
  <r>
    <x v="723"/>
    <s v="2025-12-03"/>
    <x v="3"/>
    <x v="223"/>
    <x v="154"/>
    <x v="4"/>
    <x v="0"/>
    <x v="0"/>
    <n v="4"/>
    <n v="66.7"/>
    <n v="0.05"/>
    <x v="718"/>
    <x v="383"/>
    <x v="1"/>
  </r>
  <r>
    <x v="724"/>
    <s v="2025-11-03"/>
    <x v="10"/>
    <x v="147"/>
    <x v="50"/>
    <x v="4"/>
    <x v="1"/>
    <x v="8"/>
    <n v="7"/>
    <n v="97.89"/>
    <n v="0.05"/>
    <x v="719"/>
    <x v="708"/>
    <x v="1"/>
  </r>
  <r>
    <x v="725"/>
    <s v="2025-07-20"/>
    <x v="4"/>
    <x v="215"/>
    <x v="238"/>
    <x v="2"/>
    <x v="2"/>
    <x v="2"/>
    <n v="6"/>
    <n v="175.66"/>
    <n v="0.15"/>
    <x v="720"/>
    <x v="709"/>
    <x v="2"/>
  </r>
  <r>
    <x v="726"/>
    <s v="2025-07-31"/>
    <x v="4"/>
    <x v="393"/>
    <x v="381"/>
    <x v="3"/>
    <x v="0"/>
    <x v="3"/>
    <n v="8"/>
    <n v="214.84"/>
    <n v="0.15"/>
    <x v="721"/>
    <x v="710"/>
    <x v="2"/>
  </r>
  <r>
    <x v="727"/>
    <s v="2025-04-13"/>
    <x v="9"/>
    <x v="22"/>
    <x v="382"/>
    <x v="1"/>
    <x v="3"/>
    <x v="11"/>
    <n v="6"/>
    <n v="197.3"/>
    <n v="0"/>
    <x v="722"/>
    <x v="711"/>
    <x v="0"/>
  </r>
  <r>
    <x v="728"/>
    <s v="2025-01-24"/>
    <x v="5"/>
    <x v="134"/>
    <x v="120"/>
    <x v="4"/>
    <x v="1"/>
    <x v="1"/>
    <n v="6"/>
    <n v="149.57"/>
    <n v="0.15"/>
    <x v="723"/>
    <x v="712"/>
    <x v="2"/>
  </r>
  <r>
    <x v="729"/>
    <s v="2025-08-10"/>
    <x v="0"/>
    <x v="182"/>
    <x v="254"/>
    <x v="4"/>
    <x v="0"/>
    <x v="3"/>
    <n v="7"/>
    <n v="223.66"/>
    <n v="0.05"/>
    <x v="724"/>
    <x v="713"/>
    <x v="1"/>
  </r>
  <r>
    <x v="730"/>
    <s v="2025-08-01"/>
    <x v="0"/>
    <x v="128"/>
    <x v="383"/>
    <x v="4"/>
    <x v="0"/>
    <x v="0"/>
    <n v="8"/>
    <n v="84.23"/>
    <n v="0"/>
    <x v="725"/>
    <x v="714"/>
    <x v="0"/>
  </r>
  <r>
    <x v="731"/>
    <s v="2025-07-10"/>
    <x v="4"/>
    <x v="394"/>
    <x v="384"/>
    <x v="1"/>
    <x v="2"/>
    <x v="6"/>
    <n v="1"/>
    <n v="24.09"/>
    <n v="0"/>
    <x v="726"/>
    <x v="715"/>
    <x v="1"/>
  </r>
  <r>
    <x v="732"/>
    <s v="2025-06-02"/>
    <x v="2"/>
    <x v="395"/>
    <x v="385"/>
    <x v="4"/>
    <x v="3"/>
    <x v="9"/>
    <n v="5"/>
    <n v="237.11"/>
    <n v="0.1"/>
    <x v="727"/>
    <x v="716"/>
    <x v="1"/>
  </r>
  <r>
    <x v="733"/>
    <s v="2025-11-26"/>
    <x v="10"/>
    <x v="137"/>
    <x v="318"/>
    <x v="0"/>
    <x v="2"/>
    <x v="4"/>
    <n v="1"/>
    <n v="127.67"/>
    <n v="0"/>
    <x v="728"/>
    <x v="717"/>
    <x v="0"/>
  </r>
  <r>
    <x v="734"/>
    <s v="2025-09-02"/>
    <x v="1"/>
    <x v="104"/>
    <x v="386"/>
    <x v="4"/>
    <x v="0"/>
    <x v="3"/>
    <n v="6"/>
    <n v="97.67"/>
    <n v="0.05"/>
    <x v="355"/>
    <x v="718"/>
    <x v="0"/>
  </r>
  <r>
    <x v="735"/>
    <s v="2025-10-07"/>
    <x v="6"/>
    <x v="209"/>
    <x v="8"/>
    <x v="4"/>
    <x v="1"/>
    <x v="1"/>
    <n v="7"/>
    <n v="146.66999999999999"/>
    <n v="0"/>
    <x v="729"/>
    <x v="719"/>
    <x v="0"/>
  </r>
  <r>
    <x v="736"/>
    <s v="2025-11-19"/>
    <x v="10"/>
    <x v="40"/>
    <x v="38"/>
    <x v="2"/>
    <x v="2"/>
    <x v="2"/>
    <n v="7"/>
    <n v="230.33"/>
    <n v="0.15"/>
    <x v="730"/>
    <x v="720"/>
    <x v="2"/>
  </r>
  <r>
    <x v="737"/>
    <s v="2025-05-27"/>
    <x v="11"/>
    <x v="199"/>
    <x v="109"/>
    <x v="3"/>
    <x v="2"/>
    <x v="2"/>
    <n v="7"/>
    <n v="139.38"/>
    <n v="0.05"/>
    <x v="731"/>
    <x v="721"/>
    <x v="0"/>
  </r>
  <r>
    <x v="738"/>
    <s v="2025-08-22"/>
    <x v="0"/>
    <x v="228"/>
    <x v="378"/>
    <x v="1"/>
    <x v="0"/>
    <x v="0"/>
    <n v="4"/>
    <n v="196.43"/>
    <n v="0.1"/>
    <x v="732"/>
    <x v="722"/>
    <x v="0"/>
  </r>
  <r>
    <x v="739"/>
    <s v="2025-05-26"/>
    <x v="11"/>
    <x v="369"/>
    <x v="55"/>
    <x v="3"/>
    <x v="3"/>
    <x v="9"/>
    <n v="1"/>
    <n v="210.96"/>
    <n v="0.1"/>
    <x v="733"/>
    <x v="723"/>
    <x v="0"/>
  </r>
  <r>
    <x v="740"/>
    <s v="2025-12-25"/>
    <x v="3"/>
    <x v="63"/>
    <x v="199"/>
    <x v="2"/>
    <x v="1"/>
    <x v="8"/>
    <n v="4"/>
    <n v="130.47"/>
    <n v="0.15"/>
    <x v="734"/>
    <x v="724"/>
    <x v="2"/>
  </r>
  <r>
    <x v="741"/>
    <s v="2025-10-19"/>
    <x v="6"/>
    <x v="19"/>
    <x v="67"/>
    <x v="0"/>
    <x v="0"/>
    <x v="3"/>
    <n v="1"/>
    <n v="84.18"/>
    <n v="0.1"/>
    <x v="735"/>
    <x v="725"/>
    <x v="1"/>
  </r>
  <r>
    <x v="742"/>
    <s v="2025-03-27"/>
    <x v="7"/>
    <x v="181"/>
    <x v="238"/>
    <x v="4"/>
    <x v="0"/>
    <x v="7"/>
    <n v="6"/>
    <n v="239.5"/>
    <n v="0"/>
    <x v="736"/>
    <x v="726"/>
    <x v="0"/>
  </r>
  <r>
    <x v="743"/>
    <s v="2025-03-29"/>
    <x v="7"/>
    <x v="211"/>
    <x v="63"/>
    <x v="2"/>
    <x v="2"/>
    <x v="5"/>
    <n v="5"/>
    <n v="24.06"/>
    <n v="0"/>
    <x v="737"/>
    <x v="727"/>
    <x v="1"/>
  </r>
  <r>
    <x v="744"/>
    <s v="2025-07-02"/>
    <x v="4"/>
    <x v="254"/>
    <x v="383"/>
    <x v="4"/>
    <x v="1"/>
    <x v="10"/>
    <n v="2"/>
    <n v="151.47"/>
    <n v="0.1"/>
    <x v="738"/>
    <x v="728"/>
    <x v="1"/>
  </r>
  <r>
    <x v="745"/>
    <s v="2025-06-07"/>
    <x v="2"/>
    <x v="14"/>
    <x v="96"/>
    <x v="4"/>
    <x v="0"/>
    <x v="7"/>
    <n v="6"/>
    <n v="117.25"/>
    <n v="0.05"/>
    <x v="739"/>
    <x v="729"/>
    <x v="0"/>
  </r>
  <r>
    <x v="746"/>
    <s v="2025-07-07"/>
    <x v="4"/>
    <x v="7"/>
    <x v="278"/>
    <x v="4"/>
    <x v="3"/>
    <x v="9"/>
    <n v="5"/>
    <n v="195.46"/>
    <n v="0.15"/>
    <x v="740"/>
    <x v="730"/>
    <x v="0"/>
  </r>
  <r>
    <x v="747"/>
    <s v="2025-12-24"/>
    <x v="3"/>
    <x v="396"/>
    <x v="26"/>
    <x v="2"/>
    <x v="1"/>
    <x v="1"/>
    <n v="3"/>
    <n v="123.97"/>
    <n v="0.05"/>
    <x v="741"/>
    <x v="731"/>
    <x v="2"/>
  </r>
  <r>
    <x v="748"/>
    <s v="2025-06-28"/>
    <x v="2"/>
    <x v="250"/>
    <x v="387"/>
    <x v="0"/>
    <x v="2"/>
    <x v="5"/>
    <n v="6"/>
    <n v="140.32"/>
    <n v="0.05"/>
    <x v="742"/>
    <x v="732"/>
    <x v="1"/>
  </r>
  <r>
    <x v="749"/>
    <s v="2025-11-08"/>
    <x v="10"/>
    <x v="167"/>
    <x v="194"/>
    <x v="4"/>
    <x v="3"/>
    <x v="9"/>
    <n v="7"/>
    <n v="76.91"/>
    <n v="0.15"/>
    <x v="743"/>
    <x v="733"/>
    <x v="2"/>
  </r>
  <r>
    <x v="750"/>
    <s v="2025-08-03"/>
    <x v="0"/>
    <x v="386"/>
    <x v="91"/>
    <x v="0"/>
    <x v="0"/>
    <x v="7"/>
    <n v="3"/>
    <n v="241.6"/>
    <n v="0.1"/>
    <x v="744"/>
    <x v="734"/>
    <x v="1"/>
  </r>
  <r>
    <x v="751"/>
    <s v="2025-12-09"/>
    <x v="3"/>
    <x v="397"/>
    <x v="388"/>
    <x v="4"/>
    <x v="3"/>
    <x v="11"/>
    <n v="1"/>
    <n v="31.95"/>
    <n v="0"/>
    <x v="745"/>
    <x v="735"/>
    <x v="0"/>
  </r>
  <r>
    <x v="752"/>
    <s v="2025-10-15"/>
    <x v="6"/>
    <x v="127"/>
    <x v="223"/>
    <x v="4"/>
    <x v="1"/>
    <x v="1"/>
    <n v="8"/>
    <n v="56.13"/>
    <n v="0.1"/>
    <x v="746"/>
    <x v="736"/>
    <x v="0"/>
  </r>
  <r>
    <x v="753"/>
    <s v="2025-04-16"/>
    <x v="9"/>
    <x v="395"/>
    <x v="47"/>
    <x v="4"/>
    <x v="0"/>
    <x v="3"/>
    <n v="2"/>
    <n v="75.19"/>
    <n v="0.05"/>
    <x v="747"/>
    <x v="737"/>
    <x v="2"/>
  </r>
  <r>
    <x v="754"/>
    <s v="2025-09-24"/>
    <x v="1"/>
    <x v="349"/>
    <x v="366"/>
    <x v="2"/>
    <x v="2"/>
    <x v="5"/>
    <n v="8"/>
    <n v="207.99"/>
    <n v="0"/>
    <x v="748"/>
    <x v="738"/>
    <x v="2"/>
  </r>
  <r>
    <x v="755"/>
    <s v="2025-05-14"/>
    <x v="11"/>
    <x v="398"/>
    <x v="266"/>
    <x v="4"/>
    <x v="3"/>
    <x v="12"/>
    <n v="1"/>
    <n v="211.84"/>
    <n v="0"/>
    <x v="749"/>
    <x v="739"/>
    <x v="2"/>
  </r>
  <r>
    <x v="756"/>
    <s v="2025-06-06"/>
    <x v="2"/>
    <x v="367"/>
    <x v="389"/>
    <x v="0"/>
    <x v="3"/>
    <x v="12"/>
    <n v="4"/>
    <n v="51.42"/>
    <n v="0.1"/>
    <x v="750"/>
    <x v="740"/>
    <x v="0"/>
  </r>
  <r>
    <x v="757"/>
    <s v="2025-01-03"/>
    <x v="5"/>
    <x v="38"/>
    <x v="390"/>
    <x v="3"/>
    <x v="2"/>
    <x v="6"/>
    <n v="7"/>
    <n v="181.33"/>
    <n v="0.1"/>
    <x v="751"/>
    <x v="741"/>
    <x v="1"/>
  </r>
  <r>
    <x v="758"/>
    <s v="2025-07-07"/>
    <x v="4"/>
    <x v="113"/>
    <x v="270"/>
    <x v="4"/>
    <x v="1"/>
    <x v="8"/>
    <n v="1"/>
    <n v="118.72"/>
    <n v="0.1"/>
    <x v="752"/>
    <x v="742"/>
    <x v="2"/>
  </r>
  <r>
    <x v="759"/>
    <s v="2025-10-21"/>
    <x v="6"/>
    <x v="194"/>
    <x v="391"/>
    <x v="4"/>
    <x v="3"/>
    <x v="12"/>
    <n v="7"/>
    <n v="220.63"/>
    <n v="0.05"/>
    <x v="753"/>
    <x v="743"/>
    <x v="2"/>
  </r>
  <r>
    <x v="760"/>
    <s v="2025-04-12"/>
    <x v="9"/>
    <x v="145"/>
    <x v="392"/>
    <x v="3"/>
    <x v="2"/>
    <x v="5"/>
    <n v="3"/>
    <n v="30.52"/>
    <n v="0"/>
    <x v="754"/>
    <x v="744"/>
    <x v="0"/>
  </r>
  <r>
    <x v="761"/>
    <s v="2025-09-26"/>
    <x v="1"/>
    <x v="306"/>
    <x v="245"/>
    <x v="0"/>
    <x v="0"/>
    <x v="7"/>
    <n v="8"/>
    <n v="54.97"/>
    <n v="0"/>
    <x v="755"/>
    <x v="745"/>
    <x v="0"/>
  </r>
  <r>
    <x v="762"/>
    <s v="2025-06-22"/>
    <x v="2"/>
    <x v="395"/>
    <x v="350"/>
    <x v="0"/>
    <x v="2"/>
    <x v="4"/>
    <n v="5"/>
    <n v="180.88"/>
    <n v="0.05"/>
    <x v="756"/>
    <x v="746"/>
    <x v="1"/>
  </r>
  <r>
    <x v="763"/>
    <s v="2025-10-12"/>
    <x v="6"/>
    <x v="373"/>
    <x v="392"/>
    <x v="0"/>
    <x v="0"/>
    <x v="7"/>
    <n v="8"/>
    <n v="226.82"/>
    <n v="0.15"/>
    <x v="757"/>
    <x v="747"/>
    <x v="0"/>
  </r>
  <r>
    <x v="764"/>
    <s v="2025-03-28"/>
    <x v="7"/>
    <x v="369"/>
    <x v="345"/>
    <x v="4"/>
    <x v="3"/>
    <x v="11"/>
    <n v="5"/>
    <n v="29.22"/>
    <n v="0.15"/>
    <x v="758"/>
    <x v="748"/>
    <x v="1"/>
  </r>
  <r>
    <x v="765"/>
    <s v="2025-02-05"/>
    <x v="8"/>
    <x v="26"/>
    <x v="393"/>
    <x v="2"/>
    <x v="3"/>
    <x v="12"/>
    <n v="2"/>
    <n v="249.82"/>
    <n v="0.05"/>
    <x v="759"/>
    <x v="749"/>
    <x v="1"/>
  </r>
  <r>
    <x v="766"/>
    <s v="2025-04-10"/>
    <x v="9"/>
    <x v="33"/>
    <x v="297"/>
    <x v="2"/>
    <x v="2"/>
    <x v="4"/>
    <n v="8"/>
    <n v="91.08"/>
    <n v="0.1"/>
    <x v="760"/>
    <x v="750"/>
    <x v="0"/>
  </r>
  <r>
    <x v="767"/>
    <s v="2025-09-17"/>
    <x v="1"/>
    <x v="188"/>
    <x v="208"/>
    <x v="3"/>
    <x v="0"/>
    <x v="3"/>
    <n v="6"/>
    <n v="145.27000000000001"/>
    <n v="0.05"/>
    <x v="761"/>
    <x v="751"/>
    <x v="0"/>
  </r>
  <r>
    <x v="768"/>
    <s v="2025-06-28"/>
    <x v="2"/>
    <x v="46"/>
    <x v="394"/>
    <x v="0"/>
    <x v="1"/>
    <x v="1"/>
    <n v="8"/>
    <n v="53.73"/>
    <n v="0.05"/>
    <x v="762"/>
    <x v="752"/>
    <x v="2"/>
  </r>
  <r>
    <x v="769"/>
    <s v="2025-03-24"/>
    <x v="7"/>
    <x v="101"/>
    <x v="337"/>
    <x v="0"/>
    <x v="0"/>
    <x v="3"/>
    <n v="8"/>
    <n v="132.35"/>
    <n v="0.1"/>
    <x v="763"/>
    <x v="753"/>
    <x v="2"/>
  </r>
  <r>
    <x v="770"/>
    <s v="2025-03-05"/>
    <x v="7"/>
    <x v="150"/>
    <x v="271"/>
    <x v="3"/>
    <x v="0"/>
    <x v="0"/>
    <n v="1"/>
    <n v="48.91"/>
    <n v="0.15"/>
    <x v="764"/>
    <x v="754"/>
    <x v="0"/>
  </r>
  <r>
    <x v="771"/>
    <s v="2025-03-15"/>
    <x v="7"/>
    <x v="399"/>
    <x v="29"/>
    <x v="1"/>
    <x v="3"/>
    <x v="11"/>
    <n v="8"/>
    <n v="170.07"/>
    <n v="0.15"/>
    <x v="765"/>
    <x v="755"/>
    <x v="1"/>
  </r>
  <r>
    <x v="772"/>
    <s v="2025-09-24"/>
    <x v="1"/>
    <x v="400"/>
    <x v="28"/>
    <x v="0"/>
    <x v="0"/>
    <x v="7"/>
    <n v="4"/>
    <n v="214.47"/>
    <n v="0"/>
    <x v="766"/>
    <x v="756"/>
    <x v="0"/>
  </r>
  <r>
    <x v="773"/>
    <s v="2025-06-29"/>
    <x v="2"/>
    <x v="401"/>
    <x v="395"/>
    <x v="2"/>
    <x v="3"/>
    <x v="9"/>
    <n v="2"/>
    <n v="116.98"/>
    <n v="0.05"/>
    <x v="767"/>
    <x v="757"/>
    <x v="0"/>
  </r>
  <r>
    <x v="774"/>
    <s v="2025-05-12"/>
    <x v="11"/>
    <x v="402"/>
    <x v="306"/>
    <x v="3"/>
    <x v="2"/>
    <x v="6"/>
    <n v="8"/>
    <n v="127.95"/>
    <n v="0.15"/>
    <x v="768"/>
    <x v="758"/>
    <x v="2"/>
  </r>
  <r>
    <x v="775"/>
    <s v="2025-10-29"/>
    <x v="6"/>
    <x v="62"/>
    <x v="45"/>
    <x v="2"/>
    <x v="0"/>
    <x v="7"/>
    <n v="1"/>
    <n v="129.34"/>
    <n v="0.1"/>
    <x v="769"/>
    <x v="759"/>
    <x v="2"/>
  </r>
  <r>
    <x v="776"/>
    <s v="2025-10-09"/>
    <x v="6"/>
    <x v="50"/>
    <x v="180"/>
    <x v="3"/>
    <x v="1"/>
    <x v="8"/>
    <n v="6"/>
    <n v="102.22"/>
    <n v="0"/>
    <x v="770"/>
    <x v="760"/>
    <x v="1"/>
  </r>
  <r>
    <x v="777"/>
    <s v="2025-11-29"/>
    <x v="10"/>
    <x v="146"/>
    <x v="133"/>
    <x v="1"/>
    <x v="2"/>
    <x v="4"/>
    <n v="5"/>
    <n v="70.239999999999995"/>
    <n v="0.05"/>
    <x v="771"/>
    <x v="761"/>
    <x v="0"/>
  </r>
  <r>
    <x v="778"/>
    <s v="2025-07-17"/>
    <x v="4"/>
    <x v="403"/>
    <x v="271"/>
    <x v="1"/>
    <x v="2"/>
    <x v="4"/>
    <n v="1"/>
    <n v="106"/>
    <n v="0"/>
    <x v="772"/>
    <x v="762"/>
    <x v="1"/>
  </r>
  <r>
    <x v="779"/>
    <s v="2025-10-12"/>
    <x v="6"/>
    <x v="166"/>
    <x v="396"/>
    <x v="0"/>
    <x v="1"/>
    <x v="8"/>
    <n v="5"/>
    <n v="182.08"/>
    <n v="0.15"/>
    <x v="773"/>
    <x v="763"/>
    <x v="0"/>
  </r>
  <r>
    <x v="780"/>
    <s v="2025-01-26"/>
    <x v="5"/>
    <x v="404"/>
    <x v="360"/>
    <x v="1"/>
    <x v="2"/>
    <x v="5"/>
    <n v="1"/>
    <n v="59.51"/>
    <n v="0.1"/>
    <x v="774"/>
    <x v="687"/>
    <x v="0"/>
  </r>
  <r>
    <x v="781"/>
    <s v="2025-05-27"/>
    <x v="11"/>
    <x v="171"/>
    <x v="139"/>
    <x v="1"/>
    <x v="1"/>
    <x v="1"/>
    <n v="1"/>
    <n v="180.09"/>
    <n v="0"/>
    <x v="775"/>
    <x v="764"/>
    <x v="1"/>
  </r>
  <r>
    <x v="782"/>
    <s v="2025-10-09"/>
    <x v="6"/>
    <x v="105"/>
    <x v="276"/>
    <x v="0"/>
    <x v="2"/>
    <x v="2"/>
    <n v="7"/>
    <n v="92.4"/>
    <n v="0"/>
    <x v="776"/>
    <x v="765"/>
    <x v="2"/>
  </r>
  <r>
    <x v="783"/>
    <s v="2025-08-15"/>
    <x v="0"/>
    <x v="67"/>
    <x v="109"/>
    <x v="2"/>
    <x v="2"/>
    <x v="4"/>
    <n v="6"/>
    <n v="35.69"/>
    <n v="0.1"/>
    <x v="777"/>
    <x v="766"/>
    <x v="2"/>
  </r>
  <r>
    <x v="784"/>
    <s v="2025-10-13"/>
    <x v="6"/>
    <x v="151"/>
    <x v="95"/>
    <x v="2"/>
    <x v="3"/>
    <x v="11"/>
    <n v="4"/>
    <n v="194.36"/>
    <n v="0.1"/>
    <x v="778"/>
    <x v="767"/>
    <x v="1"/>
  </r>
  <r>
    <x v="785"/>
    <s v="2025-01-07"/>
    <x v="5"/>
    <x v="130"/>
    <x v="58"/>
    <x v="0"/>
    <x v="1"/>
    <x v="1"/>
    <n v="7"/>
    <n v="48.61"/>
    <n v="0.1"/>
    <x v="779"/>
    <x v="768"/>
    <x v="2"/>
  </r>
  <r>
    <x v="786"/>
    <s v="2025-06-22"/>
    <x v="2"/>
    <x v="176"/>
    <x v="397"/>
    <x v="3"/>
    <x v="0"/>
    <x v="7"/>
    <n v="5"/>
    <n v="148.44"/>
    <n v="0.1"/>
    <x v="780"/>
    <x v="769"/>
    <x v="0"/>
  </r>
  <r>
    <x v="787"/>
    <s v="2025-10-30"/>
    <x v="6"/>
    <x v="342"/>
    <x v="156"/>
    <x v="3"/>
    <x v="3"/>
    <x v="9"/>
    <n v="3"/>
    <n v="243.52"/>
    <n v="0.1"/>
    <x v="781"/>
    <x v="770"/>
    <x v="2"/>
  </r>
  <r>
    <x v="788"/>
    <s v="2025-06-09"/>
    <x v="2"/>
    <x v="389"/>
    <x v="398"/>
    <x v="3"/>
    <x v="3"/>
    <x v="11"/>
    <n v="2"/>
    <n v="32.31"/>
    <n v="0.1"/>
    <x v="782"/>
    <x v="771"/>
    <x v="1"/>
  </r>
  <r>
    <x v="789"/>
    <s v="2025-08-26"/>
    <x v="0"/>
    <x v="287"/>
    <x v="104"/>
    <x v="0"/>
    <x v="1"/>
    <x v="8"/>
    <n v="1"/>
    <n v="192.86"/>
    <n v="0"/>
    <x v="783"/>
    <x v="772"/>
    <x v="0"/>
  </r>
  <r>
    <x v="790"/>
    <s v="2025-08-26"/>
    <x v="0"/>
    <x v="225"/>
    <x v="379"/>
    <x v="0"/>
    <x v="0"/>
    <x v="7"/>
    <n v="7"/>
    <n v="205.05"/>
    <n v="0"/>
    <x v="784"/>
    <x v="773"/>
    <x v="1"/>
  </r>
  <r>
    <x v="791"/>
    <s v="2025-04-01"/>
    <x v="9"/>
    <x v="323"/>
    <x v="79"/>
    <x v="1"/>
    <x v="2"/>
    <x v="4"/>
    <n v="7"/>
    <n v="130.6"/>
    <n v="0.1"/>
    <x v="785"/>
    <x v="774"/>
    <x v="2"/>
  </r>
  <r>
    <x v="792"/>
    <s v="2025-09-22"/>
    <x v="1"/>
    <x v="405"/>
    <x v="40"/>
    <x v="0"/>
    <x v="0"/>
    <x v="3"/>
    <n v="5"/>
    <n v="44.67"/>
    <n v="0"/>
    <x v="366"/>
    <x v="775"/>
    <x v="0"/>
  </r>
  <r>
    <x v="793"/>
    <s v="2025-09-23"/>
    <x v="1"/>
    <x v="220"/>
    <x v="320"/>
    <x v="2"/>
    <x v="2"/>
    <x v="2"/>
    <n v="6"/>
    <n v="89.54"/>
    <n v="0.05"/>
    <x v="786"/>
    <x v="776"/>
    <x v="0"/>
  </r>
  <r>
    <x v="794"/>
    <s v="2025-11-17"/>
    <x v="10"/>
    <x v="39"/>
    <x v="175"/>
    <x v="3"/>
    <x v="1"/>
    <x v="10"/>
    <n v="4"/>
    <n v="23.44"/>
    <n v="0"/>
    <x v="787"/>
    <x v="777"/>
    <x v="0"/>
  </r>
  <r>
    <x v="795"/>
    <s v="2025-03-17"/>
    <x v="7"/>
    <x v="390"/>
    <x v="273"/>
    <x v="0"/>
    <x v="2"/>
    <x v="5"/>
    <n v="8"/>
    <n v="77.13"/>
    <n v="0"/>
    <x v="788"/>
    <x v="778"/>
    <x v="1"/>
  </r>
  <r>
    <x v="796"/>
    <s v="2025-06-25"/>
    <x v="2"/>
    <x v="406"/>
    <x v="234"/>
    <x v="4"/>
    <x v="1"/>
    <x v="1"/>
    <n v="8"/>
    <n v="214.26"/>
    <n v="0.05"/>
    <x v="789"/>
    <x v="779"/>
    <x v="1"/>
  </r>
  <r>
    <x v="797"/>
    <s v="2025-03-06"/>
    <x v="7"/>
    <x v="236"/>
    <x v="399"/>
    <x v="3"/>
    <x v="2"/>
    <x v="5"/>
    <n v="3"/>
    <n v="214.2"/>
    <n v="0.1"/>
    <x v="790"/>
    <x v="780"/>
    <x v="0"/>
  </r>
  <r>
    <x v="798"/>
    <s v="2025-02-22"/>
    <x v="8"/>
    <x v="268"/>
    <x v="70"/>
    <x v="2"/>
    <x v="3"/>
    <x v="12"/>
    <n v="3"/>
    <n v="102.4"/>
    <n v="0.05"/>
    <x v="791"/>
    <x v="324"/>
    <x v="1"/>
  </r>
  <r>
    <x v="799"/>
    <s v="2025-02-17"/>
    <x v="8"/>
    <x v="95"/>
    <x v="242"/>
    <x v="3"/>
    <x v="1"/>
    <x v="1"/>
    <n v="7"/>
    <n v="181.11"/>
    <n v="0.15"/>
    <x v="792"/>
    <x v="781"/>
    <x v="2"/>
  </r>
  <r>
    <x v="800"/>
    <s v="2025-12-31"/>
    <x v="3"/>
    <x v="104"/>
    <x v="211"/>
    <x v="1"/>
    <x v="0"/>
    <x v="0"/>
    <n v="1"/>
    <n v="148.41999999999999"/>
    <n v="0"/>
    <x v="793"/>
    <x v="782"/>
    <x v="0"/>
  </r>
  <r>
    <x v="801"/>
    <s v="2025-03-21"/>
    <x v="7"/>
    <x v="351"/>
    <x v="364"/>
    <x v="0"/>
    <x v="3"/>
    <x v="12"/>
    <n v="8"/>
    <n v="157.74"/>
    <n v="0.15"/>
    <x v="794"/>
    <x v="783"/>
    <x v="2"/>
  </r>
  <r>
    <x v="802"/>
    <s v="2025-03-02"/>
    <x v="7"/>
    <x v="208"/>
    <x v="282"/>
    <x v="2"/>
    <x v="2"/>
    <x v="6"/>
    <n v="1"/>
    <n v="156.24"/>
    <n v="0"/>
    <x v="795"/>
    <x v="784"/>
    <x v="2"/>
  </r>
  <r>
    <x v="803"/>
    <s v="2025-02-20"/>
    <x v="8"/>
    <x v="407"/>
    <x v="400"/>
    <x v="3"/>
    <x v="0"/>
    <x v="7"/>
    <n v="7"/>
    <n v="134.63"/>
    <n v="0.1"/>
    <x v="796"/>
    <x v="785"/>
    <x v="1"/>
  </r>
  <r>
    <x v="804"/>
    <s v="2025-05-03"/>
    <x v="11"/>
    <x v="408"/>
    <x v="14"/>
    <x v="3"/>
    <x v="3"/>
    <x v="12"/>
    <n v="7"/>
    <n v="82.16"/>
    <n v="0.1"/>
    <x v="797"/>
    <x v="786"/>
    <x v="1"/>
  </r>
  <r>
    <x v="805"/>
    <s v="2025-09-15"/>
    <x v="1"/>
    <x v="148"/>
    <x v="369"/>
    <x v="3"/>
    <x v="0"/>
    <x v="3"/>
    <n v="6"/>
    <n v="56.66"/>
    <n v="0.15"/>
    <x v="798"/>
    <x v="787"/>
    <x v="0"/>
  </r>
  <r>
    <x v="806"/>
    <s v="2025-04-12"/>
    <x v="9"/>
    <x v="409"/>
    <x v="127"/>
    <x v="3"/>
    <x v="2"/>
    <x v="2"/>
    <n v="7"/>
    <n v="16.34"/>
    <n v="0"/>
    <x v="799"/>
    <x v="584"/>
    <x v="2"/>
  </r>
  <r>
    <x v="807"/>
    <s v="2025-11-18"/>
    <x v="10"/>
    <x v="307"/>
    <x v="199"/>
    <x v="0"/>
    <x v="3"/>
    <x v="11"/>
    <n v="6"/>
    <n v="138.52000000000001"/>
    <n v="0.15"/>
    <x v="800"/>
    <x v="788"/>
    <x v="0"/>
  </r>
  <r>
    <x v="808"/>
    <s v="2025-09-24"/>
    <x v="1"/>
    <x v="349"/>
    <x v="32"/>
    <x v="1"/>
    <x v="0"/>
    <x v="7"/>
    <n v="3"/>
    <n v="171.58"/>
    <n v="0.05"/>
    <x v="801"/>
    <x v="640"/>
    <x v="0"/>
  </r>
  <r>
    <x v="809"/>
    <s v="2025-05-18"/>
    <x v="11"/>
    <x v="410"/>
    <x v="401"/>
    <x v="2"/>
    <x v="0"/>
    <x v="0"/>
    <n v="2"/>
    <n v="233.79"/>
    <n v="0.1"/>
    <x v="802"/>
    <x v="789"/>
    <x v="1"/>
  </r>
  <r>
    <x v="810"/>
    <s v="2025-01-01"/>
    <x v="5"/>
    <x v="41"/>
    <x v="402"/>
    <x v="4"/>
    <x v="0"/>
    <x v="0"/>
    <n v="1"/>
    <n v="124.7"/>
    <n v="0.1"/>
    <x v="803"/>
    <x v="790"/>
    <x v="0"/>
  </r>
  <r>
    <x v="811"/>
    <s v="2025-05-18"/>
    <x v="11"/>
    <x v="122"/>
    <x v="170"/>
    <x v="1"/>
    <x v="3"/>
    <x v="9"/>
    <n v="6"/>
    <n v="218.3"/>
    <n v="0.05"/>
    <x v="804"/>
    <x v="791"/>
    <x v="1"/>
  </r>
  <r>
    <x v="812"/>
    <s v="2025-06-28"/>
    <x v="2"/>
    <x v="113"/>
    <x v="236"/>
    <x v="4"/>
    <x v="2"/>
    <x v="4"/>
    <n v="7"/>
    <n v="183.56"/>
    <n v="0"/>
    <x v="805"/>
    <x v="792"/>
    <x v="2"/>
  </r>
  <r>
    <x v="813"/>
    <s v="2025-01-21"/>
    <x v="5"/>
    <x v="216"/>
    <x v="386"/>
    <x v="0"/>
    <x v="1"/>
    <x v="10"/>
    <n v="3"/>
    <n v="129.69999999999999"/>
    <n v="0.15"/>
    <x v="806"/>
    <x v="793"/>
    <x v="0"/>
  </r>
  <r>
    <x v="814"/>
    <s v="2025-06-30"/>
    <x v="2"/>
    <x v="284"/>
    <x v="259"/>
    <x v="4"/>
    <x v="3"/>
    <x v="11"/>
    <n v="8"/>
    <n v="109.79"/>
    <n v="0"/>
    <x v="807"/>
    <x v="794"/>
    <x v="1"/>
  </r>
  <r>
    <x v="815"/>
    <s v="2025-06-06"/>
    <x v="2"/>
    <x v="150"/>
    <x v="31"/>
    <x v="3"/>
    <x v="3"/>
    <x v="11"/>
    <n v="7"/>
    <n v="120.45"/>
    <n v="0.15"/>
    <x v="808"/>
    <x v="795"/>
    <x v="0"/>
  </r>
  <r>
    <x v="816"/>
    <s v="2025-08-05"/>
    <x v="0"/>
    <x v="188"/>
    <x v="403"/>
    <x v="2"/>
    <x v="0"/>
    <x v="3"/>
    <n v="1"/>
    <n v="198.98"/>
    <n v="0.05"/>
    <x v="809"/>
    <x v="796"/>
    <x v="2"/>
  </r>
  <r>
    <x v="817"/>
    <s v="2025-05-07"/>
    <x v="11"/>
    <x v="411"/>
    <x v="194"/>
    <x v="2"/>
    <x v="1"/>
    <x v="8"/>
    <n v="6"/>
    <n v="241.81"/>
    <n v="0"/>
    <x v="810"/>
    <x v="797"/>
    <x v="1"/>
  </r>
  <r>
    <x v="818"/>
    <s v="2025-07-29"/>
    <x v="4"/>
    <x v="412"/>
    <x v="343"/>
    <x v="4"/>
    <x v="3"/>
    <x v="11"/>
    <n v="5"/>
    <n v="139"/>
    <n v="0.05"/>
    <x v="811"/>
    <x v="798"/>
    <x v="0"/>
  </r>
  <r>
    <x v="819"/>
    <s v="2025-01-26"/>
    <x v="5"/>
    <x v="194"/>
    <x v="404"/>
    <x v="4"/>
    <x v="2"/>
    <x v="6"/>
    <n v="2"/>
    <n v="99.22"/>
    <n v="0"/>
    <x v="812"/>
    <x v="799"/>
    <x v="2"/>
  </r>
  <r>
    <x v="820"/>
    <s v="2025-09-08"/>
    <x v="1"/>
    <x v="413"/>
    <x v="366"/>
    <x v="1"/>
    <x v="2"/>
    <x v="4"/>
    <n v="5"/>
    <n v="30.43"/>
    <n v="0"/>
    <x v="813"/>
    <x v="800"/>
    <x v="1"/>
  </r>
  <r>
    <x v="821"/>
    <s v="2025-04-12"/>
    <x v="9"/>
    <x v="414"/>
    <x v="208"/>
    <x v="3"/>
    <x v="3"/>
    <x v="12"/>
    <n v="1"/>
    <n v="154.24"/>
    <n v="0.05"/>
    <x v="814"/>
    <x v="801"/>
    <x v="2"/>
  </r>
  <r>
    <x v="822"/>
    <s v="2025-02-05"/>
    <x v="8"/>
    <x v="37"/>
    <x v="405"/>
    <x v="4"/>
    <x v="0"/>
    <x v="3"/>
    <n v="6"/>
    <n v="18.46"/>
    <n v="0"/>
    <x v="815"/>
    <x v="802"/>
    <x v="1"/>
  </r>
  <r>
    <x v="823"/>
    <s v="2025-01-17"/>
    <x v="5"/>
    <x v="415"/>
    <x v="10"/>
    <x v="4"/>
    <x v="0"/>
    <x v="7"/>
    <n v="7"/>
    <n v="91.48"/>
    <n v="0.05"/>
    <x v="816"/>
    <x v="363"/>
    <x v="2"/>
  </r>
  <r>
    <x v="824"/>
    <s v="2025-04-06"/>
    <x v="9"/>
    <x v="46"/>
    <x v="176"/>
    <x v="2"/>
    <x v="2"/>
    <x v="4"/>
    <n v="2"/>
    <n v="15.41"/>
    <n v="0"/>
    <x v="817"/>
    <x v="803"/>
    <x v="2"/>
  </r>
  <r>
    <x v="825"/>
    <s v="2025-10-01"/>
    <x v="6"/>
    <x v="234"/>
    <x v="404"/>
    <x v="4"/>
    <x v="0"/>
    <x v="0"/>
    <n v="8"/>
    <n v="180.77"/>
    <n v="0.15"/>
    <x v="818"/>
    <x v="804"/>
    <x v="0"/>
  </r>
  <r>
    <x v="826"/>
    <s v="2025-10-30"/>
    <x v="6"/>
    <x v="52"/>
    <x v="397"/>
    <x v="2"/>
    <x v="0"/>
    <x v="0"/>
    <n v="8"/>
    <n v="243.32"/>
    <n v="0.1"/>
    <x v="819"/>
    <x v="805"/>
    <x v="0"/>
  </r>
  <r>
    <x v="827"/>
    <s v="2025-03-13"/>
    <x v="7"/>
    <x v="27"/>
    <x v="406"/>
    <x v="3"/>
    <x v="0"/>
    <x v="3"/>
    <n v="2"/>
    <n v="94.87"/>
    <n v="0"/>
    <x v="820"/>
    <x v="806"/>
    <x v="0"/>
  </r>
  <r>
    <x v="828"/>
    <s v="2025-04-04"/>
    <x v="9"/>
    <x v="375"/>
    <x v="77"/>
    <x v="0"/>
    <x v="2"/>
    <x v="6"/>
    <n v="6"/>
    <n v="221.92"/>
    <n v="0.1"/>
    <x v="821"/>
    <x v="807"/>
    <x v="0"/>
  </r>
  <r>
    <x v="829"/>
    <s v="2025-12-19"/>
    <x v="3"/>
    <x v="303"/>
    <x v="30"/>
    <x v="3"/>
    <x v="2"/>
    <x v="4"/>
    <n v="3"/>
    <n v="129.46"/>
    <n v="0"/>
    <x v="822"/>
    <x v="808"/>
    <x v="1"/>
  </r>
  <r>
    <x v="830"/>
    <s v="2025-03-13"/>
    <x v="7"/>
    <x v="318"/>
    <x v="296"/>
    <x v="1"/>
    <x v="3"/>
    <x v="9"/>
    <n v="2"/>
    <n v="195.73"/>
    <n v="0.15"/>
    <x v="823"/>
    <x v="809"/>
    <x v="0"/>
  </r>
  <r>
    <x v="831"/>
    <s v="2025-05-18"/>
    <x v="11"/>
    <x v="209"/>
    <x v="240"/>
    <x v="3"/>
    <x v="0"/>
    <x v="7"/>
    <n v="3"/>
    <n v="92.04"/>
    <n v="0.15"/>
    <x v="824"/>
    <x v="810"/>
    <x v="0"/>
  </r>
  <r>
    <x v="832"/>
    <s v="2025-10-25"/>
    <x v="6"/>
    <x v="257"/>
    <x v="285"/>
    <x v="4"/>
    <x v="2"/>
    <x v="2"/>
    <n v="1"/>
    <n v="124.29"/>
    <n v="0"/>
    <x v="825"/>
    <x v="811"/>
    <x v="1"/>
  </r>
  <r>
    <x v="833"/>
    <s v="2025-09-21"/>
    <x v="1"/>
    <x v="194"/>
    <x v="407"/>
    <x v="1"/>
    <x v="3"/>
    <x v="12"/>
    <n v="2"/>
    <n v="75.92"/>
    <n v="0.1"/>
    <x v="826"/>
    <x v="812"/>
    <x v="1"/>
  </r>
  <r>
    <x v="834"/>
    <s v="2025-07-10"/>
    <x v="4"/>
    <x v="248"/>
    <x v="406"/>
    <x v="2"/>
    <x v="3"/>
    <x v="11"/>
    <n v="2"/>
    <n v="54.9"/>
    <n v="0.1"/>
    <x v="827"/>
    <x v="813"/>
    <x v="1"/>
  </r>
  <r>
    <x v="835"/>
    <s v="2025-10-19"/>
    <x v="6"/>
    <x v="49"/>
    <x v="408"/>
    <x v="0"/>
    <x v="3"/>
    <x v="11"/>
    <n v="7"/>
    <n v="188.25"/>
    <n v="0.1"/>
    <x v="828"/>
    <x v="814"/>
    <x v="1"/>
  </r>
  <r>
    <x v="836"/>
    <s v="2025-06-05"/>
    <x v="2"/>
    <x v="152"/>
    <x v="409"/>
    <x v="0"/>
    <x v="2"/>
    <x v="6"/>
    <n v="2"/>
    <n v="93.21"/>
    <n v="0.1"/>
    <x v="829"/>
    <x v="815"/>
    <x v="0"/>
  </r>
  <r>
    <x v="837"/>
    <s v="2025-07-02"/>
    <x v="4"/>
    <x v="158"/>
    <x v="347"/>
    <x v="1"/>
    <x v="3"/>
    <x v="9"/>
    <n v="5"/>
    <n v="234.3"/>
    <n v="0.1"/>
    <x v="830"/>
    <x v="816"/>
    <x v="0"/>
  </r>
  <r>
    <x v="838"/>
    <s v="2025-08-13"/>
    <x v="0"/>
    <x v="416"/>
    <x v="110"/>
    <x v="1"/>
    <x v="2"/>
    <x v="2"/>
    <n v="8"/>
    <n v="217.35"/>
    <n v="0.05"/>
    <x v="831"/>
    <x v="817"/>
    <x v="2"/>
  </r>
  <r>
    <x v="839"/>
    <s v="2025-11-18"/>
    <x v="10"/>
    <x v="51"/>
    <x v="344"/>
    <x v="2"/>
    <x v="1"/>
    <x v="1"/>
    <n v="5"/>
    <n v="73.11"/>
    <n v="0.05"/>
    <x v="832"/>
    <x v="818"/>
    <x v="1"/>
  </r>
  <r>
    <x v="840"/>
    <s v="2025-12-09"/>
    <x v="3"/>
    <x v="128"/>
    <x v="259"/>
    <x v="4"/>
    <x v="3"/>
    <x v="11"/>
    <n v="8"/>
    <n v="136.32"/>
    <n v="0.05"/>
    <x v="833"/>
    <x v="819"/>
    <x v="2"/>
  </r>
  <r>
    <x v="841"/>
    <s v="2025-09-13"/>
    <x v="1"/>
    <x v="417"/>
    <x v="92"/>
    <x v="1"/>
    <x v="0"/>
    <x v="3"/>
    <n v="6"/>
    <n v="190.49"/>
    <n v="0.15"/>
    <x v="834"/>
    <x v="820"/>
    <x v="2"/>
  </r>
  <r>
    <x v="842"/>
    <s v="2025-03-03"/>
    <x v="7"/>
    <x v="179"/>
    <x v="410"/>
    <x v="3"/>
    <x v="0"/>
    <x v="0"/>
    <n v="5"/>
    <n v="82.34"/>
    <n v="0.1"/>
    <x v="835"/>
    <x v="821"/>
    <x v="1"/>
  </r>
  <r>
    <x v="843"/>
    <s v="2025-01-20"/>
    <x v="5"/>
    <x v="375"/>
    <x v="277"/>
    <x v="4"/>
    <x v="1"/>
    <x v="10"/>
    <n v="6"/>
    <n v="107.3"/>
    <n v="0"/>
    <x v="836"/>
    <x v="822"/>
    <x v="0"/>
  </r>
  <r>
    <x v="844"/>
    <s v="2025-10-12"/>
    <x v="6"/>
    <x v="408"/>
    <x v="398"/>
    <x v="3"/>
    <x v="2"/>
    <x v="2"/>
    <n v="5"/>
    <n v="111.23"/>
    <n v="0.05"/>
    <x v="837"/>
    <x v="823"/>
    <x v="2"/>
  </r>
  <r>
    <x v="845"/>
    <s v="2025-03-04"/>
    <x v="7"/>
    <x v="207"/>
    <x v="111"/>
    <x v="2"/>
    <x v="1"/>
    <x v="8"/>
    <n v="6"/>
    <n v="54.32"/>
    <n v="0.15"/>
    <x v="838"/>
    <x v="824"/>
    <x v="1"/>
  </r>
  <r>
    <x v="846"/>
    <s v="2025-06-11"/>
    <x v="2"/>
    <x v="234"/>
    <x v="58"/>
    <x v="0"/>
    <x v="0"/>
    <x v="7"/>
    <n v="3"/>
    <n v="91.65"/>
    <n v="0.1"/>
    <x v="839"/>
    <x v="825"/>
    <x v="1"/>
  </r>
  <r>
    <x v="847"/>
    <s v="2025-04-21"/>
    <x v="9"/>
    <x v="418"/>
    <x v="48"/>
    <x v="0"/>
    <x v="3"/>
    <x v="12"/>
    <n v="5"/>
    <n v="181.15"/>
    <n v="0.15"/>
    <x v="840"/>
    <x v="826"/>
    <x v="0"/>
  </r>
  <r>
    <x v="848"/>
    <s v="2025-12-04"/>
    <x v="3"/>
    <x v="401"/>
    <x v="240"/>
    <x v="3"/>
    <x v="3"/>
    <x v="12"/>
    <n v="5"/>
    <n v="172.08"/>
    <n v="0.05"/>
    <x v="841"/>
    <x v="827"/>
    <x v="1"/>
  </r>
  <r>
    <x v="849"/>
    <s v="2025-04-23"/>
    <x v="9"/>
    <x v="385"/>
    <x v="45"/>
    <x v="1"/>
    <x v="1"/>
    <x v="1"/>
    <n v="6"/>
    <n v="141.78"/>
    <n v="0.15"/>
    <x v="842"/>
    <x v="828"/>
    <x v="0"/>
  </r>
  <r>
    <x v="850"/>
    <s v="2025-01-29"/>
    <x v="5"/>
    <x v="89"/>
    <x v="198"/>
    <x v="1"/>
    <x v="0"/>
    <x v="3"/>
    <n v="5"/>
    <n v="118.76"/>
    <n v="0.05"/>
    <x v="843"/>
    <x v="829"/>
    <x v="0"/>
  </r>
  <r>
    <x v="851"/>
    <s v="2025-09-11"/>
    <x v="1"/>
    <x v="103"/>
    <x v="276"/>
    <x v="2"/>
    <x v="2"/>
    <x v="2"/>
    <n v="5"/>
    <n v="21.07"/>
    <n v="0.05"/>
    <x v="844"/>
    <x v="830"/>
    <x v="2"/>
  </r>
  <r>
    <x v="852"/>
    <s v="2025-08-21"/>
    <x v="0"/>
    <x v="72"/>
    <x v="89"/>
    <x v="1"/>
    <x v="1"/>
    <x v="1"/>
    <n v="4"/>
    <n v="138.71"/>
    <n v="0.1"/>
    <x v="845"/>
    <x v="831"/>
    <x v="2"/>
  </r>
  <r>
    <x v="853"/>
    <s v="2025-12-02"/>
    <x v="3"/>
    <x v="357"/>
    <x v="105"/>
    <x v="0"/>
    <x v="1"/>
    <x v="8"/>
    <n v="5"/>
    <n v="230.11"/>
    <n v="0.05"/>
    <x v="846"/>
    <x v="832"/>
    <x v="0"/>
  </r>
  <r>
    <x v="854"/>
    <s v="2025-11-05"/>
    <x v="10"/>
    <x v="419"/>
    <x v="305"/>
    <x v="4"/>
    <x v="0"/>
    <x v="7"/>
    <n v="1"/>
    <n v="120.29"/>
    <n v="0"/>
    <x v="847"/>
    <x v="833"/>
    <x v="0"/>
  </r>
  <r>
    <x v="855"/>
    <s v="2025-12-09"/>
    <x v="3"/>
    <x v="374"/>
    <x v="290"/>
    <x v="3"/>
    <x v="2"/>
    <x v="2"/>
    <n v="1"/>
    <n v="30.89"/>
    <n v="0.05"/>
    <x v="848"/>
    <x v="834"/>
    <x v="1"/>
  </r>
  <r>
    <x v="856"/>
    <s v="2025-06-04"/>
    <x v="2"/>
    <x v="236"/>
    <x v="271"/>
    <x v="0"/>
    <x v="3"/>
    <x v="11"/>
    <n v="6"/>
    <n v="142.66"/>
    <n v="0"/>
    <x v="849"/>
    <x v="835"/>
    <x v="2"/>
  </r>
  <r>
    <x v="857"/>
    <s v="2025-01-08"/>
    <x v="5"/>
    <x v="102"/>
    <x v="26"/>
    <x v="0"/>
    <x v="2"/>
    <x v="5"/>
    <n v="8"/>
    <n v="180.81"/>
    <n v="0.15"/>
    <x v="850"/>
    <x v="836"/>
    <x v="2"/>
  </r>
  <r>
    <x v="858"/>
    <s v="2025-06-17"/>
    <x v="2"/>
    <x v="30"/>
    <x v="312"/>
    <x v="0"/>
    <x v="0"/>
    <x v="7"/>
    <n v="1"/>
    <n v="203.37"/>
    <n v="0"/>
    <x v="851"/>
    <x v="837"/>
    <x v="2"/>
  </r>
  <r>
    <x v="859"/>
    <s v="2025-10-14"/>
    <x v="6"/>
    <x v="302"/>
    <x v="84"/>
    <x v="4"/>
    <x v="1"/>
    <x v="1"/>
    <n v="6"/>
    <n v="242.41"/>
    <n v="0.1"/>
    <x v="852"/>
    <x v="838"/>
    <x v="1"/>
  </r>
  <r>
    <x v="860"/>
    <s v="2025-05-25"/>
    <x v="11"/>
    <x v="420"/>
    <x v="194"/>
    <x v="3"/>
    <x v="0"/>
    <x v="7"/>
    <n v="7"/>
    <n v="199.93"/>
    <n v="0.05"/>
    <x v="853"/>
    <x v="839"/>
    <x v="1"/>
  </r>
  <r>
    <x v="861"/>
    <s v="2025-11-19"/>
    <x v="10"/>
    <x v="421"/>
    <x v="59"/>
    <x v="4"/>
    <x v="3"/>
    <x v="12"/>
    <n v="4"/>
    <n v="176.55"/>
    <n v="0.15"/>
    <x v="854"/>
    <x v="840"/>
    <x v="1"/>
  </r>
  <r>
    <x v="862"/>
    <s v="2025-02-13"/>
    <x v="8"/>
    <x v="99"/>
    <x v="411"/>
    <x v="3"/>
    <x v="3"/>
    <x v="9"/>
    <n v="4"/>
    <n v="16.79"/>
    <n v="0.05"/>
    <x v="855"/>
    <x v="841"/>
    <x v="1"/>
  </r>
  <r>
    <x v="863"/>
    <s v="2025-03-18"/>
    <x v="7"/>
    <x v="409"/>
    <x v="60"/>
    <x v="1"/>
    <x v="1"/>
    <x v="8"/>
    <n v="7"/>
    <n v="65.19"/>
    <n v="0.05"/>
    <x v="856"/>
    <x v="842"/>
    <x v="2"/>
  </r>
  <r>
    <x v="864"/>
    <s v="2025-12-22"/>
    <x v="3"/>
    <x v="7"/>
    <x v="412"/>
    <x v="3"/>
    <x v="1"/>
    <x v="10"/>
    <n v="4"/>
    <n v="21.02"/>
    <n v="0.15"/>
    <x v="857"/>
    <x v="843"/>
    <x v="2"/>
  </r>
  <r>
    <x v="865"/>
    <s v="2025-05-13"/>
    <x v="11"/>
    <x v="422"/>
    <x v="188"/>
    <x v="2"/>
    <x v="2"/>
    <x v="5"/>
    <n v="5"/>
    <n v="169.02"/>
    <n v="0.1"/>
    <x v="858"/>
    <x v="844"/>
    <x v="0"/>
  </r>
  <r>
    <x v="866"/>
    <s v="2025-07-24"/>
    <x v="4"/>
    <x v="369"/>
    <x v="271"/>
    <x v="3"/>
    <x v="1"/>
    <x v="1"/>
    <n v="5"/>
    <n v="234.66"/>
    <n v="0.1"/>
    <x v="859"/>
    <x v="845"/>
    <x v="0"/>
  </r>
  <r>
    <x v="867"/>
    <s v="2025-06-26"/>
    <x v="2"/>
    <x v="158"/>
    <x v="413"/>
    <x v="4"/>
    <x v="3"/>
    <x v="9"/>
    <n v="5"/>
    <n v="88.37"/>
    <n v="0.15"/>
    <x v="860"/>
    <x v="846"/>
    <x v="2"/>
  </r>
  <r>
    <x v="868"/>
    <s v="2025-06-20"/>
    <x v="2"/>
    <x v="423"/>
    <x v="263"/>
    <x v="3"/>
    <x v="2"/>
    <x v="5"/>
    <n v="6"/>
    <n v="55.61"/>
    <n v="0"/>
    <x v="861"/>
    <x v="847"/>
    <x v="2"/>
  </r>
  <r>
    <x v="869"/>
    <s v="2025-12-26"/>
    <x v="3"/>
    <x v="227"/>
    <x v="224"/>
    <x v="1"/>
    <x v="0"/>
    <x v="3"/>
    <n v="1"/>
    <n v="72.650000000000006"/>
    <n v="0"/>
    <x v="862"/>
    <x v="848"/>
    <x v="2"/>
  </r>
  <r>
    <x v="870"/>
    <s v="2025-02-12"/>
    <x v="8"/>
    <x v="364"/>
    <x v="414"/>
    <x v="0"/>
    <x v="1"/>
    <x v="8"/>
    <n v="8"/>
    <n v="115.51"/>
    <n v="0.05"/>
    <x v="863"/>
    <x v="849"/>
    <x v="2"/>
  </r>
  <r>
    <x v="871"/>
    <s v="2025-01-13"/>
    <x v="5"/>
    <x v="95"/>
    <x v="61"/>
    <x v="4"/>
    <x v="3"/>
    <x v="11"/>
    <n v="5"/>
    <n v="65.89"/>
    <n v="0.1"/>
    <x v="864"/>
    <x v="850"/>
    <x v="0"/>
  </r>
  <r>
    <x v="872"/>
    <s v="2025-05-16"/>
    <x v="11"/>
    <x v="92"/>
    <x v="415"/>
    <x v="2"/>
    <x v="3"/>
    <x v="11"/>
    <n v="6"/>
    <n v="83.07"/>
    <n v="0"/>
    <x v="865"/>
    <x v="851"/>
    <x v="2"/>
  </r>
  <r>
    <x v="873"/>
    <s v="2025-01-12"/>
    <x v="5"/>
    <x v="8"/>
    <x v="133"/>
    <x v="0"/>
    <x v="3"/>
    <x v="12"/>
    <n v="4"/>
    <n v="194.67"/>
    <n v="0.1"/>
    <x v="866"/>
    <x v="852"/>
    <x v="1"/>
  </r>
  <r>
    <x v="874"/>
    <s v="2025-10-12"/>
    <x v="6"/>
    <x v="191"/>
    <x v="190"/>
    <x v="4"/>
    <x v="0"/>
    <x v="7"/>
    <n v="7"/>
    <n v="169.23"/>
    <n v="0.1"/>
    <x v="867"/>
    <x v="853"/>
    <x v="2"/>
  </r>
  <r>
    <x v="875"/>
    <s v="2025-05-21"/>
    <x v="11"/>
    <x v="234"/>
    <x v="118"/>
    <x v="0"/>
    <x v="1"/>
    <x v="1"/>
    <n v="7"/>
    <n v="221.54"/>
    <n v="0.05"/>
    <x v="868"/>
    <x v="854"/>
    <x v="0"/>
  </r>
  <r>
    <x v="876"/>
    <s v="2025-03-20"/>
    <x v="7"/>
    <x v="189"/>
    <x v="416"/>
    <x v="3"/>
    <x v="2"/>
    <x v="5"/>
    <n v="5"/>
    <n v="35.85"/>
    <n v="0.05"/>
    <x v="869"/>
    <x v="175"/>
    <x v="0"/>
  </r>
  <r>
    <x v="877"/>
    <s v="2025-02-14"/>
    <x v="8"/>
    <x v="160"/>
    <x v="417"/>
    <x v="0"/>
    <x v="2"/>
    <x v="2"/>
    <n v="7"/>
    <n v="129.31"/>
    <n v="0"/>
    <x v="870"/>
    <x v="855"/>
    <x v="1"/>
  </r>
  <r>
    <x v="878"/>
    <s v="2025-12-09"/>
    <x v="3"/>
    <x v="269"/>
    <x v="418"/>
    <x v="2"/>
    <x v="0"/>
    <x v="7"/>
    <n v="1"/>
    <n v="151.22999999999999"/>
    <n v="0.1"/>
    <x v="871"/>
    <x v="856"/>
    <x v="2"/>
  </r>
  <r>
    <x v="879"/>
    <s v="2025-10-14"/>
    <x v="6"/>
    <x v="115"/>
    <x v="293"/>
    <x v="2"/>
    <x v="1"/>
    <x v="8"/>
    <n v="1"/>
    <n v="101.72"/>
    <n v="0.05"/>
    <x v="872"/>
    <x v="857"/>
    <x v="0"/>
  </r>
  <r>
    <x v="880"/>
    <s v="2025-10-05"/>
    <x v="6"/>
    <x v="115"/>
    <x v="47"/>
    <x v="3"/>
    <x v="2"/>
    <x v="6"/>
    <n v="1"/>
    <n v="111.04"/>
    <n v="0.15"/>
    <x v="873"/>
    <x v="858"/>
    <x v="1"/>
  </r>
  <r>
    <x v="881"/>
    <s v="2025-07-14"/>
    <x v="4"/>
    <x v="253"/>
    <x v="312"/>
    <x v="3"/>
    <x v="1"/>
    <x v="10"/>
    <n v="7"/>
    <n v="128.38"/>
    <n v="0.05"/>
    <x v="874"/>
    <x v="859"/>
    <x v="2"/>
  </r>
  <r>
    <x v="882"/>
    <s v="2025-08-22"/>
    <x v="0"/>
    <x v="74"/>
    <x v="214"/>
    <x v="2"/>
    <x v="3"/>
    <x v="9"/>
    <n v="8"/>
    <n v="226.43"/>
    <n v="0.05"/>
    <x v="875"/>
    <x v="860"/>
    <x v="2"/>
  </r>
  <r>
    <x v="883"/>
    <s v="2025-07-19"/>
    <x v="4"/>
    <x v="190"/>
    <x v="305"/>
    <x v="0"/>
    <x v="1"/>
    <x v="8"/>
    <n v="7"/>
    <n v="38.799999999999997"/>
    <n v="0"/>
    <x v="876"/>
    <x v="861"/>
    <x v="0"/>
  </r>
  <r>
    <x v="884"/>
    <s v="2025-03-09"/>
    <x v="7"/>
    <x v="298"/>
    <x v="307"/>
    <x v="0"/>
    <x v="2"/>
    <x v="6"/>
    <n v="8"/>
    <n v="47.83"/>
    <n v="0"/>
    <x v="877"/>
    <x v="862"/>
    <x v="1"/>
  </r>
  <r>
    <x v="885"/>
    <s v="2025-04-10"/>
    <x v="9"/>
    <x v="383"/>
    <x v="419"/>
    <x v="0"/>
    <x v="2"/>
    <x v="2"/>
    <n v="6"/>
    <n v="188.8"/>
    <n v="0"/>
    <x v="878"/>
    <x v="863"/>
    <x v="2"/>
  </r>
  <r>
    <x v="886"/>
    <s v="2025-10-15"/>
    <x v="6"/>
    <x v="366"/>
    <x v="333"/>
    <x v="0"/>
    <x v="2"/>
    <x v="2"/>
    <n v="6"/>
    <n v="60.35"/>
    <n v="0.15"/>
    <x v="879"/>
    <x v="864"/>
    <x v="1"/>
  </r>
  <r>
    <x v="887"/>
    <s v="2025-11-13"/>
    <x v="10"/>
    <x v="297"/>
    <x v="227"/>
    <x v="1"/>
    <x v="1"/>
    <x v="1"/>
    <n v="4"/>
    <n v="44.4"/>
    <n v="0.1"/>
    <x v="880"/>
    <x v="865"/>
    <x v="0"/>
  </r>
  <r>
    <x v="888"/>
    <s v="2025-07-07"/>
    <x v="4"/>
    <x v="237"/>
    <x v="420"/>
    <x v="4"/>
    <x v="3"/>
    <x v="9"/>
    <n v="3"/>
    <n v="81.03"/>
    <n v="0.05"/>
    <x v="881"/>
    <x v="866"/>
    <x v="0"/>
  </r>
  <r>
    <x v="889"/>
    <s v="2025-11-07"/>
    <x v="10"/>
    <x v="20"/>
    <x v="379"/>
    <x v="1"/>
    <x v="1"/>
    <x v="1"/>
    <n v="5"/>
    <n v="154.16"/>
    <n v="0"/>
    <x v="882"/>
    <x v="867"/>
    <x v="2"/>
  </r>
  <r>
    <x v="890"/>
    <s v="2025-01-03"/>
    <x v="5"/>
    <x v="281"/>
    <x v="220"/>
    <x v="0"/>
    <x v="1"/>
    <x v="1"/>
    <n v="4"/>
    <n v="173.81"/>
    <n v="0.1"/>
    <x v="883"/>
    <x v="868"/>
    <x v="0"/>
  </r>
  <r>
    <x v="891"/>
    <s v="2025-07-10"/>
    <x v="4"/>
    <x v="424"/>
    <x v="302"/>
    <x v="2"/>
    <x v="2"/>
    <x v="2"/>
    <n v="1"/>
    <n v="193.73"/>
    <n v="0.15"/>
    <x v="884"/>
    <x v="869"/>
    <x v="0"/>
  </r>
  <r>
    <x v="892"/>
    <s v="2025-11-01"/>
    <x v="10"/>
    <x v="371"/>
    <x v="299"/>
    <x v="0"/>
    <x v="1"/>
    <x v="8"/>
    <n v="7"/>
    <n v="86.23"/>
    <n v="0.1"/>
    <x v="885"/>
    <x v="870"/>
    <x v="0"/>
  </r>
  <r>
    <x v="893"/>
    <s v="2025-06-06"/>
    <x v="2"/>
    <x v="408"/>
    <x v="110"/>
    <x v="3"/>
    <x v="1"/>
    <x v="1"/>
    <n v="8"/>
    <n v="68.03"/>
    <n v="0"/>
    <x v="886"/>
    <x v="871"/>
    <x v="0"/>
  </r>
  <r>
    <x v="894"/>
    <s v="2025-02-15"/>
    <x v="8"/>
    <x v="183"/>
    <x v="142"/>
    <x v="4"/>
    <x v="3"/>
    <x v="11"/>
    <n v="5"/>
    <n v="10"/>
    <n v="0.1"/>
    <x v="887"/>
    <x v="166"/>
    <x v="0"/>
  </r>
  <r>
    <x v="895"/>
    <s v="2025-09-06"/>
    <x v="1"/>
    <x v="167"/>
    <x v="151"/>
    <x v="4"/>
    <x v="3"/>
    <x v="11"/>
    <n v="6"/>
    <n v="94.15"/>
    <n v="0.1"/>
    <x v="888"/>
    <x v="872"/>
    <x v="1"/>
  </r>
  <r>
    <x v="896"/>
    <s v="2025-10-22"/>
    <x v="6"/>
    <x v="6"/>
    <x v="125"/>
    <x v="1"/>
    <x v="1"/>
    <x v="1"/>
    <n v="5"/>
    <n v="180.4"/>
    <n v="0.05"/>
    <x v="889"/>
    <x v="873"/>
    <x v="2"/>
  </r>
  <r>
    <x v="897"/>
    <s v="2025-01-31"/>
    <x v="5"/>
    <x v="425"/>
    <x v="182"/>
    <x v="0"/>
    <x v="2"/>
    <x v="4"/>
    <n v="3"/>
    <n v="233.76"/>
    <n v="0.05"/>
    <x v="890"/>
    <x v="874"/>
    <x v="1"/>
  </r>
  <r>
    <x v="898"/>
    <s v="2025-04-06"/>
    <x v="9"/>
    <x v="295"/>
    <x v="401"/>
    <x v="2"/>
    <x v="0"/>
    <x v="7"/>
    <n v="5"/>
    <n v="119.81"/>
    <n v="0.1"/>
    <x v="891"/>
    <x v="875"/>
    <x v="2"/>
  </r>
  <r>
    <x v="899"/>
    <s v="2025-02-26"/>
    <x v="8"/>
    <x v="380"/>
    <x v="295"/>
    <x v="4"/>
    <x v="1"/>
    <x v="8"/>
    <n v="2"/>
    <n v="205.6"/>
    <n v="0"/>
    <x v="892"/>
    <x v="876"/>
    <x v="0"/>
  </r>
  <r>
    <x v="900"/>
    <s v="2025-02-05"/>
    <x v="8"/>
    <x v="293"/>
    <x v="42"/>
    <x v="3"/>
    <x v="1"/>
    <x v="1"/>
    <n v="7"/>
    <n v="80.87"/>
    <n v="0"/>
    <x v="893"/>
    <x v="877"/>
    <x v="1"/>
  </r>
  <r>
    <x v="901"/>
    <s v="2025-10-12"/>
    <x v="6"/>
    <x v="368"/>
    <x v="254"/>
    <x v="2"/>
    <x v="2"/>
    <x v="2"/>
    <n v="6"/>
    <n v="172.42"/>
    <n v="0.1"/>
    <x v="894"/>
    <x v="878"/>
    <x v="0"/>
  </r>
  <r>
    <x v="902"/>
    <s v="2025-07-30"/>
    <x v="4"/>
    <x v="426"/>
    <x v="421"/>
    <x v="2"/>
    <x v="3"/>
    <x v="9"/>
    <n v="6"/>
    <n v="42.98"/>
    <n v="0"/>
    <x v="895"/>
    <x v="879"/>
    <x v="2"/>
  </r>
  <r>
    <x v="903"/>
    <s v="2025-03-29"/>
    <x v="7"/>
    <x v="427"/>
    <x v="377"/>
    <x v="0"/>
    <x v="2"/>
    <x v="5"/>
    <n v="3"/>
    <n v="40.43"/>
    <n v="0.05"/>
    <x v="896"/>
    <x v="880"/>
    <x v="2"/>
  </r>
  <r>
    <x v="904"/>
    <s v="2025-10-19"/>
    <x v="6"/>
    <x v="428"/>
    <x v="364"/>
    <x v="0"/>
    <x v="0"/>
    <x v="7"/>
    <n v="3"/>
    <n v="224.54"/>
    <n v="0.1"/>
    <x v="897"/>
    <x v="881"/>
    <x v="0"/>
  </r>
  <r>
    <x v="905"/>
    <s v="2025-10-08"/>
    <x v="6"/>
    <x v="429"/>
    <x v="152"/>
    <x v="1"/>
    <x v="3"/>
    <x v="9"/>
    <n v="8"/>
    <n v="65.040000000000006"/>
    <n v="0.05"/>
    <x v="898"/>
    <x v="882"/>
    <x v="0"/>
  </r>
  <r>
    <x v="906"/>
    <s v="2025-01-05"/>
    <x v="5"/>
    <x v="374"/>
    <x v="354"/>
    <x v="4"/>
    <x v="2"/>
    <x v="2"/>
    <n v="7"/>
    <n v="65.95"/>
    <n v="0"/>
    <x v="899"/>
    <x v="883"/>
    <x v="2"/>
  </r>
  <r>
    <x v="907"/>
    <s v="2025-01-10"/>
    <x v="5"/>
    <x v="12"/>
    <x v="422"/>
    <x v="0"/>
    <x v="3"/>
    <x v="9"/>
    <n v="3"/>
    <n v="128.82"/>
    <n v="0.05"/>
    <x v="900"/>
    <x v="884"/>
    <x v="2"/>
  </r>
  <r>
    <x v="908"/>
    <s v="2025-04-12"/>
    <x v="9"/>
    <x v="119"/>
    <x v="423"/>
    <x v="1"/>
    <x v="0"/>
    <x v="3"/>
    <n v="1"/>
    <n v="235.78"/>
    <n v="0.05"/>
    <x v="901"/>
    <x v="885"/>
    <x v="2"/>
  </r>
  <r>
    <x v="909"/>
    <s v="2025-06-17"/>
    <x v="2"/>
    <x v="116"/>
    <x v="419"/>
    <x v="3"/>
    <x v="0"/>
    <x v="0"/>
    <n v="3"/>
    <n v="225.27"/>
    <n v="0"/>
    <x v="902"/>
    <x v="886"/>
    <x v="2"/>
  </r>
  <r>
    <x v="910"/>
    <s v="2025-01-02"/>
    <x v="5"/>
    <x v="375"/>
    <x v="365"/>
    <x v="0"/>
    <x v="1"/>
    <x v="10"/>
    <n v="4"/>
    <n v="238.4"/>
    <n v="0.05"/>
    <x v="903"/>
    <x v="887"/>
    <x v="1"/>
  </r>
  <r>
    <x v="911"/>
    <s v="2025-09-07"/>
    <x v="1"/>
    <x v="240"/>
    <x v="304"/>
    <x v="2"/>
    <x v="2"/>
    <x v="6"/>
    <n v="3"/>
    <n v="99.63"/>
    <n v="0.05"/>
    <x v="904"/>
    <x v="888"/>
    <x v="0"/>
  </r>
  <r>
    <x v="912"/>
    <s v="2025-09-08"/>
    <x v="1"/>
    <x v="430"/>
    <x v="195"/>
    <x v="2"/>
    <x v="0"/>
    <x v="3"/>
    <n v="5"/>
    <n v="170.25"/>
    <n v="0.1"/>
    <x v="905"/>
    <x v="889"/>
    <x v="0"/>
  </r>
  <r>
    <x v="913"/>
    <s v="2025-10-21"/>
    <x v="6"/>
    <x v="264"/>
    <x v="424"/>
    <x v="0"/>
    <x v="2"/>
    <x v="2"/>
    <n v="2"/>
    <n v="100.17"/>
    <n v="0.1"/>
    <x v="906"/>
    <x v="890"/>
    <x v="0"/>
  </r>
  <r>
    <x v="914"/>
    <s v="2025-04-16"/>
    <x v="9"/>
    <x v="112"/>
    <x v="24"/>
    <x v="0"/>
    <x v="2"/>
    <x v="5"/>
    <n v="4"/>
    <n v="199.19"/>
    <n v="0.1"/>
    <x v="907"/>
    <x v="891"/>
    <x v="2"/>
  </r>
  <r>
    <x v="915"/>
    <s v="2025-11-08"/>
    <x v="10"/>
    <x v="172"/>
    <x v="372"/>
    <x v="3"/>
    <x v="3"/>
    <x v="9"/>
    <n v="1"/>
    <n v="220.22"/>
    <n v="0.05"/>
    <x v="908"/>
    <x v="892"/>
    <x v="0"/>
  </r>
  <r>
    <x v="916"/>
    <s v="2025-07-28"/>
    <x v="4"/>
    <x v="77"/>
    <x v="256"/>
    <x v="0"/>
    <x v="1"/>
    <x v="10"/>
    <n v="1"/>
    <n v="19.190000000000001"/>
    <n v="0"/>
    <x v="909"/>
    <x v="893"/>
    <x v="2"/>
  </r>
  <r>
    <x v="917"/>
    <s v="2025-12-04"/>
    <x v="3"/>
    <x v="390"/>
    <x v="202"/>
    <x v="4"/>
    <x v="1"/>
    <x v="10"/>
    <n v="5"/>
    <n v="235.4"/>
    <n v="0.1"/>
    <x v="910"/>
    <x v="894"/>
    <x v="2"/>
  </r>
  <r>
    <x v="918"/>
    <s v="2025-12-08"/>
    <x v="3"/>
    <x v="306"/>
    <x v="378"/>
    <x v="4"/>
    <x v="3"/>
    <x v="12"/>
    <n v="1"/>
    <n v="196.36"/>
    <n v="0.1"/>
    <x v="911"/>
    <x v="895"/>
    <x v="2"/>
  </r>
  <r>
    <x v="919"/>
    <s v="2025-01-24"/>
    <x v="5"/>
    <x v="313"/>
    <x v="420"/>
    <x v="3"/>
    <x v="1"/>
    <x v="1"/>
    <n v="8"/>
    <n v="63.25"/>
    <n v="0"/>
    <x v="912"/>
    <x v="896"/>
    <x v="0"/>
  </r>
  <r>
    <x v="920"/>
    <s v="2025-12-20"/>
    <x v="3"/>
    <x v="178"/>
    <x v="226"/>
    <x v="3"/>
    <x v="1"/>
    <x v="1"/>
    <n v="3"/>
    <n v="225.23"/>
    <n v="0.05"/>
    <x v="913"/>
    <x v="897"/>
    <x v="2"/>
  </r>
  <r>
    <x v="921"/>
    <s v="2025-01-10"/>
    <x v="5"/>
    <x v="431"/>
    <x v="423"/>
    <x v="3"/>
    <x v="3"/>
    <x v="11"/>
    <n v="5"/>
    <n v="127.17"/>
    <n v="0.05"/>
    <x v="914"/>
    <x v="898"/>
    <x v="0"/>
  </r>
  <r>
    <x v="922"/>
    <s v="2025-01-01"/>
    <x v="5"/>
    <x v="39"/>
    <x v="45"/>
    <x v="0"/>
    <x v="0"/>
    <x v="7"/>
    <n v="1"/>
    <n v="14.78"/>
    <n v="0.05"/>
    <x v="915"/>
    <x v="899"/>
    <x v="2"/>
  </r>
  <r>
    <x v="923"/>
    <s v="2025-01-15"/>
    <x v="5"/>
    <x v="392"/>
    <x v="230"/>
    <x v="2"/>
    <x v="0"/>
    <x v="7"/>
    <n v="1"/>
    <n v="173.71"/>
    <n v="0.15"/>
    <x v="916"/>
    <x v="900"/>
    <x v="1"/>
  </r>
  <r>
    <x v="924"/>
    <s v="2025-05-22"/>
    <x v="11"/>
    <x v="279"/>
    <x v="209"/>
    <x v="1"/>
    <x v="2"/>
    <x v="5"/>
    <n v="7"/>
    <n v="151.82"/>
    <n v="0.05"/>
    <x v="917"/>
    <x v="901"/>
    <x v="0"/>
  </r>
  <r>
    <x v="925"/>
    <s v="2025-07-08"/>
    <x v="4"/>
    <x v="93"/>
    <x v="425"/>
    <x v="0"/>
    <x v="1"/>
    <x v="10"/>
    <n v="1"/>
    <n v="246.03"/>
    <n v="0.1"/>
    <x v="918"/>
    <x v="902"/>
    <x v="2"/>
  </r>
  <r>
    <x v="926"/>
    <s v="2025-08-04"/>
    <x v="0"/>
    <x v="185"/>
    <x v="156"/>
    <x v="3"/>
    <x v="0"/>
    <x v="7"/>
    <n v="1"/>
    <n v="117.85"/>
    <n v="0.1"/>
    <x v="919"/>
    <x v="903"/>
    <x v="0"/>
  </r>
  <r>
    <x v="927"/>
    <s v="2025-02-15"/>
    <x v="8"/>
    <x v="222"/>
    <x v="401"/>
    <x v="4"/>
    <x v="3"/>
    <x v="9"/>
    <n v="8"/>
    <n v="230.87"/>
    <n v="0.15"/>
    <x v="920"/>
    <x v="904"/>
    <x v="0"/>
  </r>
  <r>
    <x v="928"/>
    <s v="2025-06-16"/>
    <x v="2"/>
    <x v="335"/>
    <x v="426"/>
    <x v="4"/>
    <x v="0"/>
    <x v="0"/>
    <n v="8"/>
    <n v="65.540000000000006"/>
    <n v="0.05"/>
    <x v="921"/>
    <x v="905"/>
    <x v="0"/>
  </r>
  <r>
    <x v="929"/>
    <s v="2025-06-30"/>
    <x v="2"/>
    <x v="236"/>
    <x v="356"/>
    <x v="3"/>
    <x v="0"/>
    <x v="7"/>
    <n v="7"/>
    <n v="73.400000000000006"/>
    <n v="0.1"/>
    <x v="922"/>
    <x v="906"/>
    <x v="1"/>
  </r>
  <r>
    <x v="930"/>
    <s v="2025-04-24"/>
    <x v="9"/>
    <x v="142"/>
    <x v="408"/>
    <x v="0"/>
    <x v="0"/>
    <x v="0"/>
    <n v="1"/>
    <n v="21.77"/>
    <n v="0.15"/>
    <x v="923"/>
    <x v="907"/>
    <x v="2"/>
  </r>
  <r>
    <x v="931"/>
    <s v="2025-06-18"/>
    <x v="2"/>
    <x v="137"/>
    <x v="157"/>
    <x v="0"/>
    <x v="2"/>
    <x v="6"/>
    <n v="6"/>
    <n v="152.44999999999999"/>
    <n v="0.05"/>
    <x v="924"/>
    <x v="908"/>
    <x v="1"/>
  </r>
  <r>
    <x v="932"/>
    <s v="2025-02-10"/>
    <x v="8"/>
    <x v="116"/>
    <x v="419"/>
    <x v="1"/>
    <x v="0"/>
    <x v="7"/>
    <n v="7"/>
    <n v="91.98"/>
    <n v="0.1"/>
    <x v="925"/>
    <x v="909"/>
    <x v="1"/>
  </r>
  <r>
    <x v="933"/>
    <s v="2025-08-03"/>
    <x v="0"/>
    <x v="251"/>
    <x v="427"/>
    <x v="4"/>
    <x v="1"/>
    <x v="8"/>
    <n v="4"/>
    <n v="209.31"/>
    <n v="0.1"/>
    <x v="926"/>
    <x v="910"/>
    <x v="0"/>
  </r>
  <r>
    <x v="934"/>
    <s v="2025-07-13"/>
    <x v="4"/>
    <x v="118"/>
    <x v="77"/>
    <x v="1"/>
    <x v="1"/>
    <x v="8"/>
    <n v="3"/>
    <n v="128.72"/>
    <n v="0.05"/>
    <x v="927"/>
    <x v="911"/>
    <x v="2"/>
  </r>
  <r>
    <x v="935"/>
    <s v="2025-12-13"/>
    <x v="3"/>
    <x v="101"/>
    <x v="216"/>
    <x v="1"/>
    <x v="2"/>
    <x v="5"/>
    <n v="5"/>
    <n v="223.61"/>
    <n v="0.15"/>
    <x v="928"/>
    <x v="912"/>
    <x v="0"/>
  </r>
  <r>
    <x v="936"/>
    <s v="2025-01-18"/>
    <x v="5"/>
    <x v="407"/>
    <x v="88"/>
    <x v="0"/>
    <x v="3"/>
    <x v="12"/>
    <n v="1"/>
    <n v="31.22"/>
    <n v="0.15"/>
    <x v="929"/>
    <x v="913"/>
    <x v="0"/>
  </r>
  <r>
    <x v="937"/>
    <s v="2025-10-28"/>
    <x v="6"/>
    <x v="229"/>
    <x v="339"/>
    <x v="1"/>
    <x v="3"/>
    <x v="12"/>
    <n v="5"/>
    <n v="90.34"/>
    <n v="0"/>
    <x v="930"/>
    <x v="914"/>
    <x v="1"/>
  </r>
  <r>
    <x v="938"/>
    <s v="2025-11-11"/>
    <x v="10"/>
    <x v="364"/>
    <x v="166"/>
    <x v="1"/>
    <x v="0"/>
    <x v="0"/>
    <n v="5"/>
    <n v="85.25"/>
    <n v="0.15"/>
    <x v="931"/>
    <x v="915"/>
    <x v="2"/>
  </r>
  <r>
    <x v="939"/>
    <s v="2025-03-08"/>
    <x v="7"/>
    <x v="88"/>
    <x v="69"/>
    <x v="3"/>
    <x v="2"/>
    <x v="2"/>
    <n v="5"/>
    <n v="197.34"/>
    <n v="0.15"/>
    <x v="932"/>
    <x v="916"/>
    <x v="0"/>
  </r>
  <r>
    <x v="940"/>
    <s v="2025-04-01"/>
    <x v="9"/>
    <x v="345"/>
    <x v="428"/>
    <x v="1"/>
    <x v="2"/>
    <x v="4"/>
    <n v="8"/>
    <n v="116.58"/>
    <n v="0.1"/>
    <x v="933"/>
    <x v="917"/>
    <x v="0"/>
  </r>
  <r>
    <x v="941"/>
    <s v="2025-12-07"/>
    <x v="3"/>
    <x v="239"/>
    <x v="53"/>
    <x v="2"/>
    <x v="2"/>
    <x v="6"/>
    <n v="5"/>
    <n v="133.81"/>
    <n v="0.1"/>
    <x v="934"/>
    <x v="918"/>
    <x v="0"/>
  </r>
  <r>
    <x v="942"/>
    <s v="2025-07-29"/>
    <x v="4"/>
    <x v="28"/>
    <x v="375"/>
    <x v="3"/>
    <x v="1"/>
    <x v="1"/>
    <n v="4"/>
    <n v="16.75"/>
    <n v="0.15"/>
    <x v="935"/>
    <x v="919"/>
    <x v="1"/>
  </r>
  <r>
    <x v="943"/>
    <s v="2025-03-22"/>
    <x v="7"/>
    <x v="106"/>
    <x v="429"/>
    <x v="4"/>
    <x v="2"/>
    <x v="4"/>
    <n v="5"/>
    <n v="181.33"/>
    <n v="0"/>
    <x v="936"/>
    <x v="920"/>
    <x v="0"/>
  </r>
  <r>
    <x v="944"/>
    <s v="2025-02-10"/>
    <x v="8"/>
    <x v="44"/>
    <x v="198"/>
    <x v="0"/>
    <x v="0"/>
    <x v="3"/>
    <n v="3"/>
    <n v="112.58"/>
    <n v="0.1"/>
    <x v="937"/>
    <x v="921"/>
    <x v="1"/>
  </r>
  <r>
    <x v="945"/>
    <s v="2025-05-21"/>
    <x v="11"/>
    <x v="194"/>
    <x v="163"/>
    <x v="1"/>
    <x v="0"/>
    <x v="7"/>
    <n v="6"/>
    <n v="102.29"/>
    <n v="0.05"/>
    <x v="938"/>
    <x v="922"/>
    <x v="2"/>
  </r>
  <r>
    <x v="946"/>
    <s v="2025-06-08"/>
    <x v="2"/>
    <x v="432"/>
    <x v="208"/>
    <x v="4"/>
    <x v="3"/>
    <x v="11"/>
    <n v="8"/>
    <n v="198.66"/>
    <n v="0.1"/>
    <x v="939"/>
    <x v="923"/>
    <x v="2"/>
  </r>
  <r>
    <x v="947"/>
    <s v="2025-05-23"/>
    <x v="11"/>
    <x v="433"/>
    <x v="39"/>
    <x v="1"/>
    <x v="1"/>
    <x v="1"/>
    <n v="8"/>
    <n v="189.68"/>
    <n v="0.05"/>
    <x v="940"/>
    <x v="924"/>
    <x v="2"/>
  </r>
  <r>
    <x v="948"/>
    <s v="2025-08-08"/>
    <x v="0"/>
    <x v="295"/>
    <x v="82"/>
    <x v="1"/>
    <x v="2"/>
    <x v="4"/>
    <n v="6"/>
    <n v="60.5"/>
    <n v="0.05"/>
    <x v="941"/>
    <x v="925"/>
    <x v="0"/>
  </r>
  <r>
    <x v="949"/>
    <s v="2025-05-12"/>
    <x v="11"/>
    <x v="267"/>
    <x v="340"/>
    <x v="3"/>
    <x v="2"/>
    <x v="5"/>
    <n v="1"/>
    <n v="127.03"/>
    <n v="0.05"/>
    <x v="942"/>
    <x v="469"/>
    <x v="0"/>
  </r>
  <r>
    <x v="950"/>
    <s v="2025-01-18"/>
    <x v="5"/>
    <x v="151"/>
    <x v="207"/>
    <x v="4"/>
    <x v="2"/>
    <x v="6"/>
    <n v="6"/>
    <n v="156.69999999999999"/>
    <n v="0.1"/>
    <x v="943"/>
    <x v="926"/>
    <x v="0"/>
  </r>
  <r>
    <x v="951"/>
    <s v="2025-08-07"/>
    <x v="0"/>
    <x v="405"/>
    <x v="327"/>
    <x v="3"/>
    <x v="2"/>
    <x v="4"/>
    <n v="6"/>
    <n v="47.35"/>
    <n v="0.05"/>
    <x v="944"/>
    <x v="927"/>
    <x v="2"/>
  </r>
  <r>
    <x v="952"/>
    <s v="2025-09-10"/>
    <x v="1"/>
    <x v="434"/>
    <x v="103"/>
    <x v="0"/>
    <x v="1"/>
    <x v="10"/>
    <n v="5"/>
    <n v="230.94"/>
    <n v="0.1"/>
    <x v="945"/>
    <x v="928"/>
    <x v="0"/>
  </r>
  <r>
    <x v="953"/>
    <s v="2025-05-10"/>
    <x v="11"/>
    <x v="341"/>
    <x v="145"/>
    <x v="1"/>
    <x v="2"/>
    <x v="6"/>
    <n v="3"/>
    <n v="146.03"/>
    <n v="0"/>
    <x v="946"/>
    <x v="929"/>
    <x v="0"/>
  </r>
  <r>
    <x v="954"/>
    <s v="2025-10-04"/>
    <x v="6"/>
    <x v="372"/>
    <x v="134"/>
    <x v="4"/>
    <x v="1"/>
    <x v="1"/>
    <n v="6"/>
    <n v="64.680000000000007"/>
    <n v="0.15"/>
    <x v="947"/>
    <x v="930"/>
    <x v="0"/>
  </r>
  <r>
    <x v="955"/>
    <s v="2025-11-02"/>
    <x v="10"/>
    <x v="338"/>
    <x v="430"/>
    <x v="4"/>
    <x v="3"/>
    <x v="12"/>
    <n v="5"/>
    <n v="203.13"/>
    <n v="0.15"/>
    <x v="948"/>
    <x v="931"/>
    <x v="2"/>
  </r>
  <r>
    <x v="956"/>
    <s v="2025-05-19"/>
    <x v="11"/>
    <x v="263"/>
    <x v="231"/>
    <x v="2"/>
    <x v="2"/>
    <x v="5"/>
    <n v="6"/>
    <n v="174.54"/>
    <n v="0.15"/>
    <x v="949"/>
    <x v="932"/>
    <x v="1"/>
  </r>
  <r>
    <x v="957"/>
    <s v="2025-11-12"/>
    <x v="10"/>
    <x v="11"/>
    <x v="431"/>
    <x v="1"/>
    <x v="0"/>
    <x v="3"/>
    <n v="2"/>
    <n v="45.84"/>
    <n v="0"/>
    <x v="950"/>
    <x v="933"/>
    <x v="1"/>
  </r>
  <r>
    <x v="958"/>
    <s v="2025-10-13"/>
    <x v="6"/>
    <x v="297"/>
    <x v="90"/>
    <x v="4"/>
    <x v="2"/>
    <x v="2"/>
    <n v="3"/>
    <n v="234.13"/>
    <n v="0.05"/>
    <x v="951"/>
    <x v="934"/>
    <x v="0"/>
  </r>
  <r>
    <x v="959"/>
    <s v="2025-11-27"/>
    <x v="10"/>
    <x v="238"/>
    <x v="364"/>
    <x v="0"/>
    <x v="1"/>
    <x v="1"/>
    <n v="6"/>
    <n v="143.13"/>
    <n v="0"/>
    <x v="952"/>
    <x v="935"/>
    <x v="1"/>
  </r>
  <r>
    <x v="960"/>
    <s v="2025-09-08"/>
    <x v="1"/>
    <x v="37"/>
    <x v="401"/>
    <x v="0"/>
    <x v="2"/>
    <x v="2"/>
    <n v="7"/>
    <n v="11.6"/>
    <n v="0.1"/>
    <x v="953"/>
    <x v="936"/>
    <x v="2"/>
  </r>
  <r>
    <x v="961"/>
    <s v="2025-09-12"/>
    <x v="1"/>
    <x v="168"/>
    <x v="302"/>
    <x v="0"/>
    <x v="3"/>
    <x v="12"/>
    <n v="5"/>
    <n v="172.6"/>
    <n v="0.15"/>
    <x v="954"/>
    <x v="937"/>
    <x v="1"/>
  </r>
  <r>
    <x v="962"/>
    <s v="2025-03-01"/>
    <x v="7"/>
    <x v="173"/>
    <x v="39"/>
    <x v="1"/>
    <x v="0"/>
    <x v="3"/>
    <n v="1"/>
    <n v="19.46"/>
    <n v="0.15"/>
    <x v="955"/>
    <x v="938"/>
    <x v="0"/>
  </r>
  <r>
    <x v="963"/>
    <s v="2025-11-20"/>
    <x v="10"/>
    <x v="435"/>
    <x v="239"/>
    <x v="3"/>
    <x v="3"/>
    <x v="9"/>
    <n v="5"/>
    <n v="115.08"/>
    <n v="0.1"/>
    <x v="956"/>
    <x v="939"/>
    <x v="2"/>
  </r>
  <r>
    <x v="964"/>
    <s v="2025-09-06"/>
    <x v="1"/>
    <x v="275"/>
    <x v="210"/>
    <x v="4"/>
    <x v="1"/>
    <x v="10"/>
    <n v="8"/>
    <n v="58.07"/>
    <n v="0.05"/>
    <x v="957"/>
    <x v="940"/>
    <x v="2"/>
  </r>
  <r>
    <x v="965"/>
    <s v="2025-08-28"/>
    <x v="0"/>
    <x v="378"/>
    <x v="241"/>
    <x v="4"/>
    <x v="3"/>
    <x v="9"/>
    <n v="3"/>
    <n v="208.41"/>
    <n v="0.1"/>
    <x v="958"/>
    <x v="941"/>
    <x v="2"/>
  </r>
  <r>
    <x v="966"/>
    <s v="2025-02-06"/>
    <x v="8"/>
    <x v="436"/>
    <x v="255"/>
    <x v="1"/>
    <x v="2"/>
    <x v="2"/>
    <n v="8"/>
    <n v="247.45"/>
    <n v="0.05"/>
    <x v="959"/>
    <x v="942"/>
    <x v="1"/>
  </r>
  <r>
    <x v="967"/>
    <s v="2025-03-22"/>
    <x v="7"/>
    <x v="352"/>
    <x v="121"/>
    <x v="3"/>
    <x v="2"/>
    <x v="6"/>
    <n v="3"/>
    <n v="28.43"/>
    <n v="0.1"/>
    <x v="960"/>
    <x v="943"/>
    <x v="1"/>
  </r>
  <r>
    <x v="968"/>
    <s v="2025-04-20"/>
    <x v="9"/>
    <x v="10"/>
    <x v="354"/>
    <x v="3"/>
    <x v="3"/>
    <x v="11"/>
    <n v="8"/>
    <n v="165.63"/>
    <n v="0.05"/>
    <x v="961"/>
    <x v="944"/>
    <x v="2"/>
  </r>
  <r>
    <x v="969"/>
    <s v="2025-01-11"/>
    <x v="5"/>
    <x v="319"/>
    <x v="139"/>
    <x v="3"/>
    <x v="0"/>
    <x v="0"/>
    <n v="1"/>
    <n v="62.34"/>
    <n v="0.15"/>
    <x v="962"/>
    <x v="29"/>
    <x v="2"/>
  </r>
  <r>
    <x v="970"/>
    <s v="2025-07-22"/>
    <x v="4"/>
    <x v="398"/>
    <x v="95"/>
    <x v="4"/>
    <x v="2"/>
    <x v="2"/>
    <n v="1"/>
    <n v="127.87"/>
    <n v="0.05"/>
    <x v="963"/>
    <x v="945"/>
    <x v="0"/>
  </r>
  <r>
    <x v="971"/>
    <s v="2025-06-13"/>
    <x v="2"/>
    <x v="139"/>
    <x v="227"/>
    <x v="1"/>
    <x v="2"/>
    <x v="5"/>
    <n v="5"/>
    <n v="113.1"/>
    <n v="0"/>
    <x v="964"/>
    <x v="946"/>
    <x v="1"/>
  </r>
  <r>
    <x v="972"/>
    <s v="2025-11-27"/>
    <x v="10"/>
    <x v="32"/>
    <x v="72"/>
    <x v="4"/>
    <x v="2"/>
    <x v="2"/>
    <n v="3"/>
    <n v="141.24"/>
    <n v="0"/>
    <x v="965"/>
    <x v="947"/>
    <x v="0"/>
  </r>
  <r>
    <x v="973"/>
    <s v="2025-04-10"/>
    <x v="9"/>
    <x v="109"/>
    <x v="369"/>
    <x v="3"/>
    <x v="0"/>
    <x v="0"/>
    <n v="4"/>
    <n v="211.89"/>
    <n v="0.15"/>
    <x v="966"/>
    <x v="948"/>
    <x v="0"/>
  </r>
  <r>
    <x v="974"/>
    <s v="2025-04-20"/>
    <x v="9"/>
    <x v="323"/>
    <x v="377"/>
    <x v="2"/>
    <x v="2"/>
    <x v="4"/>
    <n v="7"/>
    <n v="197"/>
    <n v="0"/>
    <x v="967"/>
    <x v="949"/>
    <x v="0"/>
  </r>
  <r>
    <x v="975"/>
    <s v="2025-05-14"/>
    <x v="11"/>
    <x v="408"/>
    <x v="274"/>
    <x v="1"/>
    <x v="3"/>
    <x v="11"/>
    <n v="1"/>
    <n v="232.99"/>
    <n v="0.15"/>
    <x v="968"/>
    <x v="950"/>
    <x v="0"/>
  </r>
  <r>
    <x v="976"/>
    <s v="2025-01-16"/>
    <x v="5"/>
    <x v="408"/>
    <x v="138"/>
    <x v="3"/>
    <x v="3"/>
    <x v="12"/>
    <n v="4"/>
    <n v="22.14"/>
    <n v="0.15"/>
    <x v="969"/>
    <x v="951"/>
    <x v="1"/>
  </r>
  <r>
    <x v="977"/>
    <s v="2025-04-13"/>
    <x v="9"/>
    <x v="294"/>
    <x v="351"/>
    <x v="0"/>
    <x v="1"/>
    <x v="8"/>
    <n v="5"/>
    <n v="129.62"/>
    <n v="0.15"/>
    <x v="970"/>
    <x v="952"/>
    <x v="1"/>
  </r>
  <r>
    <x v="978"/>
    <s v="2025-07-17"/>
    <x v="4"/>
    <x v="296"/>
    <x v="400"/>
    <x v="3"/>
    <x v="1"/>
    <x v="1"/>
    <n v="5"/>
    <n v="126.68"/>
    <n v="0"/>
    <x v="971"/>
    <x v="953"/>
    <x v="2"/>
  </r>
  <r>
    <x v="979"/>
    <s v="2025-12-17"/>
    <x v="3"/>
    <x v="299"/>
    <x v="394"/>
    <x v="0"/>
    <x v="3"/>
    <x v="12"/>
    <n v="2"/>
    <n v="21.29"/>
    <n v="0.1"/>
    <x v="972"/>
    <x v="954"/>
    <x v="0"/>
  </r>
  <r>
    <x v="980"/>
    <s v="2025-02-19"/>
    <x v="8"/>
    <x v="11"/>
    <x v="129"/>
    <x v="0"/>
    <x v="0"/>
    <x v="7"/>
    <n v="2"/>
    <n v="122.5"/>
    <n v="0.05"/>
    <x v="973"/>
    <x v="955"/>
    <x v="1"/>
  </r>
  <r>
    <x v="981"/>
    <s v="2025-09-22"/>
    <x v="1"/>
    <x v="404"/>
    <x v="335"/>
    <x v="2"/>
    <x v="3"/>
    <x v="12"/>
    <n v="4"/>
    <n v="208.38"/>
    <n v="0"/>
    <x v="974"/>
    <x v="956"/>
    <x v="1"/>
  </r>
  <r>
    <x v="982"/>
    <s v="2025-02-20"/>
    <x v="8"/>
    <x v="87"/>
    <x v="49"/>
    <x v="0"/>
    <x v="1"/>
    <x v="10"/>
    <n v="7"/>
    <n v="97.28"/>
    <n v="0.05"/>
    <x v="975"/>
    <x v="957"/>
    <x v="1"/>
  </r>
  <r>
    <x v="983"/>
    <s v="2025-10-23"/>
    <x v="6"/>
    <x v="167"/>
    <x v="60"/>
    <x v="3"/>
    <x v="1"/>
    <x v="10"/>
    <n v="6"/>
    <n v="51.06"/>
    <n v="0.1"/>
    <x v="976"/>
    <x v="958"/>
    <x v="2"/>
  </r>
  <r>
    <x v="984"/>
    <s v="2025-10-20"/>
    <x v="6"/>
    <x v="99"/>
    <x v="149"/>
    <x v="0"/>
    <x v="1"/>
    <x v="10"/>
    <n v="6"/>
    <n v="109.59"/>
    <n v="0.05"/>
    <x v="977"/>
    <x v="959"/>
    <x v="2"/>
  </r>
  <r>
    <x v="985"/>
    <s v="2025-02-27"/>
    <x v="8"/>
    <x v="233"/>
    <x v="125"/>
    <x v="0"/>
    <x v="3"/>
    <x v="9"/>
    <n v="2"/>
    <n v="25.04"/>
    <n v="0.15"/>
    <x v="978"/>
    <x v="960"/>
    <x v="0"/>
  </r>
  <r>
    <x v="986"/>
    <s v="2025-08-07"/>
    <x v="0"/>
    <x v="170"/>
    <x v="35"/>
    <x v="2"/>
    <x v="1"/>
    <x v="10"/>
    <n v="8"/>
    <n v="50.27"/>
    <n v="0.15"/>
    <x v="979"/>
    <x v="961"/>
    <x v="0"/>
  </r>
  <r>
    <x v="987"/>
    <s v="2025-02-01"/>
    <x v="8"/>
    <x v="377"/>
    <x v="108"/>
    <x v="0"/>
    <x v="2"/>
    <x v="5"/>
    <n v="8"/>
    <n v="179.75"/>
    <n v="0"/>
    <x v="980"/>
    <x v="962"/>
    <x v="0"/>
  </r>
  <r>
    <x v="988"/>
    <s v="2025-10-13"/>
    <x v="6"/>
    <x v="93"/>
    <x v="432"/>
    <x v="0"/>
    <x v="3"/>
    <x v="11"/>
    <n v="8"/>
    <n v="38.67"/>
    <n v="0.1"/>
    <x v="981"/>
    <x v="963"/>
    <x v="0"/>
  </r>
  <r>
    <x v="989"/>
    <s v="2025-06-04"/>
    <x v="2"/>
    <x v="214"/>
    <x v="320"/>
    <x v="0"/>
    <x v="1"/>
    <x v="10"/>
    <n v="7"/>
    <n v="111.94"/>
    <n v="0.05"/>
    <x v="982"/>
    <x v="708"/>
    <x v="0"/>
  </r>
  <r>
    <x v="990"/>
    <s v="2025-09-24"/>
    <x v="1"/>
    <x v="437"/>
    <x v="258"/>
    <x v="0"/>
    <x v="3"/>
    <x v="11"/>
    <n v="6"/>
    <n v="55.03"/>
    <n v="0.15"/>
    <x v="983"/>
    <x v="964"/>
    <x v="1"/>
  </r>
  <r>
    <x v="991"/>
    <s v="2025-06-23"/>
    <x v="2"/>
    <x v="72"/>
    <x v="433"/>
    <x v="3"/>
    <x v="0"/>
    <x v="3"/>
    <n v="5"/>
    <n v="151.12"/>
    <n v="0.05"/>
    <x v="984"/>
    <x v="965"/>
    <x v="1"/>
  </r>
  <r>
    <x v="992"/>
    <s v="2025-01-19"/>
    <x v="5"/>
    <x v="438"/>
    <x v="9"/>
    <x v="3"/>
    <x v="3"/>
    <x v="9"/>
    <n v="1"/>
    <n v="80.3"/>
    <n v="0.1"/>
    <x v="985"/>
    <x v="430"/>
    <x v="2"/>
  </r>
  <r>
    <x v="993"/>
    <s v="2025-08-10"/>
    <x v="0"/>
    <x v="403"/>
    <x v="245"/>
    <x v="3"/>
    <x v="2"/>
    <x v="2"/>
    <n v="7"/>
    <n v="137.08000000000001"/>
    <n v="0.15"/>
    <x v="986"/>
    <x v="966"/>
    <x v="1"/>
  </r>
  <r>
    <x v="994"/>
    <s v="2025-01-01"/>
    <x v="5"/>
    <x v="176"/>
    <x v="391"/>
    <x v="4"/>
    <x v="2"/>
    <x v="4"/>
    <n v="7"/>
    <n v="136.22"/>
    <n v="0.1"/>
    <x v="987"/>
    <x v="967"/>
    <x v="0"/>
  </r>
  <r>
    <x v="995"/>
    <s v="2025-07-02"/>
    <x v="4"/>
    <x v="420"/>
    <x v="194"/>
    <x v="1"/>
    <x v="1"/>
    <x v="8"/>
    <n v="4"/>
    <n v="101.46"/>
    <n v="0"/>
    <x v="988"/>
    <x v="129"/>
    <x v="1"/>
  </r>
  <r>
    <x v="996"/>
    <s v="2025-08-29"/>
    <x v="0"/>
    <x v="356"/>
    <x v="266"/>
    <x v="1"/>
    <x v="0"/>
    <x v="7"/>
    <n v="6"/>
    <n v="145.87"/>
    <n v="0.05"/>
    <x v="989"/>
    <x v="968"/>
    <x v="1"/>
  </r>
  <r>
    <x v="997"/>
    <s v="2025-10-30"/>
    <x v="6"/>
    <x v="64"/>
    <x v="181"/>
    <x v="0"/>
    <x v="2"/>
    <x v="5"/>
    <n v="4"/>
    <n v="33.549999999999997"/>
    <n v="0"/>
    <x v="990"/>
    <x v="969"/>
    <x v="0"/>
  </r>
  <r>
    <x v="998"/>
    <s v="2025-10-29"/>
    <x v="6"/>
    <x v="154"/>
    <x v="234"/>
    <x v="3"/>
    <x v="1"/>
    <x v="8"/>
    <n v="8"/>
    <n v="202.44"/>
    <n v="0.05"/>
    <x v="991"/>
    <x v="970"/>
    <x v="0"/>
  </r>
  <r>
    <x v="999"/>
    <s v="2025-01-31"/>
    <x v="5"/>
    <x v="69"/>
    <x v="137"/>
    <x v="3"/>
    <x v="0"/>
    <x v="7"/>
    <n v="7"/>
    <n v="221.56"/>
    <n v="0"/>
    <x v="992"/>
    <x v="971"/>
    <x v="2"/>
  </r>
  <r>
    <x v="1000"/>
    <s v="2025-08-18"/>
    <x v="0"/>
    <x v="346"/>
    <x v="356"/>
    <x v="3"/>
    <x v="0"/>
    <x v="7"/>
    <n v="1"/>
    <n v="73.12"/>
    <n v="0"/>
    <x v="993"/>
    <x v="380"/>
    <x v="2"/>
  </r>
  <r>
    <x v="1001"/>
    <s v="2025-10-10"/>
    <x v="6"/>
    <x v="13"/>
    <x v="9"/>
    <x v="0"/>
    <x v="2"/>
    <x v="6"/>
    <n v="1"/>
    <n v="35.14"/>
    <n v="0.15"/>
    <x v="994"/>
    <x v="972"/>
    <x v="2"/>
  </r>
  <r>
    <x v="1002"/>
    <s v="2025-09-09"/>
    <x v="1"/>
    <x v="74"/>
    <x v="434"/>
    <x v="2"/>
    <x v="2"/>
    <x v="5"/>
    <n v="8"/>
    <n v="117.4"/>
    <n v="0"/>
    <x v="995"/>
    <x v="973"/>
    <x v="2"/>
  </r>
  <r>
    <x v="1003"/>
    <s v="2025-06-26"/>
    <x v="2"/>
    <x v="307"/>
    <x v="54"/>
    <x v="2"/>
    <x v="2"/>
    <x v="5"/>
    <n v="2"/>
    <n v="156.86000000000001"/>
    <n v="0"/>
    <x v="996"/>
    <x v="974"/>
    <x v="1"/>
  </r>
  <r>
    <x v="1004"/>
    <s v="2025-03-06"/>
    <x v="7"/>
    <x v="292"/>
    <x v="381"/>
    <x v="2"/>
    <x v="0"/>
    <x v="0"/>
    <n v="3"/>
    <n v="241.05"/>
    <n v="0.1"/>
    <x v="997"/>
    <x v="975"/>
    <x v="2"/>
  </r>
  <r>
    <x v="1005"/>
    <s v="2025-07-21"/>
    <x v="4"/>
    <x v="297"/>
    <x v="57"/>
    <x v="1"/>
    <x v="0"/>
    <x v="3"/>
    <n v="8"/>
    <n v="84.6"/>
    <n v="0.15"/>
    <x v="998"/>
    <x v="976"/>
    <x v="2"/>
  </r>
  <r>
    <x v="1006"/>
    <s v="2025-09-12"/>
    <x v="1"/>
    <x v="340"/>
    <x v="390"/>
    <x v="3"/>
    <x v="0"/>
    <x v="3"/>
    <n v="3"/>
    <n v="230.01"/>
    <n v="0"/>
    <x v="999"/>
    <x v="977"/>
    <x v="0"/>
  </r>
  <r>
    <x v="1007"/>
    <s v="2025-09-13"/>
    <x v="1"/>
    <x v="347"/>
    <x v="162"/>
    <x v="2"/>
    <x v="1"/>
    <x v="1"/>
    <n v="3"/>
    <n v="244.77"/>
    <n v="0.1"/>
    <x v="1000"/>
    <x v="847"/>
    <x v="1"/>
  </r>
  <r>
    <x v="1008"/>
    <s v="2025-12-20"/>
    <x v="3"/>
    <x v="376"/>
    <x v="435"/>
    <x v="3"/>
    <x v="1"/>
    <x v="8"/>
    <n v="5"/>
    <n v="48.82"/>
    <n v="0.15"/>
    <x v="1001"/>
    <x v="978"/>
    <x v="1"/>
  </r>
  <r>
    <x v="1009"/>
    <s v="2025-09-18"/>
    <x v="1"/>
    <x v="420"/>
    <x v="189"/>
    <x v="0"/>
    <x v="0"/>
    <x v="7"/>
    <n v="2"/>
    <n v="86.4"/>
    <n v="0.1"/>
    <x v="1002"/>
    <x v="979"/>
    <x v="1"/>
  </r>
  <r>
    <x v="1010"/>
    <s v="2025-08-27"/>
    <x v="0"/>
    <x v="261"/>
    <x v="192"/>
    <x v="1"/>
    <x v="1"/>
    <x v="1"/>
    <n v="3"/>
    <n v="143.69999999999999"/>
    <n v="0.1"/>
    <x v="1003"/>
    <x v="980"/>
    <x v="2"/>
  </r>
  <r>
    <x v="1011"/>
    <s v="2025-03-26"/>
    <x v="7"/>
    <x v="53"/>
    <x v="13"/>
    <x v="1"/>
    <x v="2"/>
    <x v="4"/>
    <n v="6"/>
    <n v="153.83000000000001"/>
    <n v="0.1"/>
    <x v="1004"/>
    <x v="981"/>
    <x v="1"/>
  </r>
  <r>
    <x v="1012"/>
    <s v="2025-01-18"/>
    <x v="5"/>
    <x v="308"/>
    <x v="436"/>
    <x v="2"/>
    <x v="0"/>
    <x v="3"/>
    <n v="4"/>
    <n v="63.21"/>
    <n v="0.1"/>
    <x v="1005"/>
    <x v="982"/>
    <x v="2"/>
  </r>
  <r>
    <x v="1013"/>
    <s v="2025-06-01"/>
    <x v="2"/>
    <x v="115"/>
    <x v="134"/>
    <x v="2"/>
    <x v="2"/>
    <x v="2"/>
    <n v="6"/>
    <n v="41.99"/>
    <n v="0.05"/>
    <x v="1006"/>
    <x v="983"/>
    <x v="0"/>
  </r>
  <r>
    <x v="1014"/>
    <s v="2025-06-26"/>
    <x v="2"/>
    <x v="306"/>
    <x v="126"/>
    <x v="1"/>
    <x v="0"/>
    <x v="3"/>
    <n v="1"/>
    <n v="93.83"/>
    <n v="0.1"/>
    <x v="1007"/>
    <x v="984"/>
    <x v="0"/>
  </r>
  <r>
    <x v="1015"/>
    <s v="2025-08-02"/>
    <x v="0"/>
    <x v="50"/>
    <x v="122"/>
    <x v="1"/>
    <x v="1"/>
    <x v="10"/>
    <n v="7"/>
    <n v="218.78"/>
    <n v="0.1"/>
    <x v="1008"/>
    <x v="985"/>
    <x v="2"/>
  </r>
  <r>
    <x v="1016"/>
    <s v="2025-02-25"/>
    <x v="8"/>
    <x v="23"/>
    <x v="437"/>
    <x v="3"/>
    <x v="3"/>
    <x v="12"/>
    <n v="5"/>
    <n v="195.77"/>
    <n v="0"/>
    <x v="1009"/>
    <x v="986"/>
    <x v="0"/>
  </r>
  <r>
    <x v="1017"/>
    <s v="2025-09-29"/>
    <x v="1"/>
    <x v="113"/>
    <x v="4"/>
    <x v="1"/>
    <x v="3"/>
    <x v="11"/>
    <n v="6"/>
    <n v="183.75"/>
    <n v="0.15"/>
    <x v="1010"/>
    <x v="987"/>
    <x v="0"/>
  </r>
  <r>
    <x v="1018"/>
    <s v="2025-01-12"/>
    <x v="5"/>
    <x v="221"/>
    <x v="429"/>
    <x v="4"/>
    <x v="0"/>
    <x v="0"/>
    <n v="5"/>
    <n v="247.79"/>
    <n v="0.15"/>
    <x v="1011"/>
    <x v="988"/>
    <x v="2"/>
  </r>
  <r>
    <x v="1019"/>
    <s v="2025-04-01"/>
    <x v="9"/>
    <x v="382"/>
    <x v="291"/>
    <x v="4"/>
    <x v="2"/>
    <x v="4"/>
    <n v="6"/>
    <n v="152.22"/>
    <n v="0.1"/>
    <x v="1012"/>
    <x v="989"/>
    <x v="1"/>
  </r>
  <r>
    <x v="1020"/>
    <s v="2025-06-28"/>
    <x v="2"/>
    <x v="373"/>
    <x v="107"/>
    <x v="2"/>
    <x v="3"/>
    <x v="9"/>
    <n v="2"/>
    <n v="30.63"/>
    <n v="0.1"/>
    <x v="1013"/>
    <x v="990"/>
    <x v="1"/>
  </r>
  <r>
    <x v="1021"/>
    <s v="2025-03-07"/>
    <x v="7"/>
    <x v="428"/>
    <x v="291"/>
    <x v="0"/>
    <x v="1"/>
    <x v="10"/>
    <n v="6"/>
    <n v="174.85"/>
    <n v="0"/>
    <x v="1014"/>
    <x v="991"/>
    <x v="2"/>
  </r>
  <r>
    <x v="1022"/>
    <s v="2025-03-19"/>
    <x v="7"/>
    <x v="104"/>
    <x v="203"/>
    <x v="4"/>
    <x v="2"/>
    <x v="5"/>
    <n v="4"/>
    <n v="11.33"/>
    <n v="0.05"/>
    <x v="1015"/>
    <x v="992"/>
    <x v="0"/>
  </r>
  <r>
    <x v="1023"/>
    <s v="2025-01-13"/>
    <x v="5"/>
    <x v="151"/>
    <x v="438"/>
    <x v="2"/>
    <x v="0"/>
    <x v="7"/>
    <n v="4"/>
    <n v="114.05"/>
    <n v="0.05"/>
    <x v="1016"/>
    <x v="993"/>
    <x v="2"/>
  </r>
  <r>
    <x v="1024"/>
    <s v="2025-09-12"/>
    <x v="1"/>
    <x v="437"/>
    <x v="59"/>
    <x v="1"/>
    <x v="1"/>
    <x v="1"/>
    <n v="6"/>
    <n v="167.58"/>
    <n v="0.15"/>
    <x v="1017"/>
    <x v="994"/>
    <x v="0"/>
  </r>
  <r>
    <x v="1025"/>
    <s v="2025-10-01"/>
    <x v="6"/>
    <x v="318"/>
    <x v="267"/>
    <x v="0"/>
    <x v="2"/>
    <x v="5"/>
    <n v="6"/>
    <n v="98.06"/>
    <n v="0.1"/>
    <x v="1018"/>
    <x v="995"/>
    <x v="1"/>
  </r>
  <r>
    <x v="1026"/>
    <s v="2025-09-12"/>
    <x v="1"/>
    <x v="160"/>
    <x v="313"/>
    <x v="1"/>
    <x v="2"/>
    <x v="2"/>
    <n v="2"/>
    <n v="216.68"/>
    <n v="0"/>
    <x v="1019"/>
    <x v="996"/>
    <x v="2"/>
  </r>
  <r>
    <x v="1027"/>
    <s v="2025-12-16"/>
    <x v="3"/>
    <x v="298"/>
    <x v="3"/>
    <x v="1"/>
    <x v="0"/>
    <x v="3"/>
    <n v="6"/>
    <n v="228.87"/>
    <n v="0"/>
    <x v="1020"/>
    <x v="997"/>
    <x v="0"/>
  </r>
  <r>
    <x v="1028"/>
    <s v="2025-11-23"/>
    <x v="10"/>
    <x v="14"/>
    <x v="351"/>
    <x v="3"/>
    <x v="0"/>
    <x v="3"/>
    <n v="3"/>
    <n v="27.98"/>
    <n v="0"/>
    <x v="1021"/>
    <x v="998"/>
    <x v="2"/>
  </r>
  <r>
    <x v="1029"/>
    <s v="2025-12-24"/>
    <x v="3"/>
    <x v="393"/>
    <x v="196"/>
    <x v="0"/>
    <x v="1"/>
    <x v="8"/>
    <n v="7"/>
    <n v="46.56"/>
    <n v="0.1"/>
    <x v="1022"/>
    <x v="999"/>
    <x v="2"/>
  </r>
  <r>
    <x v="1030"/>
    <s v="2025-03-19"/>
    <x v="7"/>
    <x v="135"/>
    <x v="244"/>
    <x v="2"/>
    <x v="1"/>
    <x v="1"/>
    <n v="1"/>
    <n v="117.93"/>
    <n v="0.05"/>
    <x v="1023"/>
    <x v="1000"/>
    <x v="0"/>
  </r>
  <r>
    <x v="1031"/>
    <s v="2025-11-09"/>
    <x v="10"/>
    <x v="19"/>
    <x v="400"/>
    <x v="3"/>
    <x v="3"/>
    <x v="11"/>
    <n v="6"/>
    <n v="110.46"/>
    <n v="0.05"/>
    <x v="1024"/>
    <x v="1001"/>
    <x v="1"/>
  </r>
  <r>
    <x v="1032"/>
    <s v="2025-07-16"/>
    <x v="4"/>
    <x v="244"/>
    <x v="59"/>
    <x v="1"/>
    <x v="1"/>
    <x v="8"/>
    <n v="5"/>
    <n v="91.09"/>
    <n v="0.1"/>
    <x v="1025"/>
    <x v="1002"/>
    <x v="1"/>
  </r>
  <r>
    <x v="1033"/>
    <s v="2025-07-10"/>
    <x v="4"/>
    <x v="374"/>
    <x v="140"/>
    <x v="1"/>
    <x v="3"/>
    <x v="12"/>
    <n v="3"/>
    <n v="178.58"/>
    <n v="0"/>
    <x v="1026"/>
    <x v="1003"/>
    <x v="0"/>
  </r>
  <r>
    <x v="1034"/>
    <s v="2025-11-12"/>
    <x v="10"/>
    <x v="203"/>
    <x v="405"/>
    <x v="0"/>
    <x v="0"/>
    <x v="3"/>
    <n v="5"/>
    <n v="241.41"/>
    <n v="0.15"/>
    <x v="1027"/>
    <x v="1004"/>
    <x v="2"/>
  </r>
  <r>
    <x v="1035"/>
    <s v="2025-08-19"/>
    <x v="0"/>
    <x v="200"/>
    <x v="439"/>
    <x v="2"/>
    <x v="0"/>
    <x v="7"/>
    <n v="1"/>
    <n v="200.28"/>
    <n v="0.15"/>
    <x v="1028"/>
    <x v="1005"/>
    <x v="2"/>
  </r>
  <r>
    <x v="1036"/>
    <s v="2025-04-01"/>
    <x v="9"/>
    <x v="78"/>
    <x v="311"/>
    <x v="3"/>
    <x v="1"/>
    <x v="1"/>
    <n v="4"/>
    <n v="220.47"/>
    <n v="0.15"/>
    <x v="1029"/>
    <x v="1006"/>
    <x v="0"/>
  </r>
  <r>
    <x v="1037"/>
    <s v="2025-01-16"/>
    <x v="5"/>
    <x v="406"/>
    <x v="440"/>
    <x v="4"/>
    <x v="0"/>
    <x v="3"/>
    <n v="1"/>
    <n v="42.46"/>
    <n v="0.05"/>
    <x v="1030"/>
    <x v="1007"/>
    <x v="0"/>
  </r>
  <r>
    <x v="1038"/>
    <s v="2025-09-15"/>
    <x v="1"/>
    <x v="272"/>
    <x v="306"/>
    <x v="3"/>
    <x v="1"/>
    <x v="10"/>
    <n v="5"/>
    <n v="190.12"/>
    <n v="0.05"/>
    <x v="1031"/>
    <x v="1008"/>
    <x v="1"/>
  </r>
  <r>
    <x v="1039"/>
    <s v="2025-09-19"/>
    <x v="1"/>
    <x v="47"/>
    <x v="66"/>
    <x v="2"/>
    <x v="2"/>
    <x v="2"/>
    <n v="3"/>
    <n v="55.31"/>
    <n v="0.15"/>
    <x v="1032"/>
    <x v="1009"/>
    <x v="1"/>
  </r>
  <r>
    <x v="1040"/>
    <s v="2025-12-23"/>
    <x v="3"/>
    <x v="351"/>
    <x v="105"/>
    <x v="2"/>
    <x v="2"/>
    <x v="5"/>
    <n v="4"/>
    <n v="99.18"/>
    <n v="0.1"/>
    <x v="1033"/>
    <x v="1010"/>
    <x v="1"/>
  </r>
  <r>
    <x v="1041"/>
    <s v="2025-06-14"/>
    <x v="2"/>
    <x v="383"/>
    <x v="117"/>
    <x v="0"/>
    <x v="0"/>
    <x v="7"/>
    <n v="5"/>
    <n v="211.2"/>
    <n v="0"/>
    <x v="1034"/>
    <x v="1011"/>
    <x v="2"/>
  </r>
  <r>
    <x v="1042"/>
    <s v="2025-07-10"/>
    <x v="4"/>
    <x v="89"/>
    <x v="149"/>
    <x v="3"/>
    <x v="3"/>
    <x v="12"/>
    <n v="3"/>
    <n v="50.58"/>
    <n v="0.05"/>
    <x v="1035"/>
    <x v="1012"/>
    <x v="1"/>
  </r>
  <r>
    <x v="1043"/>
    <s v="2025-04-18"/>
    <x v="9"/>
    <x v="298"/>
    <x v="166"/>
    <x v="2"/>
    <x v="2"/>
    <x v="2"/>
    <n v="2"/>
    <n v="84.04"/>
    <n v="0.15"/>
    <x v="1036"/>
    <x v="365"/>
    <x v="1"/>
  </r>
  <r>
    <x v="1044"/>
    <s v="2025-04-26"/>
    <x v="9"/>
    <x v="115"/>
    <x v="58"/>
    <x v="0"/>
    <x v="1"/>
    <x v="1"/>
    <n v="4"/>
    <n v="161.65"/>
    <n v="0.15"/>
    <x v="1037"/>
    <x v="1013"/>
    <x v="1"/>
  </r>
  <r>
    <x v="1045"/>
    <s v="2025-04-27"/>
    <x v="9"/>
    <x v="289"/>
    <x v="164"/>
    <x v="1"/>
    <x v="0"/>
    <x v="3"/>
    <n v="1"/>
    <n v="83.98"/>
    <n v="0.05"/>
    <x v="1038"/>
    <x v="1014"/>
    <x v="2"/>
  </r>
  <r>
    <x v="1046"/>
    <s v="2025-07-03"/>
    <x v="4"/>
    <x v="240"/>
    <x v="441"/>
    <x v="4"/>
    <x v="1"/>
    <x v="8"/>
    <n v="1"/>
    <n v="81.72"/>
    <n v="0.15"/>
    <x v="1039"/>
    <x v="1015"/>
    <x v="1"/>
  </r>
  <r>
    <x v="1047"/>
    <s v="2025-03-20"/>
    <x v="7"/>
    <x v="337"/>
    <x v="442"/>
    <x v="2"/>
    <x v="2"/>
    <x v="5"/>
    <n v="8"/>
    <n v="219.54"/>
    <n v="0.05"/>
    <x v="1040"/>
    <x v="1016"/>
    <x v="0"/>
  </r>
  <r>
    <x v="1048"/>
    <s v="2025-10-06"/>
    <x v="6"/>
    <x v="216"/>
    <x v="72"/>
    <x v="2"/>
    <x v="3"/>
    <x v="11"/>
    <n v="1"/>
    <n v="91.45"/>
    <n v="0.15"/>
    <x v="1041"/>
    <x v="1017"/>
    <x v="2"/>
  </r>
  <r>
    <x v="1049"/>
    <s v="2025-07-03"/>
    <x v="4"/>
    <x v="303"/>
    <x v="373"/>
    <x v="4"/>
    <x v="3"/>
    <x v="9"/>
    <n v="2"/>
    <n v="206.89"/>
    <n v="0.1"/>
    <x v="1042"/>
    <x v="1018"/>
    <x v="0"/>
  </r>
  <r>
    <x v="1050"/>
    <s v="2025-01-29"/>
    <x v="5"/>
    <x v="189"/>
    <x v="261"/>
    <x v="1"/>
    <x v="0"/>
    <x v="7"/>
    <n v="8"/>
    <n v="137.30000000000001"/>
    <n v="0.1"/>
    <x v="1043"/>
    <x v="1019"/>
    <x v="2"/>
  </r>
  <r>
    <x v="1051"/>
    <s v="2025-11-07"/>
    <x v="10"/>
    <x v="140"/>
    <x v="391"/>
    <x v="0"/>
    <x v="1"/>
    <x v="1"/>
    <n v="7"/>
    <n v="240.81"/>
    <n v="0.1"/>
    <x v="1044"/>
    <x v="1020"/>
    <x v="0"/>
  </r>
  <r>
    <x v="1052"/>
    <s v="2025-03-10"/>
    <x v="7"/>
    <x v="439"/>
    <x v="426"/>
    <x v="4"/>
    <x v="1"/>
    <x v="1"/>
    <n v="8"/>
    <n v="121.37"/>
    <n v="0"/>
    <x v="1045"/>
    <x v="1021"/>
    <x v="1"/>
  </r>
  <r>
    <x v="1053"/>
    <s v="2025-05-30"/>
    <x v="11"/>
    <x v="126"/>
    <x v="345"/>
    <x v="4"/>
    <x v="3"/>
    <x v="12"/>
    <n v="2"/>
    <n v="22.75"/>
    <n v="0.1"/>
    <x v="1046"/>
    <x v="1022"/>
    <x v="1"/>
  </r>
  <r>
    <x v="1054"/>
    <s v="2025-06-08"/>
    <x v="2"/>
    <x v="419"/>
    <x v="252"/>
    <x v="1"/>
    <x v="0"/>
    <x v="7"/>
    <n v="5"/>
    <n v="249.21"/>
    <n v="0.05"/>
    <x v="1047"/>
    <x v="1023"/>
    <x v="0"/>
  </r>
  <r>
    <x v="1055"/>
    <s v="2025-09-11"/>
    <x v="1"/>
    <x v="206"/>
    <x v="0"/>
    <x v="3"/>
    <x v="1"/>
    <x v="1"/>
    <n v="4"/>
    <n v="199.5"/>
    <n v="0.1"/>
    <x v="1048"/>
    <x v="1024"/>
    <x v="0"/>
  </r>
  <r>
    <x v="1056"/>
    <s v="2025-07-18"/>
    <x v="4"/>
    <x v="39"/>
    <x v="265"/>
    <x v="0"/>
    <x v="3"/>
    <x v="9"/>
    <n v="6"/>
    <n v="21.35"/>
    <n v="0.05"/>
    <x v="1049"/>
    <x v="1025"/>
    <x v="2"/>
  </r>
  <r>
    <x v="1057"/>
    <s v="2025-02-10"/>
    <x v="8"/>
    <x v="14"/>
    <x v="443"/>
    <x v="0"/>
    <x v="1"/>
    <x v="8"/>
    <n v="8"/>
    <n v="168.54"/>
    <n v="0"/>
    <x v="1050"/>
    <x v="1026"/>
    <x v="1"/>
  </r>
  <r>
    <x v="1058"/>
    <s v="2025-02-21"/>
    <x v="8"/>
    <x v="374"/>
    <x v="37"/>
    <x v="3"/>
    <x v="1"/>
    <x v="1"/>
    <n v="6"/>
    <n v="182.58"/>
    <n v="0"/>
    <x v="1051"/>
    <x v="1027"/>
    <x v="1"/>
  </r>
  <r>
    <x v="1059"/>
    <s v="2025-11-03"/>
    <x v="10"/>
    <x v="34"/>
    <x v="177"/>
    <x v="0"/>
    <x v="3"/>
    <x v="12"/>
    <n v="2"/>
    <n v="111.48"/>
    <n v="0.15"/>
    <x v="1052"/>
    <x v="1028"/>
    <x v="1"/>
  </r>
  <r>
    <x v="1060"/>
    <s v="2025-11-17"/>
    <x v="10"/>
    <x v="376"/>
    <x v="261"/>
    <x v="0"/>
    <x v="3"/>
    <x v="9"/>
    <n v="8"/>
    <n v="78.86"/>
    <n v="0.05"/>
    <x v="1053"/>
    <x v="1029"/>
    <x v="2"/>
  </r>
  <r>
    <x v="1061"/>
    <s v="2025-12-04"/>
    <x v="3"/>
    <x v="389"/>
    <x v="389"/>
    <x v="4"/>
    <x v="0"/>
    <x v="7"/>
    <n v="7"/>
    <n v="97.89"/>
    <n v="0.15"/>
    <x v="1054"/>
    <x v="1030"/>
    <x v="2"/>
  </r>
  <r>
    <x v="1062"/>
    <s v="2025-10-14"/>
    <x v="6"/>
    <x v="307"/>
    <x v="378"/>
    <x v="3"/>
    <x v="3"/>
    <x v="9"/>
    <n v="7"/>
    <n v="59.11"/>
    <n v="0.1"/>
    <x v="1055"/>
    <x v="1031"/>
    <x v="2"/>
  </r>
  <r>
    <x v="1063"/>
    <s v="2025-03-08"/>
    <x v="7"/>
    <x v="226"/>
    <x v="318"/>
    <x v="2"/>
    <x v="1"/>
    <x v="1"/>
    <n v="4"/>
    <n v="45.42"/>
    <n v="0.05"/>
    <x v="1056"/>
    <x v="1032"/>
    <x v="0"/>
  </r>
  <r>
    <x v="1064"/>
    <s v="2025-02-17"/>
    <x v="8"/>
    <x v="433"/>
    <x v="166"/>
    <x v="4"/>
    <x v="1"/>
    <x v="1"/>
    <n v="3"/>
    <n v="40.47"/>
    <n v="0.05"/>
    <x v="1057"/>
    <x v="1033"/>
    <x v="2"/>
  </r>
  <r>
    <x v="1065"/>
    <s v="2025-05-09"/>
    <x v="11"/>
    <x v="37"/>
    <x v="76"/>
    <x v="3"/>
    <x v="0"/>
    <x v="3"/>
    <n v="7"/>
    <n v="159.51"/>
    <n v="0.15"/>
    <x v="1058"/>
    <x v="1034"/>
    <x v="0"/>
  </r>
  <r>
    <x v="1066"/>
    <s v="2025-05-01"/>
    <x v="11"/>
    <x v="440"/>
    <x v="127"/>
    <x v="0"/>
    <x v="3"/>
    <x v="12"/>
    <n v="8"/>
    <n v="68.36"/>
    <n v="0.15"/>
    <x v="1059"/>
    <x v="1035"/>
    <x v="2"/>
  </r>
  <r>
    <x v="1067"/>
    <s v="2025-09-27"/>
    <x v="1"/>
    <x v="400"/>
    <x v="281"/>
    <x v="1"/>
    <x v="0"/>
    <x v="3"/>
    <n v="7"/>
    <n v="164.71"/>
    <n v="0"/>
    <x v="1060"/>
    <x v="1036"/>
    <x v="1"/>
  </r>
  <r>
    <x v="1068"/>
    <s v="2025-12-31"/>
    <x v="3"/>
    <x v="335"/>
    <x v="269"/>
    <x v="4"/>
    <x v="2"/>
    <x v="2"/>
    <n v="5"/>
    <n v="53.82"/>
    <n v="0"/>
    <x v="1061"/>
    <x v="884"/>
    <x v="2"/>
  </r>
  <r>
    <x v="1069"/>
    <s v="2025-08-31"/>
    <x v="0"/>
    <x v="149"/>
    <x v="444"/>
    <x v="0"/>
    <x v="3"/>
    <x v="9"/>
    <n v="5"/>
    <n v="163.74"/>
    <n v="0"/>
    <x v="1062"/>
    <x v="1037"/>
    <x v="0"/>
  </r>
  <r>
    <x v="1070"/>
    <s v="2025-06-11"/>
    <x v="2"/>
    <x v="199"/>
    <x v="210"/>
    <x v="4"/>
    <x v="0"/>
    <x v="3"/>
    <n v="7"/>
    <n v="133.05000000000001"/>
    <n v="0.15"/>
    <x v="1063"/>
    <x v="1038"/>
    <x v="0"/>
  </r>
  <r>
    <x v="1071"/>
    <s v="2025-08-12"/>
    <x v="0"/>
    <x v="114"/>
    <x v="358"/>
    <x v="2"/>
    <x v="1"/>
    <x v="8"/>
    <n v="4"/>
    <n v="51.88"/>
    <n v="0"/>
    <x v="1064"/>
    <x v="651"/>
    <x v="1"/>
  </r>
  <r>
    <x v="1072"/>
    <s v="2025-10-19"/>
    <x v="6"/>
    <x v="151"/>
    <x v="391"/>
    <x v="0"/>
    <x v="3"/>
    <x v="9"/>
    <n v="6"/>
    <n v="50.13"/>
    <n v="0.1"/>
    <x v="1065"/>
    <x v="1039"/>
    <x v="1"/>
  </r>
  <r>
    <x v="1073"/>
    <s v="2025-01-01"/>
    <x v="5"/>
    <x v="8"/>
    <x v="205"/>
    <x v="2"/>
    <x v="0"/>
    <x v="7"/>
    <n v="4"/>
    <n v="49.26"/>
    <n v="0.05"/>
    <x v="1066"/>
    <x v="1040"/>
    <x v="2"/>
  </r>
  <r>
    <x v="1074"/>
    <s v="2025-06-26"/>
    <x v="2"/>
    <x v="107"/>
    <x v="198"/>
    <x v="0"/>
    <x v="0"/>
    <x v="3"/>
    <n v="2"/>
    <n v="60.98"/>
    <n v="0"/>
    <x v="1067"/>
    <x v="1041"/>
    <x v="0"/>
  </r>
  <r>
    <x v="1075"/>
    <s v="2025-12-10"/>
    <x v="3"/>
    <x v="8"/>
    <x v="274"/>
    <x v="3"/>
    <x v="0"/>
    <x v="0"/>
    <n v="2"/>
    <n v="213.23"/>
    <n v="0.15"/>
    <x v="1068"/>
    <x v="1042"/>
    <x v="1"/>
  </r>
  <r>
    <x v="1076"/>
    <s v="2025-12-18"/>
    <x v="3"/>
    <x v="41"/>
    <x v="269"/>
    <x v="4"/>
    <x v="2"/>
    <x v="6"/>
    <n v="4"/>
    <n v="31.45"/>
    <n v="0.1"/>
    <x v="1069"/>
    <x v="1043"/>
    <x v="2"/>
  </r>
  <r>
    <x v="1077"/>
    <s v="2025-04-20"/>
    <x v="9"/>
    <x v="195"/>
    <x v="14"/>
    <x v="2"/>
    <x v="1"/>
    <x v="8"/>
    <n v="7"/>
    <n v="181.64"/>
    <n v="0.1"/>
    <x v="1070"/>
    <x v="1044"/>
    <x v="1"/>
  </r>
  <r>
    <x v="1078"/>
    <s v="2025-12-23"/>
    <x v="3"/>
    <x v="14"/>
    <x v="288"/>
    <x v="3"/>
    <x v="3"/>
    <x v="9"/>
    <n v="6"/>
    <n v="47.69"/>
    <n v="0.15"/>
    <x v="1071"/>
    <x v="1045"/>
    <x v="1"/>
  </r>
  <r>
    <x v="1079"/>
    <s v="2025-06-03"/>
    <x v="2"/>
    <x v="441"/>
    <x v="275"/>
    <x v="2"/>
    <x v="0"/>
    <x v="0"/>
    <n v="7"/>
    <n v="129.59"/>
    <n v="0.05"/>
    <x v="1072"/>
    <x v="1046"/>
    <x v="0"/>
  </r>
  <r>
    <x v="1080"/>
    <s v="2025-04-26"/>
    <x v="9"/>
    <x v="58"/>
    <x v="416"/>
    <x v="4"/>
    <x v="1"/>
    <x v="8"/>
    <n v="6"/>
    <n v="197.53"/>
    <n v="0"/>
    <x v="1073"/>
    <x v="1047"/>
    <x v="2"/>
  </r>
  <r>
    <x v="1081"/>
    <s v="2025-04-07"/>
    <x v="9"/>
    <x v="257"/>
    <x v="32"/>
    <x v="3"/>
    <x v="0"/>
    <x v="7"/>
    <n v="5"/>
    <n v="201.33"/>
    <n v="0"/>
    <x v="1074"/>
    <x v="1048"/>
    <x v="2"/>
  </r>
  <r>
    <x v="1082"/>
    <s v="2025-03-10"/>
    <x v="7"/>
    <x v="344"/>
    <x v="133"/>
    <x v="1"/>
    <x v="2"/>
    <x v="2"/>
    <n v="7"/>
    <n v="59.44"/>
    <n v="0.15"/>
    <x v="1075"/>
    <x v="1049"/>
    <x v="1"/>
  </r>
  <r>
    <x v="1083"/>
    <s v="2025-05-12"/>
    <x v="11"/>
    <x v="442"/>
    <x v="322"/>
    <x v="3"/>
    <x v="3"/>
    <x v="11"/>
    <n v="6"/>
    <n v="51.62"/>
    <n v="0.05"/>
    <x v="1076"/>
    <x v="1050"/>
    <x v="1"/>
  </r>
  <r>
    <x v="1084"/>
    <s v="2025-06-11"/>
    <x v="2"/>
    <x v="112"/>
    <x v="305"/>
    <x v="4"/>
    <x v="2"/>
    <x v="4"/>
    <n v="3"/>
    <n v="222.34"/>
    <n v="0"/>
    <x v="1077"/>
    <x v="1051"/>
    <x v="2"/>
  </r>
  <r>
    <x v="1085"/>
    <s v="2025-06-21"/>
    <x v="2"/>
    <x v="374"/>
    <x v="326"/>
    <x v="3"/>
    <x v="3"/>
    <x v="11"/>
    <n v="1"/>
    <n v="166.75"/>
    <n v="0.05"/>
    <x v="1078"/>
    <x v="1052"/>
    <x v="1"/>
  </r>
  <r>
    <x v="1086"/>
    <s v="2025-12-29"/>
    <x v="3"/>
    <x v="28"/>
    <x v="445"/>
    <x v="0"/>
    <x v="1"/>
    <x v="10"/>
    <n v="2"/>
    <n v="23.17"/>
    <n v="0.15"/>
    <x v="1079"/>
    <x v="1053"/>
    <x v="1"/>
  </r>
  <r>
    <x v="1087"/>
    <s v="2025-06-30"/>
    <x v="2"/>
    <x v="443"/>
    <x v="412"/>
    <x v="4"/>
    <x v="2"/>
    <x v="6"/>
    <n v="6"/>
    <n v="10.77"/>
    <n v="0.15"/>
    <x v="1080"/>
    <x v="1054"/>
    <x v="1"/>
  </r>
  <r>
    <x v="1088"/>
    <s v="2025-04-20"/>
    <x v="9"/>
    <x v="39"/>
    <x v="378"/>
    <x v="1"/>
    <x v="1"/>
    <x v="1"/>
    <n v="3"/>
    <n v="161.66"/>
    <n v="0.1"/>
    <x v="1081"/>
    <x v="1055"/>
    <x v="0"/>
  </r>
  <r>
    <x v="1089"/>
    <s v="2025-07-26"/>
    <x v="4"/>
    <x v="192"/>
    <x v="126"/>
    <x v="4"/>
    <x v="0"/>
    <x v="0"/>
    <n v="2"/>
    <n v="166.69"/>
    <n v="0.15"/>
    <x v="1082"/>
    <x v="1056"/>
    <x v="0"/>
  </r>
  <r>
    <x v="1090"/>
    <s v="2025-01-01"/>
    <x v="5"/>
    <x v="25"/>
    <x v="442"/>
    <x v="1"/>
    <x v="0"/>
    <x v="3"/>
    <n v="5"/>
    <n v="20.34"/>
    <n v="0.1"/>
    <x v="1083"/>
    <x v="1057"/>
    <x v="2"/>
  </r>
  <r>
    <x v="1091"/>
    <s v="2025-03-23"/>
    <x v="7"/>
    <x v="17"/>
    <x v="22"/>
    <x v="0"/>
    <x v="1"/>
    <x v="8"/>
    <n v="8"/>
    <n v="151.05000000000001"/>
    <n v="0.05"/>
    <x v="1084"/>
    <x v="1058"/>
    <x v="2"/>
  </r>
  <r>
    <x v="1092"/>
    <s v="2025-09-21"/>
    <x v="1"/>
    <x v="444"/>
    <x v="408"/>
    <x v="2"/>
    <x v="1"/>
    <x v="8"/>
    <n v="3"/>
    <n v="223.15"/>
    <n v="0.15"/>
    <x v="1085"/>
    <x v="1059"/>
    <x v="2"/>
  </r>
  <r>
    <x v="1093"/>
    <s v="2025-01-02"/>
    <x v="5"/>
    <x v="246"/>
    <x v="161"/>
    <x v="3"/>
    <x v="1"/>
    <x v="10"/>
    <n v="5"/>
    <n v="178.8"/>
    <n v="0.15"/>
    <x v="1086"/>
    <x v="1060"/>
    <x v="2"/>
  </r>
  <r>
    <x v="1094"/>
    <s v="2025-12-25"/>
    <x v="3"/>
    <x v="93"/>
    <x v="49"/>
    <x v="1"/>
    <x v="3"/>
    <x v="9"/>
    <n v="8"/>
    <n v="210.95"/>
    <n v="0.05"/>
    <x v="1087"/>
    <x v="1061"/>
    <x v="2"/>
  </r>
  <r>
    <x v="1095"/>
    <s v="2025-06-05"/>
    <x v="2"/>
    <x v="304"/>
    <x v="226"/>
    <x v="2"/>
    <x v="2"/>
    <x v="6"/>
    <n v="2"/>
    <n v="36.409999999999997"/>
    <n v="0.05"/>
    <x v="1088"/>
    <x v="1062"/>
    <x v="0"/>
  </r>
  <r>
    <x v="1096"/>
    <s v="2025-10-22"/>
    <x v="6"/>
    <x v="401"/>
    <x v="34"/>
    <x v="4"/>
    <x v="0"/>
    <x v="0"/>
    <n v="4"/>
    <n v="230.58"/>
    <n v="0"/>
    <x v="1089"/>
    <x v="1063"/>
    <x v="2"/>
  </r>
  <r>
    <x v="1097"/>
    <s v="2025-02-25"/>
    <x v="8"/>
    <x v="285"/>
    <x v="299"/>
    <x v="0"/>
    <x v="0"/>
    <x v="0"/>
    <n v="6"/>
    <n v="12.45"/>
    <n v="0.05"/>
    <x v="1090"/>
    <x v="1064"/>
    <x v="2"/>
  </r>
  <r>
    <x v="1098"/>
    <s v="2025-01-21"/>
    <x v="5"/>
    <x v="445"/>
    <x v="383"/>
    <x v="4"/>
    <x v="3"/>
    <x v="12"/>
    <n v="2"/>
    <n v="15.89"/>
    <n v="0.15"/>
    <x v="1091"/>
    <x v="1065"/>
    <x v="0"/>
  </r>
  <r>
    <x v="1099"/>
    <s v="2025-08-18"/>
    <x v="0"/>
    <x v="3"/>
    <x v="294"/>
    <x v="4"/>
    <x v="1"/>
    <x v="10"/>
    <n v="4"/>
    <n v="211.76"/>
    <n v="0.1"/>
    <x v="1092"/>
    <x v="1066"/>
    <x v="1"/>
  </r>
  <r>
    <x v="1100"/>
    <s v="2025-05-10"/>
    <x v="11"/>
    <x v="397"/>
    <x v="446"/>
    <x v="2"/>
    <x v="1"/>
    <x v="1"/>
    <n v="5"/>
    <n v="191.54"/>
    <n v="0.1"/>
    <x v="1093"/>
    <x v="1067"/>
    <x v="0"/>
  </r>
  <r>
    <x v="1101"/>
    <s v="2025-02-18"/>
    <x v="8"/>
    <x v="397"/>
    <x v="447"/>
    <x v="0"/>
    <x v="2"/>
    <x v="4"/>
    <n v="4"/>
    <n v="71.5"/>
    <n v="0.15"/>
    <x v="1094"/>
    <x v="1068"/>
    <x v="1"/>
  </r>
  <r>
    <x v="1102"/>
    <s v="2025-03-08"/>
    <x v="7"/>
    <x v="118"/>
    <x v="294"/>
    <x v="1"/>
    <x v="0"/>
    <x v="7"/>
    <n v="8"/>
    <n v="90.74"/>
    <n v="0.1"/>
    <x v="1095"/>
    <x v="1069"/>
    <x v="2"/>
  </r>
  <r>
    <x v="1103"/>
    <s v="2025-12-24"/>
    <x v="3"/>
    <x v="222"/>
    <x v="149"/>
    <x v="1"/>
    <x v="0"/>
    <x v="3"/>
    <n v="4"/>
    <n v="32.56"/>
    <n v="0.15"/>
    <x v="1096"/>
    <x v="554"/>
    <x v="2"/>
  </r>
  <r>
    <x v="1104"/>
    <s v="2025-08-16"/>
    <x v="0"/>
    <x v="54"/>
    <x v="48"/>
    <x v="2"/>
    <x v="3"/>
    <x v="12"/>
    <n v="7"/>
    <n v="55.7"/>
    <n v="0.05"/>
    <x v="1097"/>
    <x v="1070"/>
    <x v="0"/>
  </r>
  <r>
    <x v="1105"/>
    <s v="2025-05-04"/>
    <x v="11"/>
    <x v="185"/>
    <x v="247"/>
    <x v="4"/>
    <x v="2"/>
    <x v="6"/>
    <n v="6"/>
    <n v="31.84"/>
    <n v="0.15"/>
    <x v="1098"/>
    <x v="1071"/>
    <x v="1"/>
  </r>
  <r>
    <x v="1106"/>
    <s v="2025-06-17"/>
    <x v="2"/>
    <x v="100"/>
    <x v="213"/>
    <x v="4"/>
    <x v="0"/>
    <x v="3"/>
    <n v="5"/>
    <n v="170.19"/>
    <n v="0"/>
    <x v="1099"/>
    <x v="1072"/>
    <x v="1"/>
  </r>
  <r>
    <x v="1107"/>
    <s v="2025-12-06"/>
    <x v="3"/>
    <x v="255"/>
    <x v="448"/>
    <x v="3"/>
    <x v="3"/>
    <x v="9"/>
    <n v="6"/>
    <n v="74.180000000000007"/>
    <n v="0.1"/>
    <x v="1100"/>
    <x v="1073"/>
    <x v="1"/>
  </r>
  <r>
    <x v="1108"/>
    <s v="2025-12-23"/>
    <x v="3"/>
    <x v="128"/>
    <x v="72"/>
    <x v="4"/>
    <x v="3"/>
    <x v="9"/>
    <n v="8"/>
    <n v="227.21"/>
    <n v="0.1"/>
    <x v="1101"/>
    <x v="1074"/>
    <x v="0"/>
  </r>
  <r>
    <x v="1109"/>
    <s v="2025-05-15"/>
    <x v="11"/>
    <x v="46"/>
    <x v="355"/>
    <x v="4"/>
    <x v="3"/>
    <x v="9"/>
    <n v="5"/>
    <n v="189.68"/>
    <n v="0.05"/>
    <x v="1102"/>
    <x v="1075"/>
    <x v="2"/>
  </r>
  <r>
    <x v="1110"/>
    <s v="2025-05-07"/>
    <x v="11"/>
    <x v="419"/>
    <x v="357"/>
    <x v="3"/>
    <x v="3"/>
    <x v="9"/>
    <n v="4"/>
    <n v="129.07"/>
    <n v="0.1"/>
    <x v="1103"/>
    <x v="1076"/>
    <x v="1"/>
  </r>
  <r>
    <x v="1111"/>
    <s v="2025-02-26"/>
    <x v="8"/>
    <x v="187"/>
    <x v="212"/>
    <x v="4"/>
    <x v="1"/>
    <x v="8"/>
    <n v="4"/>
    <n v="82.64"/>
    <n v="0"/>
    <x v="1104"/>
    <x v="1077"/>
    <x v="1"/>
  </r>
  <r>
    <x v="1112"/>
    <s v="2025-06-29"/>
    <x v="2"/>
    <x v="17"/>
    <x v="147"/>
    <x v="1"/>
    <x v="2"/>
    <x v="5"/>
    <n v="8"/>
    <n v="240.94"/>
    <n v="0.1"/>
    <x v="1105"/>
    <x v="1078"/>
    <x v="1"/>
  </r>
  <r>
    <x v="1113"/>
    <s v="2025-07-15"/>
    <x v="4"/>
    <x v="446"/>
    <x v="340"/>
    <x v="3"/>
    <x v="3"/>
    <x v="11"/>
    <n v="3"/>
    <n v="183.49"/>
    <n v="0"/>
    <x v="1106"/>
    <x v="1079"/>
    <x v="1"/>
  </r>
  <r>
    <x v="1114"/>
    <s v="2025-01-02"/>
    <x v="5"/>
    <x v="49"/>
    <x v="240"/>
    <x v="0"/>
    <x v="2"/>
    <x v="2"/>
    <n v="7"/>
    <n v="46.6"/>
    <n v="0.05"/>
    <x v="1107"/>
    <x v="1080"/>
    <x v="0"/>
  </r>
  <r>
    <x v="1115"/>
    <s v="2025-07-25"/>
    <x v="4"/>
    <x v="10"/>
    <x v="148"/>
    <x v="2"/>
    <x v="1"/>
    <x v="1"/>
    <n v="2"/>
    <n v="241.71"/>
    <n v="0"/>
    <x v="1108"/>
    <x v="1081"/>
    <x v="0"/>
  </r>
  <r>
    <x v="1116"/>
    <s v="2025-08-17"/>
    <x v="0"/>
    <x v="447"/>
    <x v="58"/>
    <x v="2"/>
    <x v="2"/>
    <x v="5"/>
    <n v="5"/>
    <n v="191.07"/>
    <n v="0.1"/>
    <x v="1109"/>
    <x v="1082"/>
    <x v="0"/>
  </r>
  <r>
    <x v="1117"/>
    <s v="2025-01-14"/>
    <x v="5"/>
    <x v="448"/>
    <x v="426"/>
    <x v="2"/>
    <x v="1"/>
    <x v="1"/>
    <n v="8"/>
    <n v="40.32"/>
    <n v="0.05"/>
    <x v="1110"/>
    <x v="1083"/>
    <x v="2"/>
  </r>
  <r>
    <x v="1118"/>
    <s v="2025-01-07"/>
    <x v="5"/>
    <x v="370"/>
    <x v="208"/>
    <x v="2"/>
    <x v="1"/>
    <x v="10"/>
    <n v="1"/>
    <n v="177.06"/>
    <n v="0.05"/>
    <x v="1111"/>
    <x v="1084"/>
    <x v="1"/>
  </r>
  <r>
    <x v="1119"/>
    <s v="2025-03-12"/>
    <x v="7"/>
    <x v="43"/>
    <x v="312"/>
    <x v="4"/>
    <x v="1"/>
    <x v="1"/>
    <n v="1"/>
    <n v="56.41"/>
    <n v="0"/>
    <x v="1112"/>
    <x v="1085"/>
    <x v="0"/>
  </r>
  <r>
    <x v="1120"/>
    <s v="2025-10-31"/>
    <x v="6"/>
    <x v="363"/>
    <x v="208"/>
    <x v="3"/>
    <x v="1"/>
    <x v="1"/>
    <n v="3"/>
    <n v="114.16"/>
    <n v="0.15"/>
    <x v="1113"/>
    <x v="1086"/>
    <x v="1"/>
  </r>
  <r>
    <x v="1121"/>
    <s v="2025-02-25"/>
    <x v="8"/>
    <x v="93"/>
    <x v="351"/>
    <x v="1"/>
    <x v="1"/>
    <x v="1"/>
    <n v="2"/>
    <n v="202.97"/>
    <n v="0.15"/>
    <x v="1114"/>
    <x v="1087"/>
    <x v="1"/>
  </r>
  <r>
    <x v="1122"/>
    <s v="2025-06-21"/>
    <x v="2"/>
    <x v="449"/>
    <x v="449"/>
    <x v="4"/>
    <x v="3"/>
    <x v="11"/>
    <n v="2"/>
    <n v="203.47"/>
    <n v="0.15"/>
    <x v="1115"/>
    <x v="1013"/>
    <x v="1"/>
  </r>
  <r>
    <x v="1123"/>
    <s v="2025-06-28"/>
    <x v="2"/>
    <x v="138"/>
    <x v="30"/>
    <x v="0"/>
    <x v="0"/>
    <x v="7"/>
    <n v="2"/>
    <n v="213.57"/>
    <n v="0.1"/>
    <x v="1116"/>
    <x v="1088"/>
    <x v="1"/>
  </r>
  <r>
    <x v="1124"/>
    <s v="2025-10-08"/>
    <x v="6"/>
    <x v="350"/>
    <x v="194"/>
    <x v="4"/>
    <x v="3"/>
    <x v="9"/>
    <n v="5"/>
    <n v="237.5"/>
    <n v="0.15"/>
    <x v="1117"/>
    <x v="1089"/>
    <x v="0"/>
  </r>
  <r>
    <x v="1125"/>
    <s v="2025-11-12"/>
    <x v="10"/>
    <x v="25"/>
    <x v="384"/>
    <x v="2"/>
    <x v="3"/>
    <x v="11"/>
    <n v="1"/>
    <n v="39.64"/>
    <n v="0"/>
    <x v="1118"/>
    <x v="1090"/>
    <x v="1"/>
  </r>
  <r>
    <x v="1126"/>
    <s v="2025-07-15"/>
    <x v="4"/>
    <x v="5"/>
    <x v="450"/>
    <x v="4"/>
    <x v="0"/>
    <x v="3"/>
    <n v="6"/>
    <n v="183.97"/>
    <n v="0.1"/>
    <x v="1119"/>
    <x v="1091"/>
    <x v="1"/>
  </r>
  <r>
    <x v="1127"/>
    <s v="2025-08-01"/>
    <x v="0"/>
    <x v="82"/>
    <x v="182"/>
    <x v="4"/>
    <x v="2"/>
    <x v="2"/>
    <n v="2"/>
    <n v="91.2"/>
    <n v="0"/>
    <x v="1120"/>
    <x v="1092"/>
    <x v="1"/>
  </r>
  <r>
    <x v="1128"/>
    <s v="2025-01-19"/>
    <x v="5"/>
    <x v="164"/>
    <x v="287"/>
    <x v="0"/>
    <x v="1"/>
    <x v="1"/>
    <n v="6"/>
    <n v="27.41"/>
    <n v="0.05"/>
    <x v="795"/>
    <x v="1093"/>
    <x v="2"/>
  </r>
  <r>
    <x v="1129"/>
    <s v="2025-11-20"/>
    <x v="10"/>
    <x v="55"/>
    <x v="396"/>
    <x v="4"/>
    <x v="3"/>
    <x v="11"/>
    <n v="6"/>
    <n v="21.02"/>
    <n v="0"/>
    <x v="1121"/>
    <x v="1094"/>
    <x v="1"/>
  </r>
  <r>
    <x v="1130"/>
    <s v="2025-10-12"/>
    <x v="6"/>
    <x v="203"/>
    <x v="451"/>
    <x v="1"/>
    <x v="1"/>
    <x v="1"/>
    <n v="7"/>
    <n v="196.08"/>
    <n v="0.15"/>
    <x v="1122"/>
    <x v="1095"/>
    <x v="0"/>
  </r>
  <r>
    <x v="1131"/>
    <s v="2025-09-15"/>
    <x v="1"/>
    <x v="166"/>
    <x v="413"/>
    <x v="0"/>
    <x v="0"/>
    <x v="0"/>
    <n v="6"/>
    <n v="174.62"/>
    <n v="0.05"/>
    <x v="1123"/>
    <x v="1096"/>
    <x v="2"/>
  </r>
  <r>
    <x v="1132"/>
    <s v="2025-05-29"/>
    <x v="11"/>
    <x v="450"/>
    <x v="26"/>
    <x v="4"/>
    <x v="2"/>
    <x v="5"/>
    <n v="3"/>
    <n v="192.09"/>
    <n v="0.05"/>
    <x v="1124"/>
    <x v="1097"/>
    <x v="0"/>
  </r>
  <r>
    <x v="1133"/>
    <s v="2025-09-09"/>
    <x v="1"/>
    <x v="45"/>
    <x v="452"/>
    <x v="2"/>
    <x v="0"/>
    <x v="0"/>
    <n v="6"/>
    <n v="20.65"/>
    <n v="0.05"/>
    <x v="1125"/>
    <x v="1098"/>
    <x v="2"/>
  </r>
  <r>
    <x v="1134"/>
    <s v="2025-05-01"/>
    <x v="11"/>
    <x v="269"/>
    <x v="227"/>
    <x v="3"/>
    <x v="2"/>
    <x v="4"/>
    <n v="3"/>
    <n v="219.67"/>
    <n v="0.15"/>
    <x v="1126"/>
    <x v="1099"/>
    <x v="2"/>
  </r>
  <r>
    <x v="1135"/>
    <s v="2025-03-18"/>
    <x v="7"/>
    <x v="324"/>
    <x v="87"/>
    <x v="2"/>
    <x v="1"/>
    <x v="1"/>
    <n v="8"/>
    <n v="159.91"/>
    <n v="0"/>
    <x v="1127"/>
    <x v="1100"/>
    <x v="0"/>
  </r>
  <r>
    <x v="1136"/>
    <s v="2025-10-28"/>
    <x v="6"/>
    <x v="410"/>
    <x v="336"/>
    <x v="3"/>
    <x v="1"/>
    <x v="8"/>
    <n v="4"/>
    <n v="77.849999999999994"/>
    <n v="0.05"/>
    <x v="1128"/>
    <x v="1101"/>
    <x v="1"/>
  </r>
  <r>
    <x v="1137"/>
    <s v="2025-09-10"/>
    <x v="1"/>
    <x v="363"/>
    <x v="333"/>
    <x v="1"/>
    <x v="3"/>
    <x v="9"/>
    <n v="3"/>
    <n v="219.08"/>
    <n v="0"/>
    <x v="1129"/>
    <x v="1102"/>
    <x v="1"/>
  </r>
  <r>
    <x v="1138"/>
    <s v="2025-12-08"/>
    <x v="3"/>
    <x v="322"/>
    <x v="145"/>
    <x v="0"/>
    <x v="2"/>
    <x v="2"/>
    <n v="3"/>
    <n v="221.6"/>
    <n v="0.05"/>
    <x v="1130"/>
    <x v="1103"/>
    <x v="0"/>
  </r>
  <r>
    <x v="1139"/>
    <s v="2025-11-25"/>
    <x v="10"/>
    <x v="285"/>
    <x v="410"/>
    <x v="1"/>
    <x v="0"/>
    <x v="7"/>
    <n v="4"/>
    <n v="148.25"/>
    <n v="0"/>
    <x v="1131"/>
    <x v="1104"/>
    <x v="2"/>
  </r>
  <r>
    <x v="1140"/>
    <s v="2025-04-07"/>
    <x v="9"/>
    <x v="199"/>
    <x v="287"/>
    <x v="1"/>
    <x v="2"/>
    <x v="5"/>
    <n v="4"/>
    <n v="145.16"/>
    <n v="0"/>
    <x v="1132"/>
    <x v="1105"/>
    <x v="1"/>
  </r>
  <r>
    <x v="1141"/>
    <s v="2025-04-14"/>
    <x v="9"/>
    <x v="164"/>
    <x v="108"/>
    <x v="4"/>
    <x v="1"/>
    <x v="10"/>
    <n v="3"/>
    <n v="91.88"/>
    <n v="0.05"/>
    <x v="1133"/>
    <x v="784"/>
    <x v="2"/>
  </r>
  <r>
    <x v="1142"/>
    <s v="2025-08-08"/>
    <x v="0"/>
    <x v="7"/>
    <x v="76"/>
    <x v="1"/>
    <x v="2"/>
    <x v="5"/>
    <n v="7"/>
    <n v="240.18"/>
    <n v="0.1"/>
    <x v="1134"/>
    <x v="1106"/>
    <x v="1"/>
  </r>
  <r>
    <x v="1143"/>
    <s v="2025-04-24"/>
    <x v="9"/>
    <x v="66"/>
    <x v="317"/>
    <x v="1"/>
    <x v="1"/>
    <x v="8"/>
    <n v="3"/>
    <n v="137.19999999999999"/>
    <n v="0.05"/>
    <x v="1135"/>
    <x v="1107"/>
    <x v="1"/>
  </r>
  <r>
    <x v="1144"/>
    <s v="2025-04-20"/>
    <x v="9"/>
    <x v="324"/>
    <x v="46"/>
    <x v="4"/>
    <x v="3"/>
    <x v="12"/>
    <n v="6"/>
    <n v="236.4"/>
    <n v="0.15"/>
    <x v="1136"/>
    <x v="1108"/>
    <x v="1"/>
  </r>
  <r>
    <x v="1145"/>
    <s v="2025-04-21"/>
    <x v="9"/>
    <x v="383"/>
    <x v="265"/>
    <x v="2"/>
    <x v="0"/>
    <x v="3"/>
    <n v="3"/>
    <n v="85.87"/>
    <n v="0"/>
    <x v="1137"/>
    <x v="1109"/>
    <x v="2"/>
  </r>
  <r>
    <x v="1146"/>
    <s v="2025-01-29"/>
    <x v="5"/>
    <x v="211"/>
    <x v="399"/>
    <x v="3"/>
    <x v="3"/>
    <x v="11"/>
    <n v="5"/>
    <n v="71"/>
    <n v="0"/>
    <x v="1138"/>
    <x v="1110"/>
    <x v="0"/>
  </r>
  <r>
    <x v="1147"/>
    <s v="2025-06-09"/>
    <x v="2"/>
    <x v="179"/>
    <x v="386"/>
    <x v="3"/>
    <x v="2"/>
    <x v="5"/>
    <n v="7"/>
    <n v="66.84"/>
    <n v="0.1"/>
    <x v="1139"/>
    <x v="1111"/>
    <x v="1"/>
  </r>
  <r>
    <x v="1148"/>
    <s v="2025-11-06"/>
    <x v="10"/>
    <x v="289"/>
    <x v="140"/>
    <x v="4"/>
    <x v="0"/>
    <x v="7"/>
    <n v="2"/>
    <n v="195.83"/>
    <n v="0.15"/>
    <x v="1140"/>
    <x v="1112"/>
    <x v="1"/>
  </r>
  <r>
    <x v="1149"/>
    <s v="2025-01-30"/>
    <x v="5"/>
    <x v="227"/>
    <x v="453"/>
    <x v="1"/>
    <x v="3"/>
    <x v="12"/>
    <n v="1"/>
    <n v="77.17"/>
    <n v="0.15"/>
    <x v="1141"/>
    <x v="405"/>
    <x v="1"/>
  </r>
  <r>
    <x v="1150"/>
    <s v="2025-08-05"/>
    <x v="0"/>
    <x v="309"/>
    <x v="124"/>
    <x v="3"/>
    <x v="3"/>
    <x v="9"/>
    <n v="8"/>
    <n v="226.22"/>
    <n v="0.15"/>
    <x v="1142"/>
    <x v="1113"/>
    <x v="2"/>
  </r>
  <r>
    <x v="1151"/>
    <s v="2025-12-27"/>
    <x v="3"/>
    <x v="451"/>
    <x v="2"/>
    <x v="1"/>
    <x v="2"/>
    <x v="4"/>
    <n v="2"/>
    <n v="136.44999999999999"/>
    <n v="0.15"/>
    <x v="1143"/>
    <x v="1114"/>
    <x v="0"/>
  </r>
  <r>
    <x v="1152"/>
    <s v="2025-03-07"/>
    <x v="7"/>
    <x v="319"/>
    <x v="314"/>
    <x v="0"/>
    <x v="3"/>
    <x v="12"/>
    <n v="7"/>
    <n v="174.92"/>
    <n v="0"/>
    <x v="1144"/>
    <x v="1115"/>
    <x v="0"/>
  </r>
  <r>
    <x v="1153"/>
    <s v="2025-12-11"/>
    <x v="3"/>
    <x v="217"/>
    <x v="350"/>
    <x v="1"/>
    <x v="3"/>
    <x v="12"/>
    <n v="3"/>
    <n v="228.68"/>
    <n v="0.15"/>
    <x v="1145"/>
    <x v="1116"/>
    <x v="1"/>
  </r>
  <r>
    <x v="1154"/>
    <s v="2025-03-10"/>
    <x v="7"/>
    <x v="85"/>
    <x v="406"/>
    <x v="4"/>
    <x v="1"/>
    <x v="8"/>
    <n v="4"/>
    <n v="212.33"/>
    <n v="0.05"/>
    <x v="1146"/>
    <x v="1117"/>
    <x v="2"/>
  </r>
  <r>
    <x v="1155"/>
    <s v="2025-03-30"/>
    <x v="7"/>
    <x v="452"/>
    <x v="448"/>
    <x v="3"/>
    <x v="2"/>
    <x v="6"/>
    <n v="7"/>
    <n v="203.62"/>
    <n v="0.15"/>
    <x v="1147"/>
    <x v="1118"/>
    <x v="1"/>
  </r>
  <r>
    <x v="1156"/>
    <s v="2025-01-29"/>
    <x v="5"/>
    <x v="61"/>
    <x v="4"/>
    <x v="0"/>
    <x v="0"/>
    <x v="0"/>
    <n v="8"/>
    <n v="66.709999999999994"/>
    <n v="0.15"/>
    <x v="159"/>
    <x v="1119"/>
    <x v="1"/>
  </r>
  <r>
    <x v="1157"/>
    <s v="2025-10-04"/>
    <x v="6"/>
    <x v="9"/>
    <x v="446"/>
    <x v="3"/>
    <x v="2"/>
    <x v="2"/>
    <n v="2"/>
    <n v="39.5"/>
    <n v="0"/>
    <x v="1148"/>
    <x v="1120"/>
    <x v="2"/>
  </r>
  <r>
    <x v="1158"/>
    <s v="2025-01-19"/>
    <x v="5"/>
    <x v="260"/>
    <x v="319"/>
    <x v="4"/>
    <x v="3"/>
    <x v="11"/>
    <n v="5"/>
    <n v="90.08"/>
    <n v="0"/>
    <x v="1149"/>
    <x v="1121"/>
    <x v="1"/>
  </r>
  <r>
    <x v="1159"/>
    <s v="2025-02-13"/>
    <x v="8"/>
    <x v="407"/>
    <x v="79"/>
    <x v="3"/>
    <x v="1"/>
    <x v="8"/>
    <n v="5"/>
    <n v="188.09"/>
    <n v="0"/>
    <x v="1150"/>
    <x v="1122"/>
    <x v="2"/>
  </r>
  <r>
    <x v="1160"/>
    <s v="2025-08-14"/>
    <x v="0"/>
    <x v="363"/>
    <x v="317"/>
    <x v="1"/>
    <x v="1"/>
    <x v="10"/>
    <n v="1"/>
    <n v="109.66"/>
    <n v="0"/>
    <x v="1151"/>
    <x v="1123"/>
    <x v="1"/>
  </r>
  <r>
    <x v="1161"/>
    <s v="2025-02-21"/>
    <x v="8"/>
    <x v="433"/>
    <x v="140"/>
    <x v="0"/>
    <x v="3"/>
    <x v="12"/>
    <n v="6"/>
    <n v="22.39"/>
    <n v="0.05"/>
    <x v="1152"/>
    <x v="1124"/>
    <x v="0"/>
  </r>
  <r>
    <x v="1162"/>
    <s v="2025-09-09"/>
    <x v="1"/>
    <x v="290"/>
    <x v="339"/>
    <x v="3"/>
    <x v="2"/>
    <x v="4"/>
    <n v="8"/>
    <n v="33.4"/>
    <n v="0.05"/>
    <x v="1153"/>
    <x v="1125"/>
    <x v="2"/>
  </r>
  <r>
    <x v="1163"/>
    <s v="2025-09-19"/>
    <x v="1"/>
    <x v="221"/>
    <x v="454"/>
    <x v="3"/>
    <x v="2"/>
    <x v="2"/>
    <n v="5"/>
    <n v="79.98"/>
    <n v="0.1"/>
    <x v="1154"/>
    <x v="1126"/>
    <x v="1"/>
  </r>
  <r>
    <x v="1164"/>
    <s v="2025-12-12"/>
    <x v="3"/>
    <x v="45"/>
    <x v="226"/>
    <x v="2"/>
    <x v="2"/>
    <x v="5"/>
    <n v="6"/>
    <n v="125.85"/>
    <n v="0.1"/>
    <x v="1155"/>
    <x v="1127"/>
    <x v="1"/>
  </r>
  <r>
    <x v="1165"/>
    <s v="2025-03-13"/>
    <x v="7"/>
    <x v="192"/>
    <x v="151"/>
    <x v="3"/>
    <x v="3"/>
    <x v="9"/>
    <n v="1"/>
    <n v="27.96"/>
    <n v="0.15"/>
    <x v="1156"/>
    <x v="1128"/>
    <x v="0"/>
  </r>
  <r>
    <x v="1166"/>
    <s v="2025-01-23"/>
    <x v="5"/>
    <x v="107"/>
    <x v="318"/>
    <x v="0"/>
    <x v="1"/>
    <x v="10"/>
    <n v="3"/>
    <n v="200.11"/>
    <n v="0"/>
    <x v="1157"/>
    <x v="1129"/>
    <x v="1"/>
  </r>
  <r>
    <x v="1167"/>
    <s v="2025-04-03"/>
    <x v="9"/>
    <x v="251"/>
    <x v="30"/>
    <x v="4"/>
    <x v="1"/>
    <x v="1"/>
    <n v="6"/>
    <n v="212.4"/>
    <n v="0.15"/>
    <x v="1158"/>
    <x v="1130"/>
    <x v="2"/>
  </r>
  <r>
    <x v="1168"/>
    <s v="2025-12-06"/>
    <x v="3"/>
    <x v="409"/>
    <x v="0"/>
    <x v="4"/>
    <x v="3"/>
    <x v="12"/>
    <n v="7"/>
    <n v="79.540000000000006"/>
    <n v="0"/>
    <x v="1159"/>
    <x v="1131"/>
    <x v="0"/>
  </r>
  <r>
    <x v="1169"/>
    <s v="2025-02-17"/>
    <x v="8"/>
    <x v="26"/>
    <x v="455"/>
    <x v="0"/>
    <x v="3"/>
    <x v="11"/>
    <n v="4"/>
    <n v="222.51"/>
    <n v="0"/>
    <x v="1160"/>
    <x v="1132"/>
    <x v="2"/>
  </r>
  <r>
    <x v="1170"/>
    <s v="2025-09-30"/>
    <x v="1"/>
    <x v="293"/>
    <x v="405"/>
    <x v="2"/>
    <x v="2"/>
    <x v="2"/>
    <n v="2"/>
    <n v="164.54"/>
    <n v="0.15"/>
    <x v="1161"/>
    <x v="1133"/>
    <x v="1"/>
  </r>
  <r>
    <x v="1171"/>
    <s v="2025-09-30"/>
    <x v="1"/>
    <x v="361"/>
    <x v="183"/>
    <x v="3"/>
    <x v="3"/>
    <x v="9"/>
    <n v="4"/>
    <n v="155.63"/>
    <n v="0.1"/>
    <x v="1162"/>
    <x v="1134"/>
    <x v="1"/>
  </r>
  <r>
    <x v="1172"/>
    <s v="2025-09-16"/>
    <x v="1"/>
    <x v="105"/>
    <x v="214"/>
    <x v="3"/>
    <x v="3"/>
    <x v="12"/>
    <n v="8"/>
    <n v="126.56"/>
    <n v="0"/>
    <x v="1163"/>
    <x v="1135"/>
    <x v="1"/>
  </r>
  <r>
    <x v="1173"/>
    <s v="2025-03-14"/>
    <x v="7"/>
    <x v="359"/>
    <x v="157"/>
    <x v="1"/>
    <x v="3"/>
    <x v="9"/>
    <n v="3"/>
    <n v="98.59"/>
    <n v="0.15"/>
    <x v="1164"/>
    <x v="1136"/>
    <x v="2"/>
  </r>
  <r>
    <x v="1174"/>
    <s v="2025-04-14"/>
    <x v="9"/>
    <x v="449"/>
    <x v="152"/>
    <x v="3"/>
    <x v="1"/>
    <x v="8"/>
    <n v="7"/>
    <n v="25.14"/>
    <n v="0.05"/>
    <x v="1165"/>
    <x v="1137"/>
    <x v="2"/>
  </r>
  <r>
    <x v="1175"/>
    <s v="2025-12-01"/>
    <x v="3"/>
    <x v="181"/>
    <x v="362"/>
    <x v="4"/>
    <x v="3"/>
    <x v="12"/>
    <n v="1"/>
    <n v="246.12"/>
    <n v="0.15"/>
    <x v="1166"/>
    <x v="1138"/>
    <x v="1"/>
  </r>
  <r>
    <x v="1176"/>
    <s v="2025-07-30"/>
    <x v="4"/>
    <x v="252"/>
    <x v="303"/>
    <x v="1"/>
    <x v="3"/>
    <x v="11"/>
    <n v="7"/>
    <n v="41.69"/>
    <n v="0.15"/>
    <x v="1167"/>
    <x v="1139"/>
    <x v="0"/>
  </r>
  <r>
    <x v="1177"/>
    <s v="2025-08-20"/>
    <x v="0"/>
    <x v="410"/>
    <x v="78"/>
    <x v="3"/>
    <x v="1"/>
    <x v="1"/>
    <n v="8"/>
    <n v="205.56"/>
    <n v="0.05"/>
    <x v="1168"/>
    <x v="1140"/>
    <x v="0"/>
  </r>
  <r>
    <x v="1178"/>
    <s v="2025-10-24"/>
    <x v="6"/>
    <x v="408"/>
    <x v="417"/>
    <x v="3"/>
    <x v="1"/>
    <x v="1"/>
    <n v="4"/>
    <n v="167.32"/>
    <n v="0.05"/>
    <x v="1169"/>
    <x v="1141"/>
    <x v="0"/>
  </r>
  <r>
    <x v="1179"/>
    <s v="2025-03-14"/>
    <x v="7"/>
    <x v="453"/>
    <x v="319"/>
    <x v="2"/>
    <x v="0"/>
    <x v="0"/>
    <n v="8"/>
    <n v="237.84"/>
    <n v="0"/>
    <x v="1170"/>
    <x v="1142"/>
    <x v="0"/>
  </r>
  <r>
    <x v="1180"/>
    <s v="2025-04-05"/>
    <x v="9"/>
    <x v="230"/>
    <x v="19"/>
    <x v="3"/>
    <x v="3"/>
    <x v="12"/>
    <n v="8"/>
    <n v="198.98"/>
    <n v="0.1"/>
    <x v="1171"/>
    <x v="1143"/>
    <x v="1"/>
  </r>
  <r>
    <x v="1181"/>
    <s v="2025-07-10"/>
    <x v="4"/>
    <x v="414"/>
    <x v="130"/>
    <x v="4"/>
    <x v="1"/>
    <x v="1"/>
    <n v="3"/>
    <n v="111.04"/>
    <n v="0.05"/>
    <x v="1172"/>
    <x v="1144"/>
    <x v="0"/>
  </r>
  <r>
    <x v="1182"/>
    <s v="2025-11-26"/>
    <x v="10"/>
    <x v="416"/>
    <x v="221"/>
    <x v="4"/>
    <x v="0"/>
    <x v="0"/>
    <n v="1"/>
    <n v="234.55"/>
    <n v="0.05"/>
    <x v="1173"/>
    <x v="1145"/>
    <x v="1"/>
  </r>
  <r>
    <x v="1183"/>
    <s v="2025-04-29"/>
    <x v="9"/>
    <x v="120"/>
    <x v="331"/>
    <x v="4"/>
    <x v="1"/>
    <x v="8"/>
    <n v="4"/>
    <n v="140.04"/>
    <n v="0.15"/>
    <x v="1174"/>
    <x v="1146"/>
    <x v="1"/>
  </r>
  <r>
    <x v="1184"/>
    <s v="2025-09-19"/>
    <x v="1"/>
    <x v="279"/>
    <x v="237"/>
    <x v="2"/>
    <x v="0"/>
    <x v="3"/>
    <n v="3"/>
    <n v="47.78"/>
    <n v="0.1"/>
    <x v="1175"/>
    <x v="1147"/>
    <x v="1"/>
  </r>
  <r>
    <x v="1185"/>
    <s v="2025-06-25"/>
    <x v="2"/>
    <x v="195"/>
    <x v="360"/>
    <x v="2"/>
    <x v="0"/>
    <x v="0"/>
    <n v="4"/>
    <n v="178.08"/>
    <n v="0.15"/>
    <x v="1176"/>
    <x v="1148"/>
    <x v="1"/>
  </r>
  <r>
    <x v="1186"/>
    <s v="2025-07-20"/>
    <x v="4"/>
    <x v="454"/>
    <x v="241"/>
    <x v="2"/>
    <x v="2"/>
    <x v="4"/>
    <n v="2"/>
    <n v="66.08"/>
    <n v="0.15"/>
    <x v="1177"/>
    <x v="1149"/>
    <x v="1"/>
  </r>
  <r>
    <x v="1187"/>
    <s v="2025-08-02"/>
    <x v="0"/>
    <x v="17"/>
    <x v="45"/>
    <x v="3"/>
    <x v="1"/>
    <x v="8"/>
    <n v="6"/>
    <n v="134.43"/>
    <n v="0.15"/>
    <x v="1178"/>
    <x v="1150"/>
    <x v="1"/>
  </r>
  <r>
    <x v="1188"/>
    <s v="2025-12-24"/>
    <x v="3"/>
    <x v="299"/>
    <x v="364"/>
    <x v="1"/>
    <x v="1"/>
    <x v="8"/>
    <n v="6"/>
    <n v="69.95"/>
    <n v="0.15"/>
    <x v="1179"/>
    <x v="1151"/>
    <x v="2"/>
  </r>
  <r>
    <x v="1189"/>
    <s v="2025-07-31"/>
    <x v="4"/>
    <x v="324"/>
    <x v="210"/>
    <x v="0"/>
    <x v="3"/>
    <x v="11"/>
    <n v="2"/>
    <n v="98.26"/>
    <n v="0.05"/>
    <x v="1180"/>
    <x v="983"/>
    <x v="0"/>
  </r>
  <r>
    <x v="1190"/>
    <s v="2025-12-16"/>
    <x v="3"/>
    <x v="189"/>
    <x v="399"/>
    <x v="4"/>
    <x v="3"/>
    <x v="11"/>
    <n v="7"/>
    <n v="206.11"/>
    <n v="0"/>
    <x v="1181"/>
    <x v="1152"/>
    <x v="1"/>
  </r>
  <r>
    <x v="1191"/>
    <s v="2025-02-19"/>
    <x v="8"/>
    <x v="342"/>
    <x v="420"/>
    <x v="2"/>
    <x v="1"/>
    <x v="10"/>
    <n v="5"/>
    <n v="19.02"/>
    <n v="0.15"/>
    <x v="1182"/>
    <x v="1153"/>
    <x v="0"/>
  </r>
  <r>
    <x v="1192"/>
    <s v="2025-02-26"/>
    <x v="8"/>
    <x v="187"/>
    <x v="9"/>
    <x v="0"/>
    <x v="1"/>
    <x v="8"/>
    <n v="7"/>
    <n v="79.52"/>
    <n v="0.1"/>
    <x v="1183"/>
    <x v="165"/>
    <x v="0"/>
  </r>
  <r>
    <x v="1193"/>
    <s v="2025-09-20"/>
    <x v="1"/>
    <x v="44"/>
    <x v="456"/>
    <x v="1"/>
    <x v="0"/>
    <x v="0"/>
    <n v="3"/>
    <n v="134.01"/>
    <n v="0.1"/>
    <x v="1184"/>
    <x v="1154"/>
    <x v="0"/>
  </r>
  <r>
    <x v="1194"/>
    <s v="2025-03-16"/>
    <x v="7"/>
    <x v="28"/>
    <x v="357"/>
    <x v="3"/>
    <x v="0"/>
    <x v="0"/>
    <n v="5"/>
    <n v="69.209999999999994"/>
    <n v="0"/>
    <x v="1185"/>
    <x v="1155"/>
    <x v="0"/>
  </r>
  <r>
    <x v="1195"/>
    <s v="2025-05-13"/>
    <x v="11"/>
    <x v="9"/>
    <x v="84"/>
    <x v="0"/>
    <x v="3"/>
    <x v="9"/>
    <n v="8"/>
    <n v="184.84"/>
    <n v="0.1"/>
    <x v="1186"/>
    <x v="1156"/>
    <x v="2"/>
  </r>
  <r>
    <x v="1196"/>
    <s v="2025-05-03"/>
    <x v="11"/>
    <x v="391"/>
    <x v="233"/>
    <x v="1"/>
    <x v="2"/>
    <x v="2"/>
    <n v="5"/>
    <n v="148.81"/>
    <n v="0"/>
    <x v="1187"/>
    <x v="1157"/>
    <x v="1"/>
  </r>
  <r>
    <x v="1197"/>
    <s v="2025-08-25"/>
    <x v="0"/>
    <x v="249"/>
    <x v="149"/>
    <x v="3"/>
    <x v="1"/>
    <x v="8"/>
    <n v="5"/>
    <n v="48.08"/>
    <n v="0.1"/>
    <x v="1188"/>
    <x v="1158"/>
    <x v="0"/>
  </r>
  <r>
    <x v="1198"/>
    <s v="2025-12-06"/>
    <x v="3"/>
    <x v="244"/>
    <x v="413"/>
    <x v="2"/>
    <x v="0"/>
    <x v="0"/>
    <n v="3"/>
    <n v="184.56"/>
    <n v="0"/>
    <x v="1189"/>
    <x v="1159"/>
    <x v="2"/>
  </r>
  <r>
    <x v="1199"/>
    <s v="2025-07-21"/>
    <x v="4"/>
    <x v="455"/>
    <x v="61"/>
    <x v="0"/>
    <x v="3"/>
    <x v="9"/>
    <n v="1"/>
    <n v="178.04"/>
    <n v="0.05"/>
    <x v="1190"/>
    <x v="1160"/>
    <x v="2"/>
  </r>
  <r>
    <x v="1200"/>
    <s v="2025-02-07"/>
    <x v="8"/>
    <x v="192"/>
    <x v="11"/>
    <x v="0"/>
    <x v="1"/>
    <x v="8"/>
    <n v="8"/>
    <n v="143.59"/>
    <n v="0.1"/>
    <x v="1191"/>
    <x v="1161"/>
    <x v="0"/>
  </r>
  <r>
    <x v="1201"/>
    <s v="2025-11-01"/>
    <x v="10"/>
    <x v="344"/>
    <x v="457"/>
    <x v="4"/>
    <x v="2"/>
    <x v="5"/>
    <n v="4"/>
    <n v="129.18"/>
    <n v="0.05"/>
    <x v="1192"/>
    <x v="1162"/>
    <x v="0"/>
  </r>
  <r>
    <x v="1202"/>
    <s v="2025-10-16"/>
    <x v="6"/>
    <x v="43"/>
    <x v="437"/>
    <x v="4"/>
    <x v="1"/>
    <x v="1"/>
    <n v="8"/>
    <n v="247.42"/>
    <n v="0.05"/>
    <x v="1193"/>
    <x v="1163"/>
    <x v="0"/>
  </r>
  <r>
    <x v="1203"/>
    <s v="2025-10-26"/>
    <x v="6"/>
    <x v="70"/>
    <x v="44"/>
    <x v="1"/>
    <x v="2"/>
    <x v="6"/>
    <n v="3"/>
    <n v="224.51"/>
    <n v="0.05"/>
    <x v="1194"/>
    <x v="1164"/>
    <x v="1"/>
  </r>
  <r>
    <x v="1204"/>
    <s v="2025-03-23"/>
    <x v="7"/>
    <x v="212"/>
    <x v="231"/>
    <x v="2"/>
    <x v="0"/>
    <x v="7"/>
    <n v="1"/>
    <n v="222.26"/>
    <n v="0.05"/>
    <x v="1195"/>
    <x v="1165"/>
    <x v="0"/>
  </r>
  <r>
    <x v="1205"/>
    <s v="2025-08-19"/>
    <x v="0"/>
    <x v="210"/>
    <x v="234"/>
    <x v="4"/>
    <x v="3"/>
    <x v="12"/>
    <n v="8"/>
    <n v="30.37"/>
    <n v="0.1"/>
    <x v="1196"/>
    <x v="1166"/>
    <x v="2"/>
  </r>
  <r>
    <x v="1206"/>
    <s v="2025-04-30"/>
    <x v="9"/>
    <x v="183"/>
    <x v="110"/>
    <x v="4"/>
    <x v="1"/>
    <x v="10"/>
    <n v="2"/>
    <n v="201.56"/>
    <n v="0.05"/>
    <x v="1197"/>
    <x v="1167"/>
    <x v="0"/>
  </r>
  <r>
    <x v="1207"/>
    <s v="2025-06-20"/>
    <x v="2"/>
    <x v="250"/>
    <x v="242"/>
    <x v="3"/>
    <x v="2"/>
    <x v="4"/>
    <n v="6"/>
    <n v="214.31"/>
    <n v="0.1"/>
    <x v="1198"/>
    <x v="1168"/>
    <x v="1"/>
  </r>
  <r>
    <x v="1208"/>
    <s v="2025-07-11"/>
    <x v="4"/>
    <x v="267"/>
    <x v="408"/>
    <x v="3"/>
    <x v="2"/>
    <x v="6"/>
    <n v="5"/>
    <n v="22.14"/>
    <n v="0"/>
    <x v="1096"/>
    <x v="1169"/>
    <x v="2"/>
  </r>
  <r>
    <x v="1209"/>
    <s v="2025-08-06"/>
    <x v="0"/>
    <x v="456"/>
    <x v="281"/>
    <x v="2"/>
    <x v="2"/>
    <x v="4"/>
    <n v="7"/>
    <n v="133.69999999999999"/>
    <n v="0"/>
    <x v="1199"/>
    <x v="1170"/>
    <x v="1"/>
  </r>
  <r>
    <x v="1210"/>
    <s v="2025-03-11"/>
    <x v="7"/>
    <x v="69"/>
    <x v="458"/>
    <x v="0"/>
    <x v="3"/>
    <x v="11"/>
    <n v="6"/>
    <n v="119.59"/>
    <n v="0.1"/>
    <x v="1200"/>
    <x v="1171"/>
    <x v="1"/>
  </r>
  <r>
    <x v="1211"/>
    <s v="2025-11-02"/>
    <x v="10"/>
    <x v="269"/>
    <x v="49"/>
    <x v="2"/>
    <x v="0"/>
    <x v="7"/>
    <n v="3"/>
    <n v="94.52"/>
    <n v="0"/>
    <x v="1201"/>
    <x v="1172"/>
    <x v="1"/>
  </r>
  <r>
    <x v="1212"/>
    <s v="2025-11-21"/>
    <x v="10"/>
    <x v="97"/>
    <x v="142"/>
    <x v="2"/>
    <x v="2"/>
    <x v="2"/>
    <n v="4"/>
    <n v="31.86"/>
    <n v="0.1"/>
    <x v="1202"/>
    <x v="1173"/>
    <x v="0"/>
  </r>
  <r>
    <x v="1213"/>
    <s v="2025-05-26"/>
    <x v="11"/>
    <x v="4"/>
    <x v="174"/>
    <x v="0"/>
    <x v="3"/>
    <x v="12"/>
    <n v="5"/>
    <n v="83.7"/>
    <n v="0.15"/>
    <x v="1203"/>
    <x v="1174"/>
    <x v="0"/>
  </r>
  <r>
    <x v="1214"/>
    <s v="2025-01-27"/>
    <x v="5"/>
    <x v="251"/>
    <x v="314"/>
    <x v="0"/>
    <x v="1"/>
    <x v="10"/>
    <n v="8"/>
    <n v="97.32"/>
    <n v="0.1"/>
    <x v="1204"/>
    <x v="1175"/>
    <x v="0"/>
  </r>
  <r>
    <x v="1215"/>
    <s v="2025-09-29"/>
    <x v="1"/>
    <x v="36"/>
    <x v="101"/>
    <x v="3"/>
    <x v="2"/>
    <x v="4"/>
    <n v="5"/>
    <n v="37.83"/>
    <n v="0.1"/>
    <x v="1205"/>
    <x v="1176"/>
    <x v="0"/>
  </r>
  <r>
    <x v="1216"/>
    <s v="2025-08-10"/>
    <x v="0"/>
    <x v="457"/>
    <x v="451"/>
    <x v="4"/>
    <x v="2"/>
    <x v="4"/>
    <n v="8"/>
    <n v="139.15"/>
    <n v="0.15"/>
    <x v="1206"/>
    <x v="1177"/>
    <x v="1"/>
  </r>
  <r>
    <x v="1217"/>
    <s v="2025-08-02"/>
    <x v="0"/>
    <x v="124"/>
    <x v="251"/>
    <x v="4"/>
    <x v="1"/>
    <x v="8"/>
    <n v="1"/>
    <n v="46.11"/>
    <n v="0.15"/>
    <x v="1207"/>
    <x v="1178"/>
    <x v="1"/>
  </r>
  <r>
    <x v="1218"/>
    <s v="2025-08-15"/>
    <x v="0"/>
    <x v="349"/>
    <x v="156"/>
    <x v="3"/>
    <x v="1"/>
    <x v="1"/>
    <n v="4"/>
    <n v="136.82"/>
    <n v="0"/>
    <x v="1208"/>
    <x v="1179"/>
    <x v="2"/>
  </r>
  <r>
    <x v="1219"/>
    <s v="2025-07-26"/>
    <x v="4"/>
    <x v="283"/>
    <x v="415"/>
    <x v="3"/>
    <x v="1"/>
    <x v="1"/>
    <n v="5"/>
    <n v="101.46"/>
    <n v="0.05"/>
    <x v="1209"/>
    <x v="1180"/>
    <x v="2"/>
  </r>
  <r>
    <x v="1220"/>
    <s v="2025-08-26"/>
    <x v="0"/>
    <x v="427"/>
    <x v="136"/>
    <x v="1"/>
    <x v="3"/>
    <x v="11"/>
    <n v="3"/>
    <n v="168.1"/>
    <n v="0"/>
    <x v="1210"/>
    <x v="1181"/>
    <x v="2"/>
  </r>
  <r>
    <x v="1221"/>
    <s v="2025-12-16"/>
    <x v="3"/>
    <x v="274"/>
    <x v="259"/>
    <x v="4"/>
    <x v="1"/>
    <x v="8"/>
    <n v="3"/>
    <n v="181.68"/>
    <n v="0.15"/>
    <x v="1211"/>
    <x v="1182"/>
    <x v="2"/>
  </r>
  <r>
    <x v="1222"/>
    <s v="2025-03-23"/>
    <x v="7"/>
    <x v="188"/>
    <x v="52"/>
    <x v="0"/>
    <x v="2"/>
    <x v="6"/>
    <n v="1"/>
    <n v="120.8"/>
    <n v="0"/>
    <x v="1212"/>
    <x v="1183"/>
    <x v="2"/>
  </r>
  <r>
    <x v="1223"/>
    <s v="2025-05-19"/>
    <x v="11"/>
    <x v="410"/>
    <x v="8"/>
    <x v="0"/>
    <x v="3"/>
    <x v="11"/>
    <n v="8"/>
    <n v="55.29"/>
    <n v="0.1"/>
    <x v="1213"/>
    <x v="1184"/>
    <x v="2"/>
  </r>
  <r>
    <x v="1224"/>
    <s v="2025-10-26"/>
    <x v="6"/>
    <x v="270"/>
    <x v="24"/>
    <x v="2"/>
    <x v="2"/>
    <x v="2"/>
    <n v="2"/>
    <n v="184.2"/>
    <n v="0.05"/>
    <x v="1214"/>
    <x v="1185"/>
    <x v="0"/>
  </r>
  <r>
    <x v="1225"/>
    <s v="2025-11-08"/>
    <x v="10"/>
    <x v="195"/>
    <x v="288"/>
    <x v="0"/>
    <x v="2"/>
    <x v="5"/>
    <n v="3"/>
    <n v="248.12"/>
    <n v="0.15"/>
    <x v="1215"/>
    <x v="1186"/>
    <x v="1"/>
  </r>
  <r>
    <x v="1226"/>
    <s v="2025-02-23"/>
    <x v="8"/>
    <x v="397"/>
    <x v="281"/>
    <x v="1"/>
    <x v="3"/>
    <x v="9"/>
    <n v="7"/>
    <n v="110.01"/>
    <n v="0.1"/>
    <x v="1216"/>
    <x v="1187"/>
    <x v="1"/>
  </r>
  <r>
    <x v="1227"/>
    <s v="2025-04-15"/>
    <x v="9"/>
    <x v="250"/>
    <x v="312"/>
    <x v="3"/>
    <x v="2"/>
    <x v="2"/>
    <n v="7"/>
    <n v="142.21"/>
    <n v="0.15"/>
    <x v="1217"/>
    <x v="1188"/>
    <x v="2"/>
  </r>
  <r>
    <x v="1228"/>
    <s v="2025-06-24"/>
    <x v="2"/>
    <x v="262"/>
    <x v="110"/>
    <x v="2"/>
    <x v="1"/>
    <x v="8"/>
    <n v="6"/>
    <n v="60.8"/>
    <n v="0"/>
    <x v="1218"/>
    <x v="1189"/>
    <x v="1"/>
  </r>
  <r>
    <x v="1229"/>
    <s v="2025-05-27"/>
    <x v="11"/>
    <x v="24"/>
    <x v="193"/>
    <x v="4"/>
    <x v="0"/>
    <x v="3"/>
    <n v="8"/>
    <n v="71.64"/>
    <n v="0.15"/>
    <x v="1219"/>
    <x v="1190"/>
    <x v="0"/>
  </r>
  <r>
    <x v="1230"/>
    <s v="2025-04-13"/>
    <x v="9"/>
    <x v="458"/>
    <x v="118"/>
    <x v="0"/>
    <x v="1"/>
    <x v="1"/>
    <n v="6"/>
    <n v="156.58000000000001"/>
    <n v="0.05"/>
    <x v="1220"/>
    <x v="1191"/>
    <x v="1"/>
  </r>
  <r>
    <x v="1231"/>
    <s v="2025-05-14"/>
    <x v="11"/>
    <x v="208"/>
    <x v="347"/>
    <x v="2"/>
    <x v="1"/>
    <x v="10"/>
    <n v="6"/>
    <n v="13.23"/>
    <n v="0.1"/>
    <x v="1221"/>
    <x v="1192"/>
    <x v="0"/>
  </r>
  <r>
    <x v="1232"/>
    <s v="2025-03-25"/>
    <x v="7"/>
    <x v="157"/>
    <x v="29"/>
    <x v="4"/>
    <x v="2"/>
    <x v="2"/>
    <n v="7"/>
    <n v="97.9"/>
    <n v="0.1"/>
    <x v="1222"/>
    <x v="1193"/>
    <x v="2"/>
  </r>
  <r>
    <x v="1233"/>
    <s v="2025-12-08"/>
    <x v="3"/>
    <x v="459"/>
    <x v="432"/>
    <x v="0"/>
    <x v="3"/>
    <x v="12"/>
    <n v="5"/>
    <n v="110.29"/>
    <n v="0.1"/>
    <x v="1223"/>
    <x v="1194"/>
    <x v="2"/>
  </r>
  <r>
    <x v="1234"/>
    <s v="2025-10-06"/>
    <x v="6"/>
    <x v="147"/>
    <x v="170"/>
    <x v="0"/>
    <x v="3"/>
    <x v="12"/>
    <n v="1"/>
    <n v="145.28"/>
    <n v="0.15"/>
    <x v="1224"/>
    <x v="1195"/>
    <x v="1"/>
  </r>
  <r>
    <x v="1235"/>
    <s v="2025-08-04"/>
    <x v="0"/>
    <x v="320"/>
    <x v="459"/>
    <x v="0"/>
    <x v="1"/>
    <x v="8"/>
    <n v="3"/>
    <n v="241.64"/>
    <n v="0.1"/>
    <x v="1225"/>
    <x v="1196"/>
    <x v="1"/>
  </r>
  <r>
    <x v="1236"/>
    <s v="2025-05-17"/>
    <x v="11"/>
    <x v="432"/>
    <x v="109"/>
    <x v="0"/>
    <x v="0"/>
    <x v="3"/>
    <n v="6"/>
    <n v="123.1"/>
    <n v="0.05"/>
    <x v="1226"/>
    <x v="1197"/>
    <x v="0"/>
  </r>
  <r>
    <x v="1237"/>
    <s v="2025-02-21"/>
    <x v="8"/>
    <x v="198"/>
    <x v="307"/>
    <x v="3"/>
    <x v="3"/>
    <x v="9"/>
    <n v="6"/>
    <n v="37.83"/>
    <n v="0.15"/>
    <x v="1227"/>
    <x v="119"/>
    <x v="0"/>
  </r>
  <r>
    <x v="1238"/>
    <s v="2025-07-01"/>
    <x v="4"/>
    <x v="46"/>
    <x v="124"/>
    <x v="4"/>
    <x v="3"/>
    <x v="11"/>
    <n v="6"/>
    <n v="202.74"/>
    <n v="0.15"/>
    <x v="1228"/>
    <x v="1198"/>
    <x v="1"/>
  </r>
  <r>
    <x v="1239"/>
    <s v="2025-10-12"/>
    <x v="6"/>
    <x v="380"/>
    <x v="101"/>
    <x v="1"/>
    <x v="2"/>
    <x v="2"/>
    <n v="3"/>
    <n v="75.02"/>
    <n v="0"/>
    <x v="1229"/>
    <x v="1199"/>
    <x v="2"/>
  </r>
  <r>
    <x v="1240"/>
    <s v="2025-08-17"/>
    <x v="0"/>
    <x v="394"/>
    <x v="234"/>
    <x v="2"/>
    <x v="1"/>
    <x v="1"/>
    <n v="2"/>
    <n v="21.64"/>
    <n v="0.15"/>
    <x v="1230"/>
    <x v="1200"/>
    <x v="0"/>
  </r>
  <r>
    <x v="1241"/>
    <s v="2025-06-14"/>
    <x v="2"/>
    <x v="260"/>
    <x v="355"/>
    <x v="3"/>
    <x v="0"/>
    <x v="0"/>
    <n v="4"/>
    <n v="209.53"/>
    <n v="0"/>
    <x v="1231"/>
    <x v="1201"/>
    <x v="0"/>
  </r>
  <r>
    <x v="1242"/>
    <s v="2025-06-07"/>
    <x v="2"/>
    <x v="269"/>
    <x v="294"/>
    <x v="0"/>
    <x v="2"/>
    <x v="5"/>
    <n v="5"/>
    <n v="79.09"/>
    <n v="0.05"/>
    <x v="1232"/>
    <x v="1202"/>
    <x v="0"/>
  </r>
  <r>
    <x v="1243"/>
    <s v="2025-10-12"/>
    <x v="6"/>
    <x v="192"/>
    <x v="31"/>
    <x v="2"/>
    <x v="2"/>
    <x v="2"/>
    <n v="2"/>
    <n v="233.52"/>
    <n v="0.15"/>
    <x v="1233"/>
    <x v="1203"/>
    <x v="0"/>
  </r>
  <r>
    <x v="1244"/>
    <s v="2025-06-08"/>
    <x v="2"/>
    <x v="103"/>
    <x v="151"/>
    <x v="3"/>
    <x v="0"/>
    <x v="0"/>
    <n v="5"/>
    <n v="170.57"/>
    <n v="0"/>
    <x v="1234"/>
    <x v="1204"/>
    <x v="2"/>
  </r>
  <r>
    <x v="1245"/>
    <s v="2025-10-04"/>
    <x v="6"/>
    <x v="16"/>
    <x v="138"/>
    <x v="1"/>
    <x v="3"/>
    <x v="12"/>
    <n v="5"/>
    <n v="164.79"/>
    <n v="0.05"/>
    <x v="1235"/>
    <x v="1205"/>
    <x v="1"/>
  </r>
  <r>
    <x v="1246"/>
    <s v="2025-12-14"/>
    <x v="3"/>
    <x v="111"/>
    <x v="433"/>
    <x v="2"/>
    <x v="3"/>
    <x v="9"/>
    <n v="3"/>
    <n v="135.81"/>
    <n v="0.15"/>
    <x v="1236"/>
    <x v="1206"/>
    <x v="0"/>
  </r>
  <r>
    <x v="1247"/>
    <s v="2025-07-27"/>
    <x v="4"/>
    <x v="88"/>
    <x v="266"/>
    <x v="2"/>
    <x v="2"/>
    <x v="2"/>
    <n v="7"/>
    <n v="156.31"/>
    <n v="0.1"/>
    <x v="1237"/>
    <x v="1207"/>
    <x v="0"/>
  </r>
  <r>
    <x v="1248"/>
    <s v="2025-11-26"/>
    <x v="10"/>
    <x v="251"/>
    <x v="346"/>
    <x v="4"/>
    <x v="3"/>
    <x v="9"/>
    <n v="6"/>
    <n v="128.09"/>
    <n v="0.1"/>
    <x v="1238"/>
    <x v="1208"/>
    <x v="2"/>
  </r>
  <r>
    <x v="1249"/>
    <s v="2025-05-05"/>
    <x v="11"/>
    <x v="379"/>
    <x v="125"/>
    <x v="2"/>
    <x v="3"/>
    <x v="11"/>
    <n v="8"/>
    <n v="151.36000000000001"/>
    <n v="0.05"/>
    <x v="1239"/>
    <x v="1209"/>
    <x v="0"/>
  </r>
  <r>
    <x v="1250"/>
    <s v="2025-02-20"/>
    <x v="8"/>
    <x v="431"/>
    <x v="53"/>
    <x v="2"/>
    <x v="0"/>
    <x v="0"/>
    <n v="6"/>
    <n v="123.32"/>
    <n v="0.1"/>
    <x v="1240"/>
    <x v="1210"/>
    <x v="2"/>
  </r>
  <r>
    <x v="1251"/>
    <s v="2025-11-02"/>
    <x v="10"/>
    <x v="400"/>
    <x v="192"/>
    <x v="2"/>
    <x v="1"/>
    <x v="1"/>
    <n v="1"/>
    <n v="63.15"/>
    <n v="0.15"/>
    <x v="1241"/>
    <x v="1211"/>
    <x v="0"/>
  </r>
  <r>
    <x v="1252"/>
    <s v="2025-05-29"/>
    <x v="11"/>
    <x v="270"/>
    <x v="400"/>
    <x v="3"/>
    <x v="2"/>
    <x v="5"/>
    <n v="3"/>
    <n v="232.67"/>
    <n v="0"/>
    <x v="1242"/>
    <x v="1212"/>
    <x v="0"/>
  </r>
  <r>
    <x v="1253"/>
    <s v="2025-03-02"/>
    <x v="7"/>
    <x v="460"/>
    <x v="327"/>
    <x v="1"/>
    <x v="0"/>
    <x v="3"/>
    <n v="3"/>
    <n v="56.16"/>
    <n v="0.05"/>
    <x v="1243"/>
    <x v="1213"/>
    <x v="2"/>
  </r>
  <r>
    <x v="1254"/>
    <s v="2025-01-04"/>
    <x v="5"/>
    <x v="101"/>
    <x v="30"/>
    <x v="0"/>
    <x v="3"/>
    <x v="12"/>
    <n v="7"/>
    <n v="143.29"/>
    <n v="0.05"/>
    <x v="1244"/>
    <x v="1214"/>
    <x v="1"/>
  </r>
  <r>
    <x v="1255"/>
    <s v="2025-06-02"/>
    <x v="2"/>
    <x v="20"/>
    <x v="58"/>
    <x v="2"/>
    <x v="1"/>
    <x v="10"/>
    <n v="8"/>
    <n v="20.12"/>
    <n v="0.1"/>
    <x v="1245"/>
    <x v="1215"/>
    <x v="2"/>
  </r>
  <r>
    <x v="1256"/>
    <s v="2025-12-01"/>
    <x v="3"/>
    <x v="57"/>
    <x v="190"/>
    <x v="4"/>
    <x v="1"/>
    <x v="10"/>
    <n v="5"/>
    <n v="249.12"/>
    <n v="0.1"/>
    <x v="1246"/>
    <x v="1216"/>
    <x v="1"/>
  </r>
  <r>
    <x v="1257"/>
    <s v="2025-09-01"/>
    <x v="1"/>
    <x v="47"/>
    <x v="288"/>
    <x v="1"/>
    <x v="3"/>
    <x v="12"/>
    <n v="4"/>
    <n v="13.11"/>
    <n v="0.05"/>
    <x v="1247"/>
    <x v="1217"/>
    <x v="1"/>
  </r>
  <r>
    <x v="1258"/>
    <s v="2025-05-23"/>
    <x v="11"/>
    <x v="226"/>
    <x v="419"/>
    <x v="3"/>
    <x v="2"/>
    <x v="5"/>
    <n v="3"/>
    <n v="106"/>
    <n v="0.15"/>
    <x v="1248"/>
    <x v="1218"/>
    <x v="1"/>
  </r>
  <r>
    <x v="1259"/>
    <s v="2025-12-29"/>
    <x v="3"/>
    <x v="458"/>
    <x v="304"/>
    <x v="1"/>
    <x v="0"/>
    <x v="3"/>
    <n v="2"/>
    <n v="228.59"/>
    <n v="0.15"/>
    <x v="1249"/>
    <x v="698"/>
    <x v="2"/>
  </r>
  <r>
    <x v="1260"/>
    <s v="2025-07-22"/>
    <x v="4"/>
    <x v="388"/>
    <x v="117"/>
    <x v="4"/>
    <x v="3"/>
    <x v="9"/>
    <n v="7"/>
    <n v="124.37"/>
    <n v="0.15"/>
    <x v="1250"/>
    <x v="1219"/>
    <x v="1"/>
  </r>
  <r>
    <x v="1261"/>
    <s v="2025-09-03"/>
    <x v="1"/>
    <x v="458"/>
    <x v="208"/>
    <x v="1"/>
    <x v="0"/>
    <x v="0"/>
    <n v="4"/>
    <n v="132.62"/>
    <n v="0.05"/>
    <x v="1251"/>
    <x v="1220"/>
    <x v="1"/>
  </r>
  <r>
    <x v="1262"/>
    <s v="2025-03-08"/>
    <x v="7"/>
    <x v="461"/>
    <x v="450"/>
    <x v="4"/>
    <x v="1"/>
    <x v="8"/>
    <n v="1"/>
    <n v="27.33"/>
    <n v="0.05"/>
    <x v="1252"/>
    <x v="1221"/>
    <x v="2"/>
  </r>
  <r>
    <x v="1263"/>
    <s v="2025-12-29"/>
    <x v="3"/>
    <x v="264"/>
    <x v="263"/>
    <x v="0"/>
    <x v="2"/>
    <x v="5"/>
    <n v="4"/>
    <n v="53.05"/>
    <n v="0.1"/>
    <x v="1253"/>
    <x v="1222"/>
    <x v="1"/>
  </r>
  <r>
    <x v="1264"/>
    <s v="2025-10-07"/>
    <x v="6"/>
    <x v="187"/>
    <x v="460"/>
    <x v="1"/>
    <x v="1"/>
    <x v="1"/>
    <n v="6"/>
    <n v="122.29"/>
    <n v="0.05"/>
    <x v="1254"/>
    <x v="1223"/>
    <x v="1"/>
  </r>
  <r>
    <x v="1265"/>
    <s v="2025-09-28"/>
    <x v="1"/>
    <x v="107"/>
    <x v="206"/>
    <x v="3"/>
    <x v="2"/>
    <x v="2"/>
    <n v="3"/>
    <n v="17.47"/>
    <n v="0.05"/>
    <x v="1255"/>
    <x v="1224"/>
    <x v="0"/>
  </r>
  <r>
    <x v="1266"/>
    <s v="2025-08-20"/>
    <x v="0"/>
    <x v="462"/>
    <x v="408"/>
    <x v="2"/>
    <x v="0"/>
    <x v="0"/>
    <n v="7"/>
    <n v="246.31"/>
    <n v="0.15"/>
    <x v="1256"/>
    <x v="1225"/>
    <x v="0"/>
  </r>
  <r>
    <x v="1267"/>
    <s v="2025-03-16"/>
    <x v="7"/>
    <x v="413"/>
    <x v="303"/>
    <x v="0"/>
    <x v="0"/>
    <x v="7"/>
    <n v="5"/>
    <n v="227.4"/>
    <n v="0.05"/>
    <x v="1257"/>
    <x v="1226"/>
    <x v="1"/>
  </r>
  <r>
    <x v="1268"/>
    <s v="2025-11-04"/>
    <x v="10"/>
    <x v="298"/>
    <x v="121"/>
    <x v="0"/>
    <x v="1"/>
    <x v="8"/>
    <n v="6"/>
    <n v="103.99"/>
    <n v="0.05"/>
    <x v="1258"/>
    <x v="1227"/>
    <x v="0"/>
  </r>
  <r>
    <x v="1269"/>
    <s v="2025-06-15"/>
    <x v="2"/>
    <x v="401"/>
    <x v="10"/>
    <x v="0"/>
    <x v="0"/>
    <x v="0"/>
    <n v="6"/>
    <n v="224.71"/>
    <n v="0.15"/>
    <x v="1259"/>
    <x v="1228"/>
    <x v="1"/>
  </r>
  <r>
    <x v="1270"/>
    <s v="2025-07-27"/>
    <x v="4"/>
    <x v="447"/>
    <x v="80"/>
    <x v="0"/>
    <x v="1"/>
    <x v="1"/>
    <n v="3"/>
    <n v="67.88"/>
    <n v="0.1"/>
    <x v="1260"/>
    <x v="1229"/>
    <x v="1"/>
  </r>
  <r>
    <x v="1271"/>
    <s v="2025-10-30"/>
    <x v="6"/>
    <x v="185"/>
    <x v="199"/>
    <x v="3"/>
    <x v="2"/>
    <x v="5"/>
    <n v="8"/>
    <n v="146.15"/>
    <n v="0.1"/>
    <x v="1261"/>
    <x v="1230"/>
    <x v="1"/>
  </r>
  <r>
    <x v="1272"/>
    <s v="2025-11-23"/>
    <x v="10"/>
    <x v="188"/>
    <x v="250"/>
    <x v="1"/>
    <x v="1"/>
    <x v="8"/>
    <n v="1"/>
    <n v="236.95"/>
    <n v="0"/>
    <x v="1262"/>
    <x v="1231"/>
    <x v="0"/>
  </r>
  <r>
    <x v="1273"/>
    <s v="2025-05-24"/>
    <x v="11"/>
    <x v="227"/>
    <x v="240"/>
    <x v="1"/>
    <x v="2"/>
    <x v="6"/>
    <n v="2"/>
    <n v="213.59"/>
    <n v="0.05"/>
    <x v="1263"/>
    <x v="1232"/>
    <x v="0"/>
  </r>
  <r>
    <x v="1274"/>
    <s v="2025-02-03"/>
    <x v="8"/>
    <x v="157"/>
    <x v="57"/>
    <x v="0"/>
    <x v="3"/>
    <x v="9"/>
    <n v="1"/>
    <n v="61.54"/>
    <n v="0.05"/>
    <x v="1264"/>
    <x v="1233"/>
    <x v="1"/>
  </r>
  <r>
    <x v="1275"/>
    <s v="2025-01-22"/>
    <x v="5"/>
    <x v="68"/>
    <x v="142"/>
    <x v="3"/>
    <x v="1"/>
    <x v="10"/>
    <n v="5"/>
    <n v="20.170000000000002"/>
    <n v="0.05"/>
    <x v="1265"/>
    <x v="1234"/>
    <x v="1"/>
  </r>
  <r>
    <x v="1276"/>
    <s v="2025-11-18"/>
    <x v="10"/>
    <x v="112"/>
    <x v="181"/>
    <x v="3"/>
    <x v="1"/>
    <x v="10"/>
    <n v="1"/>
    <n v="169.98"/>
    <n v="0.1"/>
    <x v="1266"/>
    <x v="1235"/>
    <x v="2"/>
  </r>
  <r>
    <x v="1277"/>
    <s v="2025-09-26"/>
    <x v="1"/>
    <x v="423"/>
    <x v="204"/>
    <x v="3"/>
    <x v="1"/>
    <x v="1"/>
    <n v="4"/>
    <n v="125.86"/>
    <n v="0.1"/>
    <x v="1267"/>
    <x v="1236"/>
    <x v="2"/>
  </r>
  <r>
    <x v="1278"/>
    <s v="2025-02-03"/>
    <x v="8"/>
    <x v="122"/>
    <x v="104"/>
    <x v="1"/>
    <x v="0"/>
    <x v="7"/>
    <n v="7"/>
    <n v="89.76"/>
    <n v="0.15"/>
    <x v="1268"/>
    <x v="1237"/>
    <x v="1"/>
  </r>
  <r>
    <x v="1279"/>
    <s v="2025-08-04"/>
    <x v="0"/>
    <x v="409"/>
    <x v="143"/>
    <x v="1"/>
    <x v="3"/>
    <x v="11"/>
    <n v="6"/>
    <n v="96.47"/>
    <n v="0.15"/>
    <x v="1269"/>
    <x v="1238"/>
    <x v="2"/>
  </r>
  <r>
    <x v="1280"/>
    <s v="2025-09-03"/>
    <x v="1"/>
    <x v="397"/>
    <x v="461"/>
    <x v="1"/>
    <x v="1"/>
    <x v="10"/>
    <n v="5"/>
    <n v="195.05"/>
    <n v="0"/>
    <x v="1270"/>
    <x v="1239"/>
    <x v="1"/>
  </r>
  <r>
    <x v="1281"/>
    <s v="2025-08-09"/>
    <x v="0"/>
    <x v="7"/>
    <x v="355"/>
    <x v="3"/>
    <x v="1"/>
    <x v="1"/>
    <n v="4"/>
    <n v="106.33"/>
    <n v="0"/>
    <x v="1271"/>
    <x v="1240"/>
    <x v="0"/>
  </r>
  <r>
    <x v="1282"/>
    <s v="2025-12-17"/>
    <x v="3"/>
    <x v="330"/>
    <x v="462"/>
    <x v="4"/>
    <x v="0"/>
    <x v="0"/>
    <n v="6"/>
    <n v="103.09"/>
    <n v="0.05"/>
    <x v="1272"/>
    <x v="1241"/>
    <x v="0"/>
  </r>
  <r>
    <x v="1283"/>
    <s v="2025-09-25"/>
    <x v="1"/>
    <x v="271"/>
    <x v="162"/>
    <x v="3"/>
    <x v="0"/>
    <x v="3"/>
    <n v="2"/>
    <n v="231.67"/>
    <n v="0.15"/>
    <x v="1273"/>
    <x v="1242"/>
    <x v="2"/>
  </r>
  <r>
    <x v="1284"/>
    <s v="2025-01-08"/>
    <x v="5"/>
    <x v="2"/>
    <x v="392"/>
    <x v="4"/>
    <x v="1"/>
    <x v="10"/>
    <n v="2"/>
    <n v="175.85"/>
    <n v="0.05"/>
    <x v="1274"/>
    <x v="1243"/>
    <x v="1"/>
  </r>
  <r>
    <x v="1285"/>
    <s v="2025-01-02"/>
    <x v="5"/>
    <x v="192"/>
    <x v="10"/>
    <x v="0"/>
    <x v="0"/>
    <x v="0"/>
    <n v="3"/>
    <n v="39.700000000000003"/>
    <n v="0"/>
    <x v="1275"/>
    <x v="1244"/>
    <x v="0"/>
  </r>
  <r>
    <x v="1286"/>
    <s v="2025-05-13"/>
    <x v="11"/>
    <x v="152"/>
    <x v="75"/>
    <x v="1"/>
    <x v="3"/>
    <x v="9"/>
    <n v="3"/>
    <n v="220.97"/>
    <n v="0.1"/>
    <x v="1276"/>
    <x v="1245"/>
    <x v="1"/>
  </r>
  <r>
    <x v="1287"/>
    <s v="2025-06-11"/>
    <x v="2"/>
    <x v="292"/>
    <x v="59"/>
    <x v="3"/>
    <x v="1"/>
    <x v="8"/>
    <n v="8"/>
    <n v="107.92"/>
    <n v="0.1"/>
    <x v="1277"/>
    <x v="1246"/>
    <x v="2"/>
  </r>
  <r>
    <x v="1288"/>
    <s v="2025-11-25"/>
    <x v="10"/>
    <x v="365"/>
    <x v="75"/>
    <x v="4"/>
    <x v="3"/>
    <x v="11"/>
    <n v="1"/>
    <n v="98.32"/>
    <n v="0.15"/>
    <x v="1278"/>
    <x v="1247"/>
    <x v="2"/>
  </r>
  <r>
    <x v="1289"/>
    <s v="2025-11-21"/>
    <x v="10"/>
    <x v="408"/>
    <x v="87"/>
    <x v="1"/>
    <x v="1"/>
    <x v="10"/>
    <n v="1"/>
    <n v="194.32"/>
    <n v="0"/>
    <x v="1279"/>
    <x v="1248"/>
    <x v="0"/>
  </r>
  <r>
    <x v="1290"/>
    <s v="2025-01-09"/>
    <x v="5"/>
    <x v="291"/>
    <x v="374"/>
    <x v="1"/>
    <x v="1"/>
    <x v="8"/>
    <n v="5"/>
    <n v="220.51"/>
    <n v="0.1"/>
    <x v="1280"/>
    <x v="1249"/>
    <x v="0"/>
  </r>
  <r>
    <x v="1291"/>
    <s v="2025-09-09"/>
    <x v="1"/>
    <x v="393"/>
    <x v="66"/>
    <x v="1"/>
    <x v="2"/>
    <x v="6"/>
    <n v="7"/>
    <n v="97.69"/>
    <n v="0"/>
    <x v="1281"/>
    <x v="1250"/>
    <x v="1"/>
  </r>
  <r>
    <x v="1292"/>
    <s v="2025-01-01"/>
    <x v="5"/>
    <x v="401"/>
    <x v="463"/>
    <x v="0"/>
    <x v="3"/>
    <x v="9"/>
    <n v="2"/>
    <n v="73.59"/>
    <n v="0"/>
    <x v="1282"/>
    <x v="1251"/>
    <x v="1"/>
  </r>
  <r>
    <x v="1293"/>
    <s v="2025-04-14"/>
    <x v="9"/>
    <x v="2"/>
    <x v="285"/>
    <x v="0"/>
    <x v="2"/>
    <x v="6"/>
    <n v="2"/>
    <n v="54.91"/>
    <n v="0.1"/>
    <x v="1283"/>
    <x v="1252"/>
    <x v="2"/>
  </r>
  <r>
    <x v="1294"/>
    <s v="2025-08-21"/>
    <x v="0"/>
    <x v="85"/>
    <x v="233"/>
    <x v="4"/>
    <x v="0"/>
    <x v="7"/>
    <n v="1"/>
    <n v="55.58"/>
    <n v="0.1"/>
    <x v="1284"/>
    <x v="972"/>
    <x v="2"/>
  </r>
  <r>
    <x v="1295"/>
    <s v="2025-04-09"/>
    <x v="9"/>
    <x v="452"/>
    <x v="83"/>
    <x v="2"/>
    <x v="1"/>
    <x v="10"/>
    <n v="5"/>
    <n v="49.05"/>
    <n v="0.05"/>
    <x v="1285"/>
    <x v="1253"/>
    <x v="2"/>
  </r>
  <r>
    <x v="1296"/>
    <s v="2025-11-09"/>
    <x v="10"/>
    <x v="96"/>
    <x v="123"/>
    <x v="3"/>
    <x v="3"/>
    <x v="9"/>
    <n v="8"/>
    <n v="126.41"/>
    <n v="0.05"/>
    <x v="1286"/>
    <x v="1254"/>
    <x v="0"/>
  </r>
  <r>
    <x v="1297"/>
    <s v="2025-03-01"/>
    <x v="7"/>
    <x v="463"/>
    <x v="464"/>
    <x v="4"/>
    <x v="0"/>
    <x v="7"/>
    <n v="8"/>
    <n v="244.94"/>
    <n v="0.1"/>
    <x v="1287"/>
    <x v="1255"/>
    <x v="2"/>
  </r>
  <r>
    <x v="1298"/>
    <s v="2025-07-29"/>
    <x v="4"/>
    <x v="312"/>
    <x v="151"/>
    <x v="4"/>
    <x v="2"/>
    <x v="4"/>
    <n v="7"/>
    <n v="113.67"/>
    <n v="0.1"/>
    <x v="1288"/>
    <x v="937"/>
    <x v="2"/>
  </r>
  <r>
    <x v="1299"/>
    <s v="2025-10-21"/>
    <x v="6"/>
    <x v="149"/>
    <x v="170"/>
    <x v="1"/>
    <x v="3"/>
    <x v="11"/>
    <n v="4"/>
    <n v="227.97"/>
    <n v="0"/>
    <x v="1289"/>
    <x v="1256"/>
    <x v="0"/>
  </r>
  <r>
    <x v="1300"/>
    <s v="2025-03-14"/>
    <x v="7"/>
    <x v="9"/>
    <x v="279"/>
    <x v="3"/>
    <x v="2"/>
    <x v="4"/>
    <n v="1"/>
    <n v="169.79"/>
    <n v="0.15"/>
    <x v="1290"/>
    <x v="1257"/>
    <x v="0"/>
  </r>
  <r>
    <x v="1301"/>
    <s v="2025-01-16"/>
    <x v="5"/>
    <x v="463"/>
    <x v="249"/>
    <x v="4"/>
    <x v="0"/>
    <x v="7"/>
    <n v="8"/>
    <n v="72.11"/>
    <n v="0.15"/>
    <x v="1291"/>
    <x v="1258"/>
    <x v="1"/>
  </r>
  <r>
    <x v="1302"/>
    <s v="2025-01-27"/>
    <x v="5"/>
    <x v="391"/>
    <x v="465"/>
    <x v="0"/>
    <x v="2"/>
    <x v="2"/>
    <n v="2"/>
    <n v="101.84"/>
    <n v="0.1"/>
    <x v="1292"/>
    <x v="1259"/>
    <x v="2"/>
  </r>
  <r>
    <x v="1303"/>
    <s v="2025-04-28"/>
    <x v="9"/>
    <x v="310"/>
    <x v="451"/>
    <x v="2"/>
    <x v="1"/>
    <x v="8"/>
    <n v="6"/>
    <n v="142.41999999999999"/>
    <n v="0.15"/>
    <x v="1293"/>
    <x v="1260"/>
    <x v="1"/>
  </r>
  <r>
    <x v="1304"/>
    <s v="2025-02-02"/>
    <x v="8"/>
    <x v="239"/>
    <x v="57"/>
    <x v="0"/>
    <x v="2"/>
    <x v="4"/>
    <n v="6"/>
    <n v="50.17"/>
    <n v="0.15"/>
    <x v="1294"/>
    <x v="1261"/>
    <x v="0"/>
  </r>
  <r>
    <x v="1305"/>
    <s v="2025-07-28"/>
    <x v="4"/>
    <x v="311"/>
    <x v="466"/>
    <x v="2"/>
    <x v="0"/>
    <x v="3"/>
    <n v="4"/>
    <n v="75.83"/>
    <n v="0"/>
    <x v="1295"/>
    <x v="1262"/>
    <x v="1"/>
  </r>
  <r>
    <x v="1306"/>
    <s v="2025-01-12"/>
    <x v="5"/>
    <x v="453"/>
    <x v="353"/>
    <x v="3"/>
    <x v="1"/>
    <x v="8"/>
    <n v="7"/>
    <n v="207.33"/>
    <n v="0.05"/>
    <x v="1296"/>
    <x v="1263"/>
    <x v="0"/>
  </r>
  <r>
    <x v="1307"/>
    <s v="2025-08-31"/>
    <x v="0"/>
    <x v="289"/>
    <x v="443"/>
    <x v="4"/>
    <x v="1"/>
    <x v="1"/>
    <n v="2"/>
    <n v="241.98"/>
    <n v="0.15"/>
    <x v="1297"/>
    <x v="1264"/>
    <x v="0"/>
  </r>
  <r>
    <x v="1308"/>
    <s v="2025-09-21"/>
    <x v="1"/>
    <x v="305"/>
    <x v="34"/>
    <x v="4"/>
    <x v="1"/>
    <x v="10"/>
    <n v="6"/>
    <n v="62.03"/>
    <n v="0"/>
    <x v="1298"/>
    <x v="1265"/>
    <x v="1"/>
  </r>
  <r>
    <x v="1309"/>
    <s v="2025-05-03"/>
    <x v="11"/>
    <x v="149"/>
    <x v="198"/>
    <x v="0"/>
    <x v="0"/>
    <x v="0"/>
    <n v="5"/>
    <n v="37.96"/>
    <n v="0.05"/>
    <x v="906"/>
    <x v="1266"/>
    <x v="0"/>
  </r>
  <r>
    <x v="1310"/>
    <s v="2025-07-31"/>
    <x v="4"/>
    <x v="181"/>
    <x v="439"/>
    <x v="0"/>
    <x v="3"/>
    <x v="12"/>
    <n v="1"/>
    <n v="25.26"/>
    <n v="0.15"/>
    <x v="1299"/>
    <x v="1267"/>
    <x v="1"/>
  </r>
  <r>
    <x v="1311"/>
    <s v="2025-01-22"/>
    <x v="5"/>
    <x v="458"/>
    <x v="73"/>
    <x v="0"/>
    <x v="2"/>
    <x v="4"/>
    <n v="2"/>
    <n v="207.16"/>
    <n v="0.15"/>
    <x v="1300"/>
    <x v="1268"/>
    <x v="0"/>
  </r>
  <r>
    <x v="1312"/>
    <s v="2025-07-14"/>
    <x v="4"/>
    <x v="346"/>
    <x v="321"/>
    <x v="4"/>
    <x v="3"/>
    <x v="11"/>
    <n v="5"/>
    <n v="131.77000000000001"/>
    <n v="0.05"/>
    <x v="1301"/>
    <x v="1269"/>
    <x v="2"/>
  </r>
  <r>
    <x v="1313"/>
    <s v="2025-06-15"/>
    <x v="2"/>
    <x v="20"/>
    <x v="460"/>
    <x v="2"/>
    <x v="2"/>
    <x v="5"/>
    <n v="6"/>
    <n v="155.34"/>
    <n v="0"/>
    <x v="1302"/>
    <x v="1270"/>
    <x v="0"/>
  </r>
  <r>
    <x v="1314"/>
    <s v="2025-06-05"/>
    <x v="2"/>
    <x v="70"/>
    <x v="234"/>
    <x v="0"/>
    <x v="2"/>
    <x v="5"/>
    <n v="2"/>
    <n v="34.270000000000003"/>
    <n v="0.05"/>
    <x v="462"/>
    <x v="1271"/>
    <x v="2"/>
  </r>
  <r>
    <x v="1315"/>
    <s v="2025-04-22"/>
    <x v="9"/>
    <x v="335"/>
    <x v="162"/>
    <x v="1"/>
    <x v="3"/>
    <x v="9"/>
    <n v="7"/>
    <n v="128.38999999999999"/>
    <n v="0"/>
    <x v="1303"/>
    <x v="1272"/>
    <x v="2"/>
  </r>
  <r>
    <x v="1316"/>
    <s v="2025-11-18"/>
    <x v="10"/>
    <x v="178"/>
    <x v="293"/>
    <x v="1"/>
    <x v="2"/>
    <x v="6"/>
    <n v="8"/>
    <n v="128.57"/>
    <n v="0.05"/>
    <x v="1304"/>
    <x v="1273"/>
    <x v="2"/>
  </r>
  <r>
    <x v="1317"/>
    <s v="2025-04-25"/>
    <x v="9"/>
    <x v="354"/>
    <x v="46"/>
    <x v="4"/>
    <x v="0"/>
    <x v="0"/>
    <n v="2"/>
    <n v="185.83"/>
    <n v="0.15"/>
    <x v="1305"/>
    <x v="1274"/>
    <x v="0"/>
  </r>
  <r>
    <x v="1318"/>
    <s v="2025-07-07"/>
    <x v="4"/>
    <x v="14"/>
    <x v="100"/>
    <x v="4"/>
    <x v="2"/>
    <x v="5"/>
    <n v="4"/>
    <n v="218.56"/>
    <n v="0.05"/>
    <x v="1306"/>
    <x v="1275"/>
    <x v="0"/>
  </r>
  <r>
    <x v="1319"/>
    <s v="2025-11-03"/>
    <x v="10"/>
    <x v="203"/>
    <x v="375"/>
    <x v="4"/>
    <x v="0"/>
    <x v="3"/>
    <n v="1"/>
    <n v="242.06"/>
    <n v="0.05"/>
    <x v="1307"/>
    <x v="1276"/>
    <x v="0"/>
  </r>
  <r>
    <x v="1320"/>
    <s v="2025-09-22"/>
    <x v="1"/>
    <x v="254"/>
    <x v="454"/>
    <x v="1"/>
    <x v="3"/>
    <x v="9"/>
    <n v="1"/>
    <n v="184.42"/>
    <n v="0"/>
    <x v="1308"/>
    <x v="1277"/>
    <x v="2"/>
  </r>
  <r>
    <x v="1321"/>
    <s v="2025-04-13"/>
    <x v="9"/>
    <x v="246"/>
    <x v="135"/>
    <x v="3"/>
    <x v="2"/>
    <x v="5"/>
    <n v="8"/>
    <n v="128.29"/>
    <n v="0.05"/>
    <x v="1309"/>
    <x v="1278"/>
    <x v="0"/>
  </r>
  <r>
    <x v="1322"/>
    <s v="2025-10-25"/>
    <x v="6"/>
    <x v="28"/>
    <x v="81"/>
    <x v="1"/>
    <x v="2"/>
    <x v="6"/>
    <n v="3"/>
    <n v="100.42"/>
    <n v="0"/>
    <x v="1310"/>
    <x v="1279"/>
    <x v="0"/>
  </r>
  <r>
    <x v="1323"/>
    <s v="2025-03-19"/>
    <x v="7"/>
    <x v="15"/>
    <x v="411"/>
    <x v="1"/>
    <x v="3"/>
    <x v="9"/>
    <n v="1"/>
    <n v="160.03"/>
    <n v="0"/>
    <x v="1311"/>
    <x v="1280"/>
    <x v="0"/>
  </r>
  <r>
    <x v="1324"/>
    <s v="2025-06-27"/>
    <x v="2"/>
    <x v="464"/>
    <x v="265"/>
    <x v="4"/>
    <x v="3"/>
    <x v="12"/>
    <n v="2"/>
    <n v="92.23"/>
    <n v="0"/>
    <x v="1312"/>
    <x v="1281"/>
    <x v="1"/>
  </r>
  <r>
    <x v="1325"/>
    <s v="2025-08-30"/>
    <x v="0"/>
    <x v="113"/>
    <x v="214"/>
    <x v="0"/>
    <x v="0"/>
    <x v="7"/>
    <n v="6"/>
    <n v="105.98"/>
    <n v="0.05"/>
    <x v="1313"/>
    <x v="1282"/>
    <x v="0"/>
  </r>
  <r>
    <x v="1326"/>
    <s v="2025-06-10"/>
    <x v="2"/>
    <x v="259"/>
    <x v="269"/>
    <x v="2"/>
    <x v="0"/>
    <x v="3"/>
    <n v="5"/>
    <n v="127.61"/>
    <n v="0.1"/>
    <x v="1314"/>
    <x v="1283"/>
    <x v="1"/>
  </r>
  <r>
    <x v="1327"/>
    <s v="2025-06-24"/>
    <x v="2"/>
    <x v="304"/>
    <x v="72"/>
    <x v="2"/>
    <x v="1"/>
    <x v="1"/>
    <n v="2"/>
    <n v="152.63999999999999"/>
    <n v="0.15"/>
    <x v="1315"/>
    <x v="1284"/>
    <x v="2"/>
  </r>
  <r>
    <x v="1328"/>
    <s v="2025-02-06"/>
    <x v="8"/>
    <x v="143"/>
    <x v="14"/>
    <x v="1"/>
    <x v="3"/>
    <x v="9"/>
    <n v="2"/>
    <n v="117.17"/>
    <n v="0.1"/>
    <x v="1316"/>
    <x v="1285"/>
    <x v="0"/>
  </r>
  <r>
    <x v="1329"/>
    <s v="2025-12-13"/>
    <x v="3"/>
    <x v="243"/>
    <x v="390"/>
    <x v="1"/>
    <x v="2"/>
    <x v="6"/>
    <n v="7"/>
    <n v="124.06"/>
    <n v="0.05"/>
    <x v="1317"/>
    <x v="1286"/>
    <x v="0"/>
  </r>
  <r>
    <x v="1330"/>
    <s v="2025-11-15"/>
    <x v="10"/>
    <x v="346"/>
    <x v="31"/>
    <x v="0"/>
    <x v="0"/>
    <x v="3"/>
    <n v="6"/>
    <n v="86.18"/>
    <n v="0"/>
    <x v="1318"/>
    <x v="1287"/>
    <x v="1"/>
  </r>
  <r>
    <x v="1331"/>
    <s v="2025-07-02"/>
    <x v="4"/>
    <x v="46"/>
    <x v="387"/>
    <x v="4"/>
    <x v="2"/>
    <x v="2"/>
    <n v="3"/>
    <n v="44.66"/>
    <n v="0.05"/>
    <x v="1319"/>
    <x v="119"/>
    <x v="0"/>
  </r>
  <r>
    <x v="1332"/>
    <s v="2025-05-03"/>
    <x v="11"/>
    <x v="436"/>
    <x v="453"/>
    <x v="0"/>
    <x v="1"/>
    <x v="8"/>
    <n v="8"/>
    <n v="187.16"/>
    <n v="0"/>
    <x v="1320"/>
    <x v="1288"/>
    <x v="2"/>
  </r>
  <r>
    <x v="1333"/>
    <s v="2025-11-29"/>
    <x v="10"/>
    <x v="92"/>
    <x v="349"/>
    <x v="4"/>
    <x v="0"/>
    <x v="3"/>
    <n v="7"/>
    <n v="181.45"/>
    <n v="0.1"/>
    <x v="1321"/>
    <x v="1289"/>
    <x v="2"/>
  </r>
  <r>
    <x v="1334"/>
    <s v="2025-10-05"/>
    <x v="6"/>
    <x v="400"/>
    <x v="22"/>
    <x v="3"/>
    <x v="2"/>
    <x v="4"/>
    <n v="2"/>
    <n v="63.23"/>
    <n v="0.1"/>
    <x v="1322"/>
    <x v="1290"/>
    <x v="0"/>
  </r>
  <r>
    <x v="1335"/>
    <s v="2025-11-18"/>
    <x v="10"/>
    <x v="117"/>
    <x v="274"/>
    <x v="0"/>
    <x v="0"/>
    <x v="0"/>
    <n v="1"/>
    <n v="19.23"/>
    <n v="0.05"/>
    <x v="1323"/>
    <x v="1291"/>
    <x v="2"/>
  </r>
  <r>
    <x v="1336"/>
    <s v="2025-05-06"/>
    <x v="11"/>
    <x v="237"/>
    <x v="52"/>
    <x v="3"/>
    <x v="1"/>
    <x v="8"/>
    <n v="5"/>
    <n v="186.2"/>
    <n v="0"/>
    <x v="1324"/>
    <x v="1292"/>
    <x v="0"/>
  </r>
  <r>
    <x v="1337"/>
    <s v="2025-01-23"/>
    <x v="5"/>
    <x v="465"/>
    <x v="440"/>
    <x v="3"/>
    <x v="2"/>
    <x v="4"/>
    <n v="1"/>
    <n v="18.010000000000002"/>
    <n v="0"/>
    <x v="1325"/>
    <x v="1293"/>
    <x v="1"/>
  </r>
  <r>
    <x v="1338"/>
    <s v="2025-09-22"/>
    <x v="1"/>
    <x v="349"/>
    <x v="206"/>
    <x v="0"/>
    <x v="1"/>
    <x v="1"/>
    <n v="5"/>
    <n v="151.81"/>
    <n v="0.1"/>
    <x v="1326"/>
    <x v="1294"/>
    <x v="0"/>
  </r>
  <r>
    <x v="1339"/>
    <s v="2025-01-23"/>
    <x v="5"/>
    <x v="325"/>
    <x v="68"/>
    <x v="2"/>
    <x v="0"/>
    <x v="3"/>
    <n v="2"/>
    <n v="46.99"/>
    <n v="0.05"/>
    <x v="1327"/>
    <x v="1295"/>
    <x v="2"/>
  </r>
  <r>
    <x v="1340"/>
    <s v="2025-03-06"/>
    <x v="7"/>
    <x v="310"/>
    <x v="467"/>
    <x v="3"/>
    <x v="2"/>
    <x v="2"/>
    <n v="3"/>
    <n v="84.61"/>
    <n v="0.15"/>
    <x v="1328"/>
    <x v="1296"/>
    <x v="1"/>
  </r>
  <r>
    <x v="1341"/>
    <s v="2025-10-31"/>
    <x v="6"/>
    <x v="39"/>
    <x v="135"/>
    <x v="2"/>
    <x v="3"/>
    <x v="9"/>
    <n v="2"/>
    <n v="149.74"/>
    <n v="0.15"/>
    <x v="1329"/>
    <x v="523"/>
    <x v="2"/>
  </r>
  <r>
    <x v="1342"/>
    <s v="2025-04-07"/>
    <x v="9"/>
    <x v="201"/>
    <x v="208"/>
    <x v="1"/>
    <x v="0"/>
    <x v="0"/>
    <n v="5"/>
    <n v="196.3"/>
    <n v="0.05"/>
    <x v="1330"/>
    <x v="1297"/>
    <x v="0"/>
  </r>
  <r>
    <x v="1343"/>
    <s v="2025-05-25"/>
    <x v="11"/>
    <x v="27"/>
    <x v="184"/>
    <x v="3"/>
    <x v="2"/>
    <x v="5"/>
    <n v="8"/>
    <n v="53.14"/>
    <n v="0"/>
    <x v="1331"/>
    <x v="1298"/>
    <x v="1"/>
  </r>
  <r>
    <x v="1344"/>
    <s v="2025-06-23"/>
    <x v="2"/>
    <x v="77"/>
    <x v="12"/>
    <x v="0"/>
    <x v="3"/>
    <x v="11"/>
    <n v="3"/>
    <n v="175.08"/>
    <n v="0.15"/>
    <x v="1332"/>
    <x v="1299"/>
    <x v="2"/>
  </r>
  <r>
    <x v="1345"/>
    <s v="2025-05-01"/>
    <x v="11"/>
    <x v="333"/>
    <x v="11"/>
    <x v="0"/>
    <x v="2"/>
    <x v="6"/>
    <n v="8"/>
    <n v="19.79"/>
    <n v="0"/>
    <x v="1333"/>
    <x v="1300"/>
    <x v="2"/>
  </r>
  <r>
    <x v="1346"/>
    <s v="2025-04-07"/>
    <x v="9"/>
    <x v="9"/>
    <x v="0"/>
    <x v="0"/>
    <x v="0"/>
    <x v="7"/>
    <n v="6"/>
    <n v="16.62"/>
    <n v="0.1"/>
    <x v="1334"/>
    <x v="1301"/>
    <x v="2"/>
  </r>
  <r>
    <x v="1347"/>
    <s v="2025-08-25"/>
    <x v="0"/>
    <x v="48"/>
    <x v="132"/>
    <x v="3"/>
    <x v="0"/>
    <x v="3"/>
    <n v="7"/>
    <n v="135.54"/>
    <n v="0.1"/>
    <x v="1335"/>
    <x v="1302"/>
    <x v="1"/>
  </r>
  <r>
    <x v="1348"/>
    <s v="2025-09-23"/>
    <x v="1"/>
    <x v="362"/>
    <x v="81"/>
    <x v="0"/>
    <x v="2"/>
    <x v="6"/>
    <n v="3"/>
    <n v="229.71"/>
    <n v="0"/>
    <x v="1336"/>
    <x v="410"/>
    <x v="1"/>
  </r>
  <r>
    <x v="1349"/>
    <s v="2025-01-10"/>
    <x v="5"/>
    <x v="466"/>
    <x v="225"/>
    <x v="1"/>
    <x v="2"/>
    <x v="5"/>
    <n v="7"/>
    <n v="192.23"/>
    <n v="0.05"/>
    <x v="1337"/>
    <x v="1303"/>
    <x v="2"/>
  </r>
  <r>
    <x v="1350"/>
    <s v="2025-08-03"/>
    <x v="0"/>
    <x v="385"/>
    <x v="468"/>
    <x v="1"/>
    <x v="1"/>
    <x v="1"/>
    <n v="5"/>
    <n v="81.459999999999994"/>
    <n v="0.05"/>
    <x v="1338"/>
    <x v="1304"/>
    <x v="2"/>
  </r>
  <r>
    <x v="1351"/>
    <s v="2025-11-27"/>
    <x v="10"/>
    <x v="396"/>
    <x v="377"/>
    <x v="3"/>
    <x v="3"/>
    <x v="9"/>
    <n v="1"/>
    <n v="62.5"/>
    <n v="0.15"/>
    <x v="1339"/>
    <x v="1305"/>
    <x v="1"/>
  </r>
  <r>
    <x v="1352"/>
    <s v="2025-09-15"/>
    <x v="1"/>
    <x v="329"/>
    <x v="405"/>
    <x v="3"/>
    <x v="2"/>
    <x v="2"/>
    <n v="1"/>
    <n v="170.89"/>
    <n v="0"/>
    <x v="1340"/>
    <x v="1306"/>
    <x v="2"/>
  </r>
  <r>
    <x v="1353"/>
    <s v="2025-02-10"/>
    <x v="8"/>
    <x v="116"/>
    <x v="115"/>
    <x v="3"/>
    <x v="0"/>
    <x v="0"/>
    <n v="1"/>
    <n v="175.71"/>
    <n v="0"/>
    <x v="1341"/>
    <x v="1307"/>
    <x v="1"/>
  </r>
  <r>
    <x v="1354"/>
    <s v="2025-03-30"/>
    <x v="7"/>
    <x v="373"/>
    <x v="451"/>
    <x v="1"/>
    <x v="3"/>
    <x v="9"/>
    <n v="2"/>
    <n v="140.44"/>
    <n v="0.1"/>
    <x v="1342"/>
    <x v="1308"/>
    <x v="0"/>
  </r>
  <r>
    <x v="1355"/>
    <s v="2025-06-22"/>
    <x v="2"/>
    <x v="79"/>
    <x v="249"/>
    <x v="3"/>
    <x v="0"/>
    <x v="7"/>
    <n v="8"/>
    <n v="81.84"/>
    <n v="0.05"/>
    <x v="1343"/>
    <x v="1309"/>
    <x v="2"/>
  </r>
  <r>
    <x v="1356"/>
    <s v="2025-10-18"/>
    <x v="6"/>
    <x v="362"/>
    <x v="306"/>
    <x v="2"/>
    <x v="2"/>
    <x v="2"/>
    <n v="5"/>
    <n v="246.78"/>
    <n v="0.1"/>
    <x v="1344"/>
    <x v="1310"/>
    <x v="2"/>
  </r>
  <r>
    <x v="1357"/>
    <s v="2025-02-13"/>
    <x v="8"/>
    <x v="381"/>
    <x v="454"/>
    <x v="4"/>
    <x v="2"/>
    <x v="2"/>
    <n v="3"/>
    <n v="111.72"/>
    <n v="0"/>
    <x v="1345"/>
    <x v="1311"/>
    <x v="0"/>
  </r>
  <r>
    <x v="1358"/>
    <s v="2025-09-22"/>
    <x v="1"/>
    <x v="322"/>
    <x v="459"/>
    <x v="1"/>
    <x v="2"/>
    <x v="4"/>
    <n v="6"/>
    <n v="230.75"/>
    <n v="0.05"/>
    <x v="1346"/>
    <x v="1312"/>
    <x v="0"/>
  </r>
  <r>
    <x v="1359"/>
    <s v="2025-06-24"/>
    <x v="2"/>
    <x v="14"/>
    <x v="437"/>
    <x v="2"/>
    <x v="2"/>
    <x v="2"/>
    <n v="6"/>
    <n v="37.89"/>
    <n v="0"/>
    <x v="1347"/>
    <x v="1313"/>
    <x v="1"/>
  </r>
  <r>
    <x v="1360"/>
    <s v="2025-10-03"/>
    <x v="6"/>
    <x v="54"/>
    <x v="417"/>
    <x v="1"/>
    <x v="2"/>
    <x v="4"/>
    <n v="7"/>
    <n v="214.76"/>
    <n v="0.05"/>
    <x v="1348"/>
    <x v="1314"/>
    <x v="1"/>
  </r>
  <r>
    <x v="1361"/>
    <s v="2025-11-14"/>
    <x v="10"/>
    <x v="403"/>
    <x v="442"/>
    <x v="0"/>
    <x v="3"/>
    <x v="9"/>
    <n v="6"/>
    <n v="42.75"/>
    <n v="0.05"/>
    <x v="1349"/>
    <x v="1315"/>
    <x v="1"/>
  </r>
  <r>
    <x v="1362"/>
    <s v="2025-10-12"/>
    <x v="6"/>
    <x v="364"/>
    <x v="61"/>
    <x v="4"/>
    <x v="1"/>
    <x v="8"/>
    <n v="3"/>
    <n v="128.07"/>
    <n v="0.15"/>
    <x v="1350"/>
    <x v="1316"/>
    <x v="0"/>
  </r>
  <r>
    <x v="1363"/>
    <s v="2025-09-16"/>
    <x v="1"/>
    <x v="338"/>
    <x v="255"/>
    <x v="0"/>
    <x v="2"/>
    <x v="6"/>
    <n v="8"/>
    <n v="184.42"/>
    <n v="0"/>
    <x v="1351"/>
    <x v="1317"/>
    <x v="0"/>
  </r>
  <r>
    <x v="1364"/>
    <s v="2025-11-02"/>
    <x v="10"/>
    <x v="393"/>
    <x v="141"/>
    <x v="1"/>
    <x v="0"/>
    <x v="0"/>
    <n v="2"/>
    <n v="41.83"/>
    <n v="0.15"/>
    <x v="1352"/>
    <x v="1318"/>
    <x v="1"/>
  </r>
  <r>
    <x v="1365"/>
    <s v="2025-03-02"/>
    <x v="7"/>
    <x v="54"/>
    <x v="118"/>
    <x v="0"/>
    <x v="1"/>
    <x v="1"/>
    <n v="5"/>
    <n v="195.53"/>
    <n v="0.05"/>
    <x v="1353"/>
    <x v="1319"/>
    <x v="0"/>
  </r>
  <r>
    <x v="1366"/>
    <s v="2025-11-14"/>
    <x v="10"/>
    <x v="276"/>
    <x v="77"/>
    <x v="2"/>
    <x v="1"/>
    <x v="1"/>
    <n v="4"/>
    <n v="106.16"/>
    <n v="0.05"/>
    <x v="1354"/>
    <x v="1320"/>
    <x v="1"/>
  </r>
  <r>
    <x v="1367"/>
    <s v="2025-04-20"/>
    <x v="9"/>
    <x v="324"/>
    <x v="427"/>
    <x v="3"/>
    <x v="2"/>
    <x v="6"/>
    <n v="7"/>
    <n v="215.42"/>
    <n v="0.05"/>
    <x v="1355"/>
    <x v="1321"/>
    <x v="0"/>
  </r>
  <r>
    <x v="1368"/>
    <s v="2025-11-30"/>
    <x v="10"/>
    <x v="107"/>
    <x v="379"/>
    <x v="2"/>
    <x v="0"/>
    <x v="0"/>
    <n v="6"/>
    <n v="25.38"/>
    <n v="0.05"/>
    <x v="1356"/>
    <x v="1322"/>
    <x v="2"/>
  </r>
  <r>
    <x v="1369"/>
    <s v="2025-12-07"/>
    <x v="3"/>
    <x v="381"/>
    <x v="177"/>
    <x v="3"/>
    <x v="2"/>
    <x v="5"/>
    <n v="7"/>
    <n v="25.28"/>
    <n v="0.1"/>
    <x v="1357"/>
    <x v="1323"/>
    <x v="1"/>
  </r>
  <r>
    <x v="1370"/>
    <s v="2025-07-30"/>
    <x v="4"/>
    <x v="132"/>
    <x v="343"/>
    <x v="4"/>
    <x v="1"/>
    <x v="1"/>
    <n v="8"/>
    <n v="219.39"/>
    <n v="0.1"/>
    <x v="1358"/>
    <x v="1324"/>
    <x v="1"/>
  </r>
  <r>
    <x v="1371"/>
    <s v="2025-01-12"/>
    <x v="5"/>
    <x v="362"/>
    <x v="143"/>
    <x v="3"/>
    <x v="3"/>
    <x v="12"/>
    <n v="7"/>
    <n v="46.58"/>
    <n v="0.05"/>
    <x v="1359"/>
    <x v="1325"/>
    <x v="2"/>
  </r>
  <r>
    <x v="1372"/>
    <s v="2025-05-22"/>
    <x v="11"/>
    <x v="459"/>
    <x v="428"/>
    <x v="2"/>
    <x v="1"/>
    <x v="8"/>
    <n v="8"/>
    <n v="143.41999999999999"/>
    <n v="0.05"/>
    <x v="1360"/>
    <x v="1326"/>
    <x v="1"/>
  </r>
  <r>
    <x v="1373"/>
    <s v="2025-06-09"/>
    <x v="2"/>
    <x v="424"/>
    <x v="166"/>
    <x v="3"/>
    <x v="2"/>
    <x v="6"/>
    <n v="8"/>
    <n v="93.34"/>
    <n v="0.05"/>
    <x v="1361"/>
    <x v="1327"/>
    <x v="0"/>
  </r>
  <r>
    <x v="1374"/>
    <s v="2025-06-14"/>
    <x v="2"/>
    <x v="452"/>
    <x v="229"/>
    <x v="1"/>
    <x v="3"/>
    <x v="11"/>
    <n v="5"/>
    <n v="227.65"/>
    <n v="0.05"/>
    <x v="1362"/>
    <x v="1328"/>
    <x v="0"/>
  </r>
  <r>
    <x v="1375"/>
    <s v="2025-05-18"/>
    <x v="11"/>
    <x v="136"/>
    <x v="321"/>
    <x v="2"/>
    <x v="1"/>
    <x v="8"/>
    <n v="5"/>
    <n v="192.04"/>
    <n v="0.05"/>
    <x v="1363"/>
    <x v="1329"/>
    <x v="0"/>
  </r>
  <r>
    <x v="1376"/>
    <s v="2025-04-02"/>
    <x v="9"/>
    <x v="370"/>
    <x v="75"/>
    <x v="0"/>
    <x v="1"/>
    <x v="8"/>
    <n v="1"/>
    <n v="174.74"/>
    <n v="0.15"/>
    <x v="1364"/>
    <x v="1330"/>
    <x v="0"/>
  </r>
  <r>
    <x v="1377"/>
    <s v="2025-05-18"/>
    <x v="11"/>
    <x v="423"/>
    <x v="399"/>
    <x v="0"/>
    <x v="1"/>
    <x v="8"/>
    <n v="1"/>
    <n v="81.92"/>
    <n v="0"/>
    <x v="1365"/>
    <x v="1331"/>
    <x v="1"/>
  </r>
  <r>
    <x v="1378"/>
    <s v="2025-02-12"/>
    <x v="8"/>
    <x v="226"/>
    <x v="214"/>
    <x v="4"/>
    <x v="2"/>
    <x v="5"/>
    <n v="3"/>
    <n v="86.93"/>
    <n v="0.15"/>
    <x v="1366"/>
    <x v="1332"/>
    <x v="2"/>
  </r>
  <r>
    <x v="1379"/>
    <s v="2025-06-20"/>
    <x v="2"/>
    <x v="322"/>
    <x v="387"/>
    <x v="2"/>
    <x v="3"/>
    <x v="12"/>
    <n v="5"/>
    <n v="103.86"/>
    <n v="0.1"/>
    <x v="1367"/>
    <x v="1333"/>
    <x v="0"/>
  </r>
  <r>
    <x v="1380"/>
    <s v="2025-02-22"/>
    <x v="8"/>
    <x v="257"/>
    <x v="469"/>
    <x v="3"/>
    <x v="2"/>
    <x v="4"/>
    <n v="6"/>
    <n v="42.48"/>
    <n v="0.05"/>
    <x v="1368"/>
    <x v="1334"/>
    <x v="2"/>
  </r>
  <r>
    <x v="1381"/>
    <s v="2025-04-30"/>
    <x v="9"/>
    <x v="145"/>
    <x v="57"/>
    <x v="3"/>
    <x v="1"/>
    <x v="1"/>
    <n v="4"/>
    <n v="73.03"/>
    <n v="0"/>
    <x v="1369"/>
    <x v="1335"/>
    <x v="1"/>
  </r>
  <r>
    <x v="1382"/>
    <s v="2025-01-01"/>
    <x v="5"/>
    <x v="68"/>
    <x v="2"/>
    <x v="3"/>
    <x v="2"/>
    <x v="6"/>
    <n v="8"/>
    <n v="180.9"/>
    <n v="0.1"/>
    <x v="1370"/>
    <x v="1336"/>
    <x v="0"/>
  </r>
  <r>
    <x v="1383"/>
    <s v="2025-07-18"/>
    <x v="4"/>
    <x v="60"/>
    <x v="395"/>
    <x v="0"/>
    <x v="2"/>
    <x v="2"/>
    <n v="5"/>
    <n v="149.36000000000001"/>
    <n v="0"/>
    <x v="1371"/>
    <x v="1337"/>
    <x v="1"/>
  </r>
  <r>
    <x v="1384"/>
    <s v="2025-05-14"/>
    <x v="11"/>
    <x v="317"/>
    <x v="270"/>
    <x v="0"/>
    <x v="2"/>
    <x v="4"/>
    <n v="5"/>
    <n v="165.05"/>
    <n v="0.05"/>
    <x v="1372"/>
    <x v="1338"/>
    <x v="2"/>
  </r>
  <r>
    <x v="1385"/>
    <s v="2025-08-03"/>
    <x v="0"/>
    <x v="299"/>
    <x v="102"/>
    <x v="3"/>
    <x v="3"/>
    <x v="12"/>
    <n v="8"/>
    <n v="43.2"/>
    <n v="0.15"/>
    <x v="1373"/>
    <x v="1339"/>
    <x v="2"/>
  </r>
  <r>
    <x v="1386"/>
    <s v="2025-03-23"/>
    <x v="7"/>
    <x v="66"/>
    <x v="67"/>
    <x v="4"/>
    <x v="3"/>
    <x v="9"/>
    <n v="4"/>
    <n v="59.63"/>
    <n v="0.15"/>
    <x v="1374"/>
    <x v="466"/>
    <x v="2"/>
  </r>
  <r>
    <x v="1387"/>
    <s v="2025-11-25"/>
    <x v="10"/>
    <x v="17"/>
    <x v="206"/>
    <x v="2"/>
    <x v="1"/>
    <x v="10"/>
    <n v="6"/>
    <n v="68.209999999999994"/>
    <n v="0"/>
    <x v="1375"/>
    <x v="1340"/>
    <x v="2"/>
  </r>
  <r>
    <x v="1388"/>
    <s v="2025-03-21"/>
    <x v="7"/>
    <x v="377"/>
    <x v="229"/>
    <x v="4"/>
    <x v="1"/>
    <x v="10"/>
    <n v="2"/>
    <n v="206.2"/>
    <n v="0.15"/>
    <x v="1376"/>
    <x v="1341"/>
    <x v="1"/>
  </r>
  <r>
    <x v="1389"/>
    <s v="2025-11-18"/>
    <x v="10"/>
    <x v="446"/>
    <x v="252"/>
    <x v="4"/>
    <x v="0"/>
    <x v="3"/>
    <n v="4"/>
    <n v="188.98"/>
    <n v="0"/>
    <x v="1377"/>
    <x v="534"/>
    <x v="2"/>
  </r>
  <r>
    <x v="1390"/>
    <s v="2025-07-08"/>
    <x v="4"/>
    <x v="154"/>
    <x v="70"/>
    <x v="3"/>
    <x v="0"/>
    <x v="7"/>
    <n v="7"/>
    <n v="30.46"/>
    <n v="0.1"/>
    <x v="1378"/>
    <x v="1342"/>
    <x v="1"/>
  </r>
  <r>
    <x v="1391"/>
    <s v="2025-01-28"/>
    <x v="5"/>
    <x v="65"/>
    <x v="67"/>
    <x v="0"/>
    <x v="1"/>
    <x v="10"/>
    <n v="8"/>
    <n v="245.31"/>
    <n v="0.05"/>
    <x v="1379"/>
    <x v="1343"/>
    <x v="1"/>
  </r>
  <r>
    <x v="1392"/>
    <s v="2025-11-26"/>
    <x v="10"/>
    <x v="145"/>
    <x v="207"/>
    <x v="1"/>
    <x v="0"/>
    <x v="0"/>
    <n v="4"/>
    <n v="181.96"/>
    <n v="0"/>
    <x v="1380"/>
    <x v="1344"/>
    <x v="0"/>
  </r>
  <r>
    <x v="1393"/>
    <s v="2025-02-06"/>
    <x v="8"/>
    <x v="445"/>
    <x v="179"/>
    <x v="4"/>
    <x v="3"/>
    <x v="11"/>
    <n v="4"/>
    <n v="72.13"/>
    <n v="0"/>
    <x v="1381"/>
    <x v="1345"/>
    <x v="1"/>
  </r>
  <r>
    <x v="1394"/>
    <s v="2025-10-04"/>
    <x v="6"/>
    <x v="320"/>
    <x v="379"/>
    <x v="4"/>
    <x v="1"/>
    <x v="8"/>
    <n v="3"/>
    <n v="227.7"/>
    <n v="0"/>
    <x v="1382"/>
    <x v="1346"/>
    <x v="1"/>
  </r>
  <r>
    <x v="1395"/>
    <s v="2025-11-23"/>
    <x v="10"/>
    <x v="388"/>
    <x v="124"/>
    <x v="4"/>
    <x v="3"/>
    <x v="12"/>
    <n v="5"/>
    <n v="112.37"/>
    <n v="0"/>
    <x v="1383"/>
    <x v="1347"/>
    <x v="2"/>
  </r>
  <r>
    <x v="1396"/>
    <s v="2025-01-20"/>
    <x v="5"/>
    <x v="467"/>
    <x v="265"/>
    <x v="1"/>
    <x v="1"/>
    <x v="8"/>
    <n v="6"/>
    <n v="173.11"/>
    <n v="0"/>
    <x v="1384"/>
    <x v="1348"/>
    <x v="2"/>
  </r>
  <r>
    <x v="1397"/>
    <s v="2025-08-21"/>
    <x v="0"/>
    <x v="165"/>
    <x v="309"/>
    <x v="3"/>
    <x v="2"/>
    <x v="4"/>
    <n v="8"/>
    <n v="110.13"/>
    <n v="0.1"/>
    <x v="1385"/>
    <x v="1349"/>
    <x v="0"/>
  </r>
  <r>
    <x v="1398"/>
    <s v="2025-01-25"/>
    <x v="5"/>
    <x v="134"/>
    <x v="103"/>
    <x v="4"/>
    <x v="0"/>
    <x v="7"/>
    <n v="8"/>
    <n v="136.52000000000001"/>
    <n v="0.05"/>
    <x v="1386"/>
    <x v="1350"/>
    <x v="0"/>
  </r>
  <r>
    <x v="1399"/>
    <s v="2025-09-19"/>
    <x v="1"/>
    <x v="71"/>
    <x v="66"/>
    <x v="1"/>
    <x v="0"/>
    <x v="0"/>
    <n v="5"/>
    <n v="65.08"/>
    <n v="0.15"/>
    <x v="1387"/>
    <x v="1351"/>
    <x v="2"/>
  </r>
  <r>
    <x v="1400"/>
    <s v="2025-12-25"/>
    <x v="3"/>
    <x v="114"/>
    <x v="31"/>
    <x v="4"/>
    <x v="0"/>
    <x v="3"/>
    <n v="8"/>
    <n v="220.29"/>
    <n v="0.1"/>
    <x v="1388"/>
    <x v="1352"/>
    <x v="1"/>
  </r>
  <r>
    <x v="1401"/>
    <s v="2025-10-20"/>
    <x v="6"/>
    <x v="367"/>
    <x v="181"/>
    <x v="0"/>
    <x v="3"/>
    <x v="9"/>
    <n v="2"/>
    <n v="145.59"/>
    <n v="0"/>
    <x v="1389"/>
    <x v="1353"/>
    <x v="0"/>
  </r>
  <r>
    <x v="1402"/>
    <s v="2025-04-22"/>
    <x v="9"/>
    <x v="40"/>
    <x v="186"/>
    <x v="1"/>
    <x v="3"/>
    <x v="12"/>
    <n v="7"/>
    <n v="142.86000000000001"/>
    <n v="0.05"/>
    <x v="1390"/>
    <x v="1354"/>
    <x v="0"/>
  </r>
  <r>
    <x v="1403"/>
    <s v="2025-08-08"/>
    <x v="0"/>
    <x v="299"/>
    <x v="261"/>
    <x v="4"/>
    <x v="1"/>
    <x v="8"/>
    <n v="6"/>
    <n v="85.95"/>
    <n v="0"/>
    <x v="1391"/>
    <x v="1355"/>
    <x v="2"/>
  </r>
  <r>
    <x v="1404"/>
    <s v="2025-04-25"/>
    <x v="9"/>
    <x v="13"/>
    <x v="140"/>
    <x v="2"/>
    <x v="3"/>
    <x v="12"/>
    <n v="3"/>
    <n v="150.19999999999999"/>
    <n v="0.15"/>
    <x v="1392"/>
    <x v="1356"/>
    <x v="1"/>
  </r>
  <r>
    <x v="1405"/>
    <s v="2025-06-25"/>
    <x v="2"/>
    <x v="248"/>
    <x v="181"/>
    <x v="1"/>
    <x v="3"/>
    <x v="11"/>
    <n v="5"/>
    <n v="104.82"/>
    <n v="0.15"/>
    <x v="1393"/>
    <x v="1357"/>
    <x v="2"/>
  </r>
  <r>
    <x v="1406"/>
    <s v="2025-12-17"/>
    <x v="3"/>
    <x v="39"/>
    <x v="14"/>
    <x v="2"/>
    <x v="2"/>
    <x v="2"/>
    <n v="3"/>
    <n v="199.64"/>
    <n v="0"/>
    <x v="1394"/>
    <x v="1358"/>
    <x v="2"/>
  </r>
  <r>
    <x v="1407"/>
    <s v="2025-09-21"/>
    <x v="1"/>
    <x v="422"/>
    <x v="22"/>
    <x v="2"/>
    <x v="2"/>
    <x v="2"/>
    <n v="3"/>
    <n v="74.569999999999993"/>
    <n v="0.05"/>
    <x v="1395"/>
    <x v="1359"/>
    <x v="1"/>
  </r>
  <r>
    <x v="1408"/>
    <s v="2025-12-29"/>
    <x v="3"/>
    <x v="218"/>
    <x v="200"/>
    <x v="2"/>
    <x v="1"/>
    <x v="10"/>
    <n v="4"/>
    <n v="170.98"/>
    <n v="0.15"/>
    <x v="1396"/>
    <x v="1360"/>
    <x v="1"/>
  </r>
  <r>
    <x v="1409"/>
    <s v="2025-02-27"/>
    <x v="8"/>
    <x v="468"/>
    <x v="185"/>
    <x v="1"/>
    <x v="1"/>
    <x v="10"/>
    <n v="3"/>
    <n v="87.57"/>
    <n v="0"/>
    <x v="1397"/>
    <x v="1361"/>
    <x v="2"/>
  </r>
  <r>
    <x v="1410"/>
    <s v="2025-06-02"/>
    <x v="2"/>
    <x v="80"/>
    <x v="207"/>
    <x v="3"/>
    <x v="1"/>
    <x v="10"/>
    <n v="4"/>
    <n v="83.68"/>
    <n v="0"/>
    <x v="1398"/>
    <x v="983"/>
    <x v="0"/>
  </r>
  <r>
    <x v="1411"/>
    <s v="2025-01-21"/>
    <x v="5"/>
    <x v="469"/>
    <x v="368"/>
    <x v="3"/>
    <x v="1"/>
    <x v="1"/>
    <n v="3"/>
    <n v="210.64"/>
    <n v="0"/>
    <x v="1399"/>
    <x v="1362"/>
    <x v="1"/>
  </r>
  <r>
    <x v="1412"/>
    <s v="2025-02-03"/>
    <x v="8"/>
    <x v="288"/>
    <x v="4"/>
    <x v="4"/>
    <x v="1"/>
    <x v="10"/>
    <n v="8"/>
    <n v="32.44"/>
    <n v="0.05"/>
    <x v="1400"/>
    <x v="1363"/>
    <x v="1"/>
  </r>
  <r>
    <x v="1413"/>
    <s v="2025-11-08"/>
    <x v="10"/>
    <x v="329"/>
    <x v="429"/>
    <x v="0"/>
    <x v="0"/>
    <x v="3"/>
    <n v="1"/>
    <n v="202.24"/>
    <n v="0.1"/>
    <x v="1401"/>
    <x v="1364"/>
    <x v="2"/>
  </r>
  <r>
    <x v="1414"/>
    <s v="2025-03-17"/>
    <x v="7"/>
    <x v="436"/>
    <x v="267"/>
    <x v="4"/>
    <x v="0"/>
    <x v="3"/>
    <n v="7"/>
    <n v="154.69999999999999"/>
    <n v="0.15"/>
    <x v="1402"/>
    <x v="1365"/>
    <x v="0"/>
  </r>
  <r>
    <x v="1415"/>
    <s v="2025-03-03"/>
    <x v="7"/>
    <x v="222"/>
    <x v="231"/>
    <x v="2"/>
    <x v="1"/>
    <x v="10"/>
    <n v="3"/>
    <n v="204.76"/>
    <n v="0"/>
    <x v="1403"/>
    <x v="1366"/>
    <x v="1"/>
  </r>
  <r>
    <x v="1416"/>
    <s v="2025-04-24"/>
    <x v="9"/>
    <x v="139"/>
    <x v="445"/>
    <x v="3"/>
    <x v="3"/>
    <x v="9"/>
    <n v="7"/>
    <n v="97.81"/>
    <n v="0.05"/>
    <x v="1404"/>
    <x v="1367"/>
    <x v="0"/>
  </r>
  <r>
    <x v="1417"/>
    <s v="2025-06-30"/>
    <x v="2"/>
    <x v="74"/>
    <x v="217"/>
    <x v="0"/>
    <x v="0"/>
    <x v="7"/>
    <n v="3"/>
    <n v="25.67"/>
    <n v="0.1"/>
    <x v="1405"/>
    <x v="1368"/>
    <x v="2"/>
  </r>
  <r>
    <x v="1418"/>
    <s v="2025-05-24"/>
    <x v="11"/>
    <x v="470"/>
    <x v="63"/>
    <x v="3"/>
    <x v="1"/>
    <x v="1"/>
    <n v="7"/>
    <n v="107.5"/>
    <n v="0.15"/>
    <x v="1406"/>
    <x v="1369"/>
    <x v="0"/>
  </r>
  <r>
    <x v="1419"/>
    <s v="2025-03-19"/>
    <x v="7"/>
    <x v="101"/>
    <x v="443"/>
    <x v="2"/>
    <x v="1"/>
    <x v="8"/>
    <n v="7"/>
    <n v="184.91"/>
    <n v="0.15"/>
    <x v="1407"/>
    <x v="1370"/>
    <x v="0"/>
  </r>
  <r>
    <x v="1420"/>
    <s v="2025-11-12"/>
    <x v="10"/>
    <x v="263"/>
    <x v="470"/>
    <x v="3"/>
    <x v="0"/>
    <x v="0"/>
    <n v="4"/>
    <n v="168.76"/>
    <n v="0.05"/>
    <x v="1408"/>
    <x v="1371"/>
    <x v="0"/>
  </r>
  <r>
    <x v="1421"/>
    <s v="2025-06-06"/>
    <x v="2"/>
    <x v="347"/>
    <x v="133"/>
    <x v="0"/>
    <x v="2"/>
    <x v="4"/>
    <n v="3"/>
    <n v="158.51"/>
    <n v="0.05"/>
    <x v="1409"/>
    <x v="1372"/>
    <x v="2"/>
  </r>
  <r>
    <x v="1422"/>
    <s v="2025-02-11"/>
    <x v="8"/>
    <x v="471"/>
    <x v="150"/>
    <x v="1"/>
    <x v="2"/>
    <x v="2"/>
    <n v="4"/>
    <n v="106.46"/>
    <n v="0"/>
    <x v="1410"/>
    <x v="1373"/>
    <x v="1"/>
  </r>
  <r>
    <x v="1423"/>
    <s v="2025-10-14"/>
    <x v="6"/>
    <x v="286"/>
    <x v="452"/>
    <x v="3"/>
    <x v="1"/>
    <x v="8"/>
    <n v="6"/>
    <n v="210.38"/>
    <n v="0.15"/>
    <x v="1411"/>
    <x v="1374"/>
    <x v="1"/>
  </r>
  <r>
    <x v="1424"/>
    <s v="2025-09-21"/>
    <x v="1"/>
    <x v="370"/>
    <x v="274"/>
    <x v="0"/>
    <x v="1"/>
    <x v="1"/>
    <n v="7"/>
    <n v="149.41999999999999"/>
    <n v="0"/>
    <x v="1412"/>
    <x v="1375"/>
    <x v="1"/>
  </r>
  <r>
    <x v="1425"/>
    <s v="2025-09-13"/>
    <x v="1"/>
    <x v="436"/>
    <x v="180"/>
    <x v="3"/>
    <x v="1"/>
    <x v="8"/>
    <n v="2"/>
    <n v="101.41"/>
    <n v="0.15"/>
    <x v="1413"/>
    <x v="1376"/>
    <x v="2"/>
  </r>
  <r>
    <x v="1426"/>
    <s v="2025-08-31"/>
    <x v="0"/>
    <x v="362"/>
    <x v="209"/>
    <x v="0"/>
    <x v="0"/>
    <x v="0"/>
    <n v="5"/>
    <n v="70.25"/>
    <n v="0.15"/>
    <x v="1414"/>
    <x v="1377"/>
    <x v="0"/>
  </r>
  <r>
    <x v="1427"/>
    <s v="2025-10-29"/>
    <x v="6"/>
    <x v="31"/>
    <x v="354"/>
    <x v="2"/>
    <x v="0"/>
    <x v="0"/>
    <n v="8"/>
    <n v="86.68"/>
    <n v="0.05"/>
    <x v="1415"/>
    <x v="1378"/>
    <x v="2"/>
  </r>
  <r>
    <x v="1428"/>
    <s v="2025-12-13"/>
    <x v="3"/>
    <x v="367"/>
    <x v="121"/>
    <x v="3"/>
    <x v="3"/>
    <x v="9"/>
    <n v="5"/>
    <n v="230.97"/>
    <n v="0.1"/>
    <x v="1416"/>
    <x v="1379"/>
    <x v="0"/>
  </r>
  <r>
    <x v="1429"/>
    <s v="2025-02-04"/>
    <x v="8"/>
    <x v="149"/>
    <x v="259"/>
    <x v="0"/>
    <x v="0"/>
    <x v="3"/>
    <n v="7"/>
    <n v="155.54"/>
    <n v="0"/>
    <x v="1417"/>
    <x v="1380"/>
    <x v="0"/>
  </r>
  <r>
    <x v="1430"/>
    <s v="2025-07-02"/>
    <x v="4"/>
    <x v="199"/>
    <x v="443"/>
    <x v="2"/>
    <x v="0"/>
    <x v="3"/>
    <n v="5"/>
    <n v="37.03"/>
    <n v="0.05"/>
    <x v="1418"/>
    <x v="1381"/>
    <x v="1"/>
  </r>
  <r>
    <x v="1431"/>
    <s v="2025-12-26"/>
    <x v="3"/>
    <x v="415"/>
    <x v="320"/>
    <x v="1"/>
    <x v="2"/>
    <x v="4"/>
    <n v="1"/>
    <n v="164.98"/>
    <n v="0.05"/>
    <x v="1419"/>
    <x v="1382"/>
    <x v="1"/>
  </r>
  <r>
    <x v="1432"/>
    <s v="2025-02-07"/>
    <x v="8"/>
    <x v="337"/>
    <x v="42"/>
    <x v="0"/>
    <x v="1"/>
    <x v="1"/>
    <n v="2"/>
    <n v="192.67"/>
    <n v="0.1"/>
    <x v="1420"/>
    <x v="1383"/>
    <x v="0"/>
  </r>
  <r>
    <x v="1433"/>
    <s v="2025-05-15"/>
    <x v="11"/>
    <x v="293"/>
    <x v="29"/>
    <x v="2"/>
    <x v="1"/>
    <x v="10"/>
    <n v="5"/>
    <n v="111.69"/>
    <n v="0.15"/>
    <x v="1421"/>
    <x v="1384"/>
    <x v="0"/>
  </r>
  <r>
    <x v="1434"/>
    <s v="2025-06-10"/>
    <x v="2"/>
    <x v="153"/>
    <x v="331"/>
    <x v="3"/>
    <x v="0"/>
    <x v="0"/>
    <n v="6"/>
    <n v="179.23"/>
    <n v="0"/>
    <x v="1422"/>
    <x v="1385"/>
    <x v="1"/>
  </r>
  <r>
    <x v="1435"/>
    <s v="2025-05-10"/>
    <x v="11"/>
    <x v="375"/>
    <x v="137"/>
    <x v="1"/>
    <x v="2"/>
    <x v="6"/>
    <n v="3"/>
    <n v="92.31"/>
    <n v="0.1"/>
    <x v="1423"/>
    <x v="606"/>
    <x v="0"/>
  </r>
  <r>
    <x v="1436"/>
    <s v="2025-10-12"/>
    <x v="6"/>
    <x v="88"/>
    <x v="203"/>
    <x v="3"/>
    <x v="1"/>
    <x v="10"/>
    <n v="7"/>
    <n v="120.53"/>
    <n v="0"/>
    <x v="1424"/>
    <x v="1386"/>
    <x v="2"/>
  </r>
  <r>
    <x v="1437"/>
    <s v="2025-08-07"/>
    <x v="0"/>
    <x v="362"/>
    <x v="358"/>
    <x v="4"/>
    <x v="1"/>
    <x v="10"/>
    <n v="7"/>
    <n v="31.44"/>
    <n v="0.15"/>
    <x v="1425"/>
    <x v="1387"/>
    <x v="0"/>
  </r>
  <r>
    <x v="1438"/>
    <s v="2025-11-22"/>
    <x v="10"/>
    <x v="83"/>
    <x v="419"/>
    <x v="1"/>
    <x v="3"/>
    <x v="11"/>
    <n v="7"/>
    <n v="204.65"/>
    <n v="0"/>
    <x v="1426"/>
    <x v="1388"/>
    <x v="2"/>
  </r>
  <r>
    <x v="1439"/>
    <s v="2025-12-20"/>
    <x v="3"/>
    <x v="379"/>
    <x v="325"/>
    <x v="1"/>
    <x v="3"/>
    <x v="12"/>
    <n v="3"/>
    <n v="53.72"/>
    <n v="0"/>
    <x v="1427"/>
    <x v="1184"/>
    <x v="0"/>
  </r>
  <r>
    <x v="1440"/>
    <s v="2025-08-09"/>
    <x v="0"/>
    <x v="25"/>
    <x v="14"/>
    <x v="4"/>
    <x v="0"/>
    <x v="0"/>
    <n v="4"/>
    <n v="83.42"/>
    <n v="0.05"/>
    <x v="1428"/>
    <x v="1389"/>
    <x v="0"/>
  </r>
  <r>
    <x v="1441"/>
    <s v="2025-03-31"/>
    <x v="7"/>
    <x v="145"/>
    <x v="393"/>
    <x v="1"/>
    <x v="0"/>
    <x v="3"/>
    <n v="5"/>
    <n v="167.74"/>
    <n v="0.1"/>
    <x v="1429"/>
    <x v="1390"/>
    <x v="1"/>
  </r>
  <r>
    <x v="1442"/>
    <s v="2025-10-22"/>
    <x v="6"/>
    <x v="86"/>
    <x v="438"/>
    <x v="0"/>
    <x v="3"/>
    <x v="9"/>
    <n v="1"/>
    <n v="66.290000000000006"/>
    <n v="0.1"/>
    <x v="1430"/>
    <x v="1391"/>
    <x v="1"/>
  </r>
  <r>
    <x v="1443"/>
    <s v="2025-10-12"/>
    <x v="6"/>
    <x v="137"/>
    <x v="165"/>
    <x v="1"/>
    <x v="0"/>
    <x v="7"/>
    <n v="2"/>
    <n v="75.73"/>
    <n v="0.05"/>
    <x v="1431"/>
    <x v="1392"/>
    <x v="0"/>
  </r>
  <r>
    <x v="1444"/>
    <s v="2025-04-28"/>
    <x v="9"/>
    <x v="198"/>
    <x v="240"/>
    <x v="0"/>
    <x v="0"/>
    <x v="0"/>
    <n v="6"/>
    <n v="131.96"/>
    <n v="0.15"/>
    <x v="1432"/>
    <x v="1393"/>
    <x v="1"/>
  </r>
  <r>
    <x v="1445"/>
    <s v="2025-10-07"/>
    <x v="6"/>
    <x v="267"/>
    <x v="11"/>
    <x v="0"/>
    <x v="3"/>
    <x v="12"/>
    <n v="2"/>
    <n v="166.07"/>
    <n v="0.15"/>
    <x v="1433"/>
    <x v="1394"/>
    <x v="1"/>
  </r>
  <r>
    <x v="1446"/>
    <s v="2025-11-27"/>
    <x v="10"/>
    <x v="147"/>
    <x v="435"/>
    <x v="0"/>
    <x v="0"/>
    <x v="3"/>
    <n v="5"/>
    <n v="230.25"/>
    <n v="0.05"/>
    <x v="1434"/>
    <x v="1395"/>
    <x v="2"/>
  </r>
  <r>
    <x v="1447"/>
    <s v="2025-09-29"/>
    <x v="1"/>
    <x v="215"/>
    <x v="365"/>
    <x v="1"/>
    <x v="0"/>
    <x v="0"/>
    <n v="6"/>
    <n v="228.42"/>
    <n v="0.15"/>
    <x v="1435"/>
    <x v="1396"/>
    <x v="2"/>
  </r>
  <r>
    <x v="1448"/>
    <s v="2025-09-22"/>
    <x v="1"/>
    <x v="137"/>
    <x v="146"/>
    <x v="3"/>
    <x v="3"/>
    <x v="9"/>
    <n v="7"/>
    <n v="200.41"/>
    <n v="0"/>
    <x v="1436"/>
    <x v="1397"/>
    <x v="1"/>
  </r>
  <r>
    <x v="1449"/>
    <s v="2025-01-22"/>
    <x v="5"/>
    <x v="329"/>
    <x v="471"/>
    <x v="3"/>
    <x v="2"/>
    <x v="5"/>
    <n v="8"/>
    <n v="167.99"/>
    <n v="0.1"/>
    <x v="1437"/>
    <x v="1398"/>
    <x v="1"/>
  </r>
  <r>
    <x v="1450"/>
    <s v="2025-03-10"/>
    <x v="7"/>
    <x v="154"/>
    <x v="472"/>
    <x v="1"/>
    <x v="0"/>
    <x v="7"/>
    <n v="7"/>
    <n v="240.67"/>
    <n v="0.05"/>
    <x v="1438"/>
    <x v="1399"/>
    <x v="0"/>
  </r>
  <r>
    <x v="1451"/>
    <s v="2025-06-24"/>
    <x v="2"/>
    <x v="4"/>
    <x v="130"/>
    <x v="2"/>
    <x v="0"/>
    <x v="0"/>
    <n v="6"/>
    <n v="147.57"/>
    <n v="0.1"/>
    <x v="1439"/>
    <x v="1400"/>
    <x v="2"/>
  </r>
  <r>
    <x v="1452"/>
    <s v="2025-09-26"/>
    <x v="1"/>
    <x v="41"/>
    <x v="340"/>
    <x v="0"/>
    <x v="1"/>
    <x v="10"/>
    <n v="3"/>
    <n v="41.49"/>
    <n v="0.05"/>
    <x v="1440"/>
    <x v="1401"/>
    <x v="1"/>
  </r>
  <r>
    <x v="1453"/>
    <s v="2025-02-08"/>
    <x v="8"/>
    <x v="192"/>
    <x v="154"/>
    <x v="4"/>
    <x v="3"/>
    <x v="12"/>
    <n v="4"/>
    <n v="172.43"/>
    <n v="0.05"/>
    <x v="1441"/>
    <x v="1402"/>
    <x v="2"/>
  </r>
  <r>
    <x v="1454"/>
    <s v="2025-07-02"/>
    <x v="4"/>
    <x v="69"/>
    <x v="148"/>
    <x v="1"/>
    <x v="1"/>
    <x v="10"/>
    <n v="3"/>
    <n v="16.149999999999999"/>
    <n v="0"/>
    <x v="1442"/>
    <x v="1120"/>
    <x v="2"/>
  </r>
  <r>
    <x v="1455"/>
    <s v="2025-01-11"/>
    <x v="5"/>
    <x v="303"/>
    <x v="218"/>
    <x v="1"/>
    <x v="2"/>
    <x v="4"/>
    <n v="8"/>
    <n v="40.98"/>
    <n v="0"/>
    <x v="1443"/>
    <x v="1403"/>
    <x v="1"/>
  </r>
  <r>
    <x v="1456"/>
    <s v="2025-12-17"/>
    <x v="3"/>
    <x v="1"/>
    <x v="450"/>
    <x v="0"/>
    <x v="0"/>
    <x v="7"/>
    <n v="6"/>
    <n v="14.35"/>
    <n v="0.15"/>
    <x v="1444"/>
    <x v="1404"/>
    <x v="2"/>
  </r>
  <r>
    <x v="1457"/>
    <s v="2025-12-14"/>
    <x v="3"/>
    <x v="436"/>
    <x v="435"/>
    <x v="2"/>
    <x v="1"/>
    <x v="1"/>
    <n v="1"/>
    <n v="86.13"/>
    <n v="0"/>
    <x v="1445"/>
    <x v="1405"/>
    <x v="1"/>
  </r>
  <r>
    <x v="1458"/>
    <s v="2025-09-14"/>
    <x v="1"/>
    <x v="422"/>
    <x v="113"/>
    <x v="1"/>
    <x v="0"/>
    <x v="3"/>
    <n v="3"/>
    <n v="123.72"/>
    <n v="0.15"/>
    <x v="1446"/>
    <x v="1406"/>
    <x v="0"/>
  </r>
  <r>
    <x v="1459"/>
    <s v="2025-06-12"/>
    <x v="2"/>
    <x v="4"/>
    <x v="40"/>
    <x v="3"/>
    <x v="2"/>
    <x v="5"/>
    <n v="1"/>
    <n v="150.51"/>
    <n v="0.15"/>
    <x v="1447"/>
    <x v="1407"/>
    <x v="1"/>
  </r>
  <r>
    <x v="1460"/>
    <s v="2025-08-19"/>
    <x v="0"/>
    <x v="432"/>
    <x v="414"/>
    <x v="2"/>
    <x v="0"/>
    <x v="3"/>
    <n v="7"/>
    <n v="143.56"/>
    <n v="0.1"/>
    <x v="1448"/>
    <x v="1408"/>
    <x v="1"/>
  </r>
  <r>
    <x v="1461"/>
    <s v="2025-12-03"/>
    <x v="3"/>
    <x v="203"/>
    <x v="473"/>
    <x v="2"/>
    <x v="3"/>
    <x v="9"/>
    <n v="3"/>
    <n v="112.03"/>
    <n v="0.1"/>
    <x v="1449"/>
    <x v="1158"/>
    <x v="1"/>
  </r>
  <r>
    <x v="1462"/>
    <s v="2025-01-01"/>
    <x v="5"/>
    <x v="454"/>
    <x v="278"/>
    <x v="0"/>
    <x v="3"/>
    <x v="9"/>
    <n v="8"/>
    <n v="176.92"/>
    <n v="0"/>
    <x v="1450"/>
    <x v="1409"/>
    <x v="0"/>
  </r>
  <r>
    <x v="1463"/>
    <s v="2025-07-09"/>
    <x v="4"/>
    <x v="126"/>
    <x v="56"/>
    <x v="4"/>
    <x v="1"/>
    <x v="10"/>
    <n v="5"/>
    <n v="136.08000000000001"/>
    <n v="0.05"/>
    <x v="1451"/>
    <x v="1410"/>
    <x v="2"/>
  </r>
  <r>
    <x v="1464"/>
    <s v="2025-05-27"/>
    <x v="11"/>
    <x v="472"/>
    <x v="469"/>
    <x v="2"/>
    <x v="0"/>
    <x v="0"/>
    <n v="8"/>
    <n v="76.13"/>
    <n v="0.15"/>
    <x v="1452"/>
    <x v="1411"/>
    <x v="2"/>
  </r>
  <r>
    <x v="1465"/>
    <s v="2025-02-06"/>
    <x v="8"/>
    <x v="221"/>
    <x v="133"/>
    <x v="0"/>
    <x v="0"/>
    <x v="3"/>
    <n v="8"/>
    <n v="15.71"/>
    <n v="0.05"/>
    <x v="1453"/>
    <x v="1412"/>
    <x v="0"/>
  </r>
  <r>
    <x v="1466"/>
    <s v="2025-06-10"/>
    <x v="2"/>
    <x v="473"/>
    <x v="47"/>
    <x v="4"/>
    <x v="3"/>
    <x v="11"/>
    <n v="8"/>
    <n v="100.19"/>
    <n v="0.1"/>
    <x v="1454"/>
    <x v="1413"/>
    <x v="0"/>
  </r>
  <r>
    <x v="1467"/>
    <s v="2025-12-08"/>
    <x v="3"/>
    <x v="311"/>
    <x v="265"/>
    <x v="0"/>
    <x v="3"/>
    <x v="12"/>
    <n v="6"/>
    <n v="242.58"/>
    <n v="0.1"/>
    <x v="1455"/>
    <x v="1414"/>
    <x v="2"/>
  </r>
  <r>
    <x v="1468"/>
    <s v="2025-06-07"/>
    <x v="2"/>
    <x v="283"/>
    <x v="103"/>
    <x v="3"/>
    <x v="1"/>
    <x v="10"/>
    <n v="8"/>
    <n v="111.48"/>
    <n v="0.1"/>
    <x v="1456"/>
    <x v="1415"/>
    <x v="1"/>
  </r>
  <r>
    <x v="1469"/>
    <s v="2025-04-07"/>
    <x v="9"/>
    <x v="380"/>
    <x v="29"/>
    <x v="0"/>
    <x v="1"/>
    <x v="8"/>
    <n v="5"/>
    <n v="60.24"/>
    <n v="0.05"/>
    <x v="1457"/>
    <x v="827"/>
    <x v="2"/>
  </r>
  <r>
    <x v="1470"/>
    <s v="2025-12-05"/>
    <x v="3"/>
    <x v="268"/>
    <x v="3"/>
    <x v="1"/>
    <x v="2"/>
    <x v="5"/>
    <n v="6"/>
    <n v="224.56"/>
    <n v="0"/>
    <x v="1458"/>
    <x v="1416"/>
    <x v="1"/>
  </r>
  <r>
    <x v="1471"/>
    <s v="2025-12-17"/>
    <x v="3"/>
    <x v="228"/>
    <x v="222"/>
    <x v="2"/>
    <x v="3"/>
    <x v="11"/>
    <n v="5"/>
    <n v="76.13"/>
    <n v="0.05"/>
    <x v="1459"/>
    <x v="1417"/>
    <x v="1"/>
  </r>
  <r>
    <x v="1472"/>
    <s v="2025-02-15"/>
    <x v="8"/>
    <x v="303"/>
    <x v="105"/>
    <x v="2"/>
    <x v="1"/>
    <x v="8"/>
    <n v="2"/>
    <n v="25.44"/>
    <n v="0.1"/>
    <x v="1460"/>
    <x v="1418"/>
    <x v="0"/>
  </r>
  <r>
    <x v="1473"/>
    <s v="2025-01-07"/>
    <x v="5"/>
    <x v="167"/>
    <x v="64"/>
    <x v="1"/>
    <x v="0"/>
    <x v="3"/>
    <n v="1"/>
    <n v="170.42"/>
    <n v="0"/>
    <x v="1461"/>
    <x v="207"/>
    <x v="1"/>
  </r>
  <r>
    <x v="1474"/>
    <s v="2025-12-29"/>
    <x v="3"/>
    <x v="414"/>
    <x v="8"/>
    <x v="3"/>
    <x v="1"/>
    <x v="8"/>
    <n v="3"/>
    <n v="86.87"/>
    <n v="0.15"/>
    <x v="1462"/>
    <x v="1361"/>
    <x v="0"/>
  </r>
  <r>
    <x v="1475"/>
    <s v="2025-01-04"/>
    <x v="5"/>
    <x v="384"/>
    <x v="342"/>
    <x v="2"/>
    <x v="2"/>
    <x v="6"/>
    <n v="1"/>
    <n v="119.73"/>
    <n v="0"/>
    <x v="1463"/>
    <x v="1419"/>
    <x v="0"/>
  </r>
  <r>
    <x v="1476"/>
    <s v="2025-02-26"/>
    <x v="8"/>
    <x v="166"/>
    <x v="474"/>
    <x v="0"/>
    <x v="0"/>
    <x v="0"/>
    <n v="2"/>
    <n v="86.75"/>
    <n v="0.15"/>
    <x v="1464"/>
    <x v="1420"/>
    <x v="0"/>
  </r>
  <r>
    <x v="1477"/>
    <s v="2025-05-16"/>
    <x v="11"/>
    <x v="169"/>
    <x v="247"/>
    <x v="3"/>
    <x v="0"/>
    <x v="7"/>
    <n v="2"/>
    <n v="92.15"/>
    <n v="0.15"/>
    <x v="1465"/>
    <x v="1421"/>
    <x v="1"/>
  </r>
  <r>
    <x v="1478"/>
    <s v="2025-08-14"/>
    <x v="0"/>
    <x v="450"/>
    <x v="218"/>
    <x v="2"/>
    <x v="0"/>
    <x v="7"/>
    <n v="1"/>
    <n v="190.91"/>
    <n v="0.05"/>
    <x v="1466"/>
    <x v="1422"/>
    <x v="2"/>
  </r>
  <r>
    <x v="1479"/>
    <s v="2025-12-05"/>
    <x v="3"/>
    <x v="248"/>
    <x v="294"/>
    <x v="0"/>
    <x v="1"/>
    <x v="8"/>
    <n v="3"/>
    <n v="224.52"/>
    <n v="0.15"/>
    <x v="1467"/>
    <x v="1423"/>
    <x v="1"/>
  </r>
  <r>
    <x v="1480"/>
    <s v="2025-03-29"/>
    <x v="7"/>
    <x v="390"/>
    <x v="78"/>
    <x v="4"/>
    <x v="0"/>
    <x v="7"/>
    <n v="3"/>
    <n v="71.319999999999993"/>
    <n v="0.15"/>
    <x v="1468"/>
    <x v="1424"/>
    <x v="0"/>
  </r>
  <r>
    <x v="1481"/>
    <s v="2025-03-15"/>
    <x v="7"/>
    <x v="157"/>
    <x v="330"/>
    <x v="0"/>
    <x v="2"/>
    <x v="4"/>
    <n v="8"/>
    <n v="236.31"/>
    <n v="0"/>
    <x v="1469"/>
    <x v="1425"/>
    <x v="0"/>
  </r>
  <r>
    <x v="1482"/>
    <s v="2025-03-02"/>
    <x v="7"/>
    <x v="92"/>
    <x v="200"/>
    <x v="4"/>
    <x v="1"/>
    <x v="8"/>
    <n v="7"/>
    <n v="133.41"/>
    <n v="0.15"/>
    <x v="1470"/>
    <x v="1426"/>
    <x v="1"/>
  </r>
  <r>
    <x v="1483"/>
    <s v="2025-03-16"/>
    <x v="7"/>
    <x v="44"/>
    <x v="92"/>
    <x v="4"/>
    <x v="1"/>
    <x v="1"/>
    <n v="3"/>
    <n v="233.93"/>
    <n v="0.05"/>
    <x v="1471"/>
    <x v="1427"/>
    <x v="2"/>
  </r>
  <r>
    <x v="1484"/>
    <s v="2025-12-26"/>
    <x v="3"/>
    <x v="420"/>
    <x v="324"/>
    <x v="2"/>
    <x v="3"/>
    <x v="12"/>
    <n v="4"/>
    <n v="235.48"/>
    <n v="0.15"/>
    <x v="1472"/>
    <x v="1428"/>
    <x v="0"/>
  </r>
  <r>
    <x v="1485"/>
    <s v="2025-12-01"/>
    <x v="3"/>
    <x v="196"/>
    <x v="98"/>
    <x v="2"/>
    <x v="0"/>
    <x v="7"/>
    <n v="4"/>
    <n v="80.63"/>
    <n v="0.05"/>
    <x v="1473"/>
    <x v="1429"/>
    <x v="0"/>
  </r>
  <r>
    <x v="1486"/>
    <s v="2025-09-09"/>
    <x v="1"/>
    <x v="139"/>
    <x v="22"/>
    <x v="2"/>
    <x v="0"/>
    <x v="7"/>
    <n v="5"/>
    <n v="141.30000000000001"/>
    <n v="0.1"/>
    <x v="1474"/>
    <x v="1430"/>
    <x v="1"/>
  </r>
  <r>
    <x v="1487"/>
    <s v="2025-05-21"/>
    <x v="11"/>
    <x v="287"/>
    <x v="280"/>
    <x v="1"/>
    <x v="3"/>
    <x v="11"/>
    <n v="3"/>
    <n v="157.66"/>
    <n v="0.15"/>
    <x v="1475"/>
    <x v="1431"/>
    <x v="0"/>
  </r>
  <r>
    <x v="1488"/>
    <s v="2025-06-24"/>
    <x v="2"/>
    <x v="258"/>
    <x v="390"/>
    <x v="2"/>
    <x v="3"/>
    <x v="9"/>
    <n v="4"/>
    <n v="218.07"/>
    <n v="0.1"/>
    <x v="1476"/>
    <x v="1432"/>
    <x v="1"/>
  </r>
  <r>
    <x v="1489"/>
    <s v="2025-07-29"/>
    <x v="4"/>
    <x v="193"/>
    <x v="80"/>
    <x v="0"/>
    <x v="2"/>
    <x v="4"/>
    <n v="4"/>
    <n v="106.3"/>
    <n v="0.15"/>
    <x v="1477"/>
    <x v="1433"/>
    <x v="2"/>
  </r>
  <r>
    <x v="1490"/>
    <s v="2025-10-27"/>
    <x v="6"/>
    <x v="358"/>
    <x v="435"/>
    <x v="3"/>
    <x v="0"/>
    <x v="3"/>
    <n v="4"/>
    <n v="169.32"/>
    <n v="0"/>
    <x v="1478"/>
    <x v="1434"/>
    <x v="0"/>
  </r>
  <r>
    <x v="1491"/>
    <s v="2025-04-09"/>
    <x v="9"/>
    <x v="277"/>
    <x v="59"/>
    <x v="0"/>
    <x v="2"/>
    <x v="6"/>
    <n v="8"/>
    <n v="124.35"/>
    <n v="0.1"/>
    <x v="1479"/>
    <x v="1435"/>
    <x v="1"/>
  </r>
  <r>
    <x v="1492"/>
    <s v="2025-08-16"/>
    <x v="0"/>
    <x v="45"/>
    <x v="384"/>
    <x v="1"/>
    <x v="2"/>
    <x v="2"/>
    <n v="4"/>
    <n v="172.04"/>
    <n v="0.1"/>
    <x v="1480"/>
    <x v="1436"/>
    <x v="2"/>
  </r>
  <r>
    <x v="1493"/>
    <s v="2025-09-26"/>
    <x v="1"/>
    <x v="57"/>
    <x v="338"/>
    <x v="4"/>
    <x v="2"/>
    <x v="4"/>
    <n v="7"/>
    <n v="186.75"/>
    <n v="0.05"/>
    <x v="1481"/>
    <x v="1437"/>
    <x v="2"/>
  </r>
  <r>
    <x v="1494"/>
    <s v="2025-12-05"/>
    <x v="3"/>
    <x v="474"/>
    <x v="431"/>
    <x v="4"/>
    <x v="2"/>
    <x v="2"/>
    <n v="7"/>
    <n v="96.48"/>
    <n v="0.15"/>
    <x v="1482"/>
    <x v="1438"/>
    <x v="1"/>
  </r>
  <r>
    <x v="1495"/>
    <s v="2025-05-24"/>
    <x v="11"/>
    <x v="406"/>
    <x v="115"/>
    <x v="3"/>
    <x v="2"/>
    <x v="6"/>
    <n v="1"/>
    <n v="53.24"/>
    <n v="0"/>
    <x v="1483"/>
    <x v="1439"/>
    <x v="2"/>
  </r>
  <r>
    <x v="1496"/>
    <s v="2025-07-22"/>
    <x v="4"/>
    <x v="8"/>
    <x v="157"/>
    <x v="2"/>
    <x v="3"/>
    <x v="11"/>
    <n v="3"/>
    <n v="101.4"/>
    <n v="0.15"/>
    <x v="1484"/>
    <x v="1440"/>
    <x v="1"/>
  </r>
  <r>
    <x v="1497"/>
    <s v="2025-05-28"/>
    <x v="11"/>
    <x v="272"/>
    <x v="202"/>
    <x v="4"/>
    <x v="1"/>
    <x v="8"/>
    <n v="2"/>
    <n v="199.22"/>
    <n v="0.1"/>
    <x v="1485"/>
    <x v="1441"/>
    <x v="1"/>
  </r>
  <r>
    <x v="1498"/>
    <s v="2025-07-03"/>
    <x v="4"/>
    <x v="296"/>
    <x v="229"/>
    <x v="3"/>
    <x v="0"/>
    <x v="7"/>
    <n v="1"/>
    <n v="216.88"/>
    <n v="0.1"/>
    <x v="1486"/>
    <x v="1005"/>
    <x v="1"/>
  </r>
  <r>
    <x v="1499"/>
    <s v="2025-04-04"/>
    <x v="9"/>
    <x v="345"/>
    <x v="167"/>
    <x v="1"/>
    <x v="0"/>
    <x v="0"/>
    <n v="8"/>
    <n v="90.66"/>
    <n v="0"/>
    <x v="1487"/>
    <x v="1442"/>
    <x v="0"/>
  </r>
  <r>
    <x v="1500"/>
    <s v="2025-10-14"/>
    <x v="6"/>
    <x v="43"/>
    <x v="391"/>
    <x v="1"/>
    <x v="2"/>
    <x v="6"/>
    <n v="2"/>
    <n v="13.61"/>
    <n v="0.05"/>
    <x v="1488"/>
    <x v="1443"/>
    <x v="0"/>
  </r>
  <r>
    <x v="1501"/>
    <s v="2025-10-09"/>
    <x v="6"/>
    <x v="39"/>
    <x v="325"/>
    <x v="3"/>
    <x v="1"/>
    <x v="8"/>
    <n v="7"/>
    <n v="111.14"/>
    <n v="0"/>
    <x v="1489"/>
    <x v="1444"/>
    <x v="2"/>
  </r>
  <r>
    <x v="1502"/>
    <s v="2025-08-15"/>
    <x v="0"/>
    <x v="268"/>
    <x v="462"/>
    <x v="4"/>
    <x v="2"/>
    <x v="6"/>
    <n v="5"/>
    <n v="105.89"/>
    <n v="0.15"/>
    <x v="1490"/>
    <x v="1445"/>
    <x v="2"/>
  </r>
  <r>
    <x v="1503"/>
    <s v="2025-04-03"/>
    <x v="9"/>
    <x v="163"/>
    <x v="395"/>
    <x v="3"/>
    <x v="2"/>
    <x v="4"/>
    <n v="1"/>
    <n v="162.52000000000001"/>
    <n v="0.1"/>
    <x v="1491"/>
    <x v="772"/>
    <x v="2"/>
  </r>
  <r>
    <x v="1504"/>
    <s v="2025-02-25"/>
    <x v="8"/>
    <x v="224"/>
    <x v="241"/>
    <x v="4"/>
    <x v="0"/>
    <x v="3"/>
    <n v="1"/>
    <n v="168.65"/>
    <n v="0.05"/>
    <x v="1492"/>
    <x v="1446"/>
    <x v="2"/>
  </r>
  <r>
    <x v="1505"/>
    <s v="2025-05-02"/>
    <x v="11"/>
    <x v="463"/>
    <x v="456"/>
    <x v="4"/>
    <x v="1"/>
    <x v="8"/>
    <n v="7"/>
    <n v="41.42"/>
    <n v="0.05"/>
    <x v="1493"/>
    <x v="1447"/>
    <x v="2"/>
  </r>
  <r>
    <x v="1506"/>
    <s v="2025-09-08"/>
    <x v="1"/>
    <x v="21"/>
    <x v="411"/>
    <x v="1"/>
    <x v="3"/>
    <x v="11"/>
    <n v="1"/>
    <n v="100.46"/>
    <n v="0.05"/>
    <x v="1494"/>
    <x v="699"/>
    <x v="2"/>
  </r>
  <r>
    <x v="1507"/>
    <s v="2025-07-11"/>
    <x v="4"/>
    <x v="238"/>
    <x v="32"/>
    <x v="0"/>
    <x v="2"/>
    <x v="6"/>
    <n v="3"/>
    <n v="225.29"/>
    <n v="0"/>
    <x v="1495"/>
    <x v="1448"/>
    <x v="0"/>
  </r>
  <r>
    <x v="1508"/>
    <s v="2025-11-10"/>
    <x v="10"/>
    <x v="268"/>
    <x v="217"/>
    <x v="4"/>
    <x v="0"/>
    <x v="0"/>
    <n v="2"/>
    <n v="199.12"/>
    <n v="0.15"/>
    <x v="1496"/>
    <x v="1449"/>
    <x v="1"/>
  </r>
  <r>
    <x v="1509"/>
    <s v="2025-06-01"/>
    <x v="2"/>
    <x v="79"/>
    <x v="217"/>
    <x v="3"/>
    <x v="0"/>
    <x v="7"/>
    <n v="5"/>
    <n v="76.900000000000006"/>
    <n v="0.05"/>
    <x v="1497"/>
    <x v="1450"/>
    <x v="2"/>
  </r>
  <r>
    <x v="1510"/>
    <s v="2025-12-19"/>
    <x v="3"/>
    <x v="182"/>
    <x v="305"/>
    <x v="2"/>
    <x v="1"/>
    <x v="1"/>
    <n v="4"/>
    <n v="167.36"/>
    <n v="0"/>
    <x v="1498"/>
    <x v="1451"/>
    <x v="0"/>
  </r>
  <r>
    <x v="1511"/>
    <s v="2025-10-14"/>
    <x v="6"/>
    <x v="438"/>
    <x v="241"/>
    <x v="4"/>
    <x v="1"/>
    <x v="10"/>
    <n v="2"/>
    <n v="89.63"/>
    <n v="0"/>
    <x v="1499"/>
    <x v="1452"/>
    <x v="1"/>
  </r>
  <r>
    <x v="1512"/>
    <s v="2025-08-08"/>
    <x v="0"/>
    <x v="149"/>
    <x v="17"/>
    <x v="2"/>
    <x v="3"/>
    <x v="11"/>
    <n v="4"/>
    <n v="50.38"/>
    <n v="0.05"/>
    <x v="1500"/>
    <x v="1453"/>
    <x v="0"/>
  </r>
  <r>
    <x v="1513"/>
    <s v="2025-09-02"/>
    <x v="1"/>
    <x v="236"/>
    <x v="384"/>
    <x v="1"/>
    <x v="0"/>
    <x v="7"/>
    <n v="2"/>
    <n v="215.5"/>
    <n v="0.05"/>
    <x v="1501"/>
    <x v="1454"/>
    <x v="0"/>
  </r>
  <r>
    <x v="1514"/>
    <s v="2025-10-13"/>
    <x v="6"/>
    <x v="350"/>
    <x v="304"/>
    <x v="4"/>
    <x v="0"/>
    <x v="3"/>
    <n v="7"/>
    <n v="144.1"/>
    <n v="0.1"/>
    <x v="1502"/>
    <x v="1455"/>
    <x v="2"/>
  </r>
  <r>
    <x v="1515"/>
    <s v="2025-04-03"/>
    <x v="9"/>
    <x v="145"/>
    <x v="299"/>
    <x v="3"/>
    <x v="2"/>
    <x v="2"/>
    <n v="3"/>
    <n v="117.33"/>
    <n v="0"/>
    <x v="1503"/>
    <x v="1456"/>
    <x v="0"/>
  </r>
  <r>
    <x v="1516"/>
    <s v="2025-12-24"/>
    <x v="3"/>
    <x v="302"/>
    <x v="82"/>
    <x v="4"/>
    <x v="0"/>
    <x v="3"/>
    <n v="3"/>
    <n v="136.15"/>
    <n v="0.15"/>
    <x v="1504"/>
    <x v="1457"/>
    <x v="1"/>
  </r>
  <r>
    <x v="1517"/>
    <s v="2025-10-24"/>
    <x v="6"/>
    <x v="182"/>
    <x v="16"/>
    <x v="1"/>
    <x v="2"/>
    <x v="2"/>
    <n v="5"/>
    <n v="52.06"/>
    <n v="0.15"/>
    <x v="1505"/>
    <x v="1458"/>
    <x v="0"/>
  </r>
  <r>
    <x v="1518"/>
    <s v="2025-04-02"/>
    <x v="9"/>
    <x v="455"/>
    <x v="154"/>
    <x v="1"/>
    <x v="0"/>
    <x v="0"/>
    <n v="3"/>
    <n v="112.12"/>
    <n v="0.1"/>
    <x v="1506"/>
    <x v="1459"/>
    <x v="0"/>
  </r>
  <r>
    <x v="1519"/>
    <s v="2025-05-17"/>
    <x v="11"/>
    <x v="460"/>
    <x v="302"/>
    <x v="3"/>
    <x v="3"/>
    <x v="9"/>
    <n v="8"/>
    <n v="151.35"/>
    <n v="0"/>
    <x v="1507"/>
    <x v="1460"/>
    <x v="1"/>
  </r>
  <r>
    <x v="1520"/>
    <s v="2025-08-28"/>
    <x v="0"/>
    <x v="125"/>
    <x v="269"/>
    <x v="1"/>
    <x v="1"/>
    <x v="10"/>
    <n v="2"/>
    <n v="219.57"/>
    <n v="0.15"/>
    <x v="1508"/>
    <x v="1461"/>
    <x v="2"/>
  </r>
  <r>
    <x v="1521"/>
    <s v="2025-04-18"/>
    <x v="9"/>
    <x v="153"/>
    <x v="425"/>
    <x v="4"/>
    <x v="0"/>
    <x v="7"/>
    <n v="1"/>
    <n v="173.31"/>
    <n v="0.1"/>
    <x v="1509"/>
    <x v="1462"/>
    <x v="1"/>
  </r>
  <r>
    <x v="1522"/>
    <s v="2025-03-14"/>
    <x v="7"/>
    <x v="125"/>
    <x v="379"/>
    <x v="4"/>
    <x v="3"/>
    <x v="12"/>
    <n v="8"/>
    <n v="236.9"/>
    <n v="0.1"/>
    <x v="1510"/>
    <x v="1463"/>
    <x v="1"/>
  </r>
  <r>
    <x v="1523"/>
    <s v="2025-01-30"/>
    <x v="5"/>
    <x v="78"/>
    <x v="8"/>
    <x v="0"/>
    <x v="2"/>
    <x v="2"/>
    <n v="8"/>
    <n v="168.94"/>
    <n v="0.15"/>
    <x v="1511"/>
    <x v="1464"/>
    <x v="2"/>
  </r>
  <r>
    <x v="1524"/>
    <s v="2025-02-13"/>
    <x v="8"/>
    <x v="284"/>
    <x v="299"/>
    <x v="4"/>
    <x v="3"/>
    <x v="12"/>
    <n v="3"/>
    <n v="41.16"/>
    <n v="0.05"/>
    <x v="1512"/>
    <x v="757"/>
    <x v="2"/>
  </r>
  <r>
    <x v="1525"/>
    <s v="2025-09-15"/>
    <x v="1"/>
    <x v="192"/>
    <x v="243"/>
    <x v="2"/>
    <x v="0"/>
    <x v="0"/>
    <n v="1"/>
    <n v="230"/>
    <n v="0.1"/>
    <x v="501"/>
    <x v="146"/>
    <x v="2"/>
  </r>
  <r>
    <x v="1526"/>
    <s v="2025-11-13"/>
    <x v="10"/>
    <x v="378"/>
    <x v="376"/>
    <x v="0"/>
    <x v="3"/>
    <x v="12"/>
    <n v="7"/>
    <n v="24.76"/>
    <n v="0"/>
    <x v="1513"/>
    <x v="1465"/>
    <x v="2"/>
  </r>
  <r>
    <x v="1527"/>
    <s v="2025-02-11"/>
    <x v="8"/>
    <x v="51"/>
    <x v="452"/>
    <x v="0"/>
    <x v="1"/>
    <x v="8"/>
    <n v="7"/>
    <n v="115.53"/>
    <n v="0"/>
    <x v="1514"/>
    <x v="1466"/>
    <x v="1"/>
  </r>
  <r>
    <x v="1528"/>
    <s v="2025-09-10"/>
    <x v="1"/>
    <x v="330"/>
    <x v="133"/>
    <x v="3"/>
    <x v="1"/>
    <x v="1"/>
    <n v="8"/>
    <n v="206.72"/>
    <n v="0.1"/>
    <x v="1515"/>
    <x v="1467"/>
    <x v="1"/>
  </r>
  <r>
    <x v="1529"/>
    <s v="2025-08-22"/>
    <x v="0"/>
    <x v="8"/>
    <x v="117"/>
    <x v="3"/>
    <x v="1"/>
    <x v="1"/>
    <n v="6"/>
    <n v="235.62"/>
    <n v="0"/>
    <x v="1516"/>
    <x v="1468"/>
    <x v="2"/>
  </r>
  <r>
    <x v="1530"/>
    <s v="2025-12-21"/>
    <x v="3"/>
    <x v="397"/>
    <x v="314"/>
    <x v="3"/>
    <x v="2"/>
    <x v="4"/>
    <n v="5"/>
    <n v="90.12"/>
    <n v="0.15"/>
    <x v="1392"/>
    <x v="1469"/>
    <x v="1"/>
  </r>
  <r>
    <x v="1531"/>
    <s v="2025-11-28"/>
    <x v="10"/>
    <x v="448"/>
    <x v="132"/>
    <x v="1"/>
    <x v="1"/>
    <x v="8"/>
    <n v="6"/>
    <n v="116.07"/>
    <n v="0.1"/>
    <x v="1517"/>
    <x v="1470"/>
    <x v="1"/>
  </r>
  <r>
    <x v="1532"/>
    <s v="2025-09-04"/>
    <x v="1"/>
    <x v="411"/>
    <x v="229"/>
    <x v="3"/>
    <x v="0"/>
    <x v="7"/>
    <n v="4"/>
    <n v="52.27"/>
    <n v="0.05"/>
    <x v="1518"/>
    <x v="1471"/>
    <x v="1"/>
  </r>
  <r>
    <x v="1533"/>
    <s v="2025-09-23"/>
    <x v="1"/>
    <x v="232"/>
    <x v="135"/>
    <x v="2"/>
    <x v="3"/>
    <x v="12"/>
    <n v="3"/>
    <n v="215.01"/>
    <n v="0.15"/>
    <x v="1519"/>
    <x v="1472"/>
    <x v="0"/>
  </r>
  <r>
    <x v="1534"/>
    <s v="2025-04-25"/>
    <x v="9"/>
    <x v="332"/>
    <x v="342"/>
    <x v="0"/>
    <x v="3"/>
    <x v="12"/>
    <n v="4"/>
    <n v="175.07"/>
    <n v="0.15"/>
    <x v="1520"/>
    <x v="1473"/>
    <x v="2"/>
  </r>
  <r>
    <x v="1535"/>
    <s v="2025-10-26"/>
    <x v="6"/>
    <x v="16"/>
    <x v="39"/>
    <x v="1"/>
    <x v="0"/>
    <x v="7"/>
    <n v="3"/>
    <n v="248.54"/>
    <n v="0.1"/>
    <x v="1521"/>
    <x v="1474"/>
    <x v="0"/>
  </r>
  <r>
    <x v="1536"/>
    <s v="2025-05-04"/>
    <x v="11"/>
    <x v="409"/>
    <x v="350"/>
    <x v="4"/>
    <x v="2"/>
    <x v="2"/>
    <n v="6"/>
    <n v="74.510000000000005"/>
    <n v="0.1"/>
    <x v="1522"/>
    <x v="1475"/>
    <x v="1"/>
  </r>
  <r>
    <x v="1537"/>
    <s v="2025-06-18"/>
    <x v="2"/>
    <x v="316"/>
    <x v="16"/>
    <x v="4"/>
    <x v="1"/>
    <x v="8"/>
    <n v="6"/>
    <n v="32.14"/>
    <n v="0.15"/>
    <x v="1523"/>
    <x v="467"/>
    <x v="1"/>
  </r>
  <r>
    <x v="1538"/>
    <s v="2025-11-03"/>
    <x v="10"/>
    <x v="459"/>
    <x v="201"/>
    <x v="1"/>
    <x v="1"/>
    <x v="10"/>
    <n v="3"/>
    <n v="11.41"/>
    <n v="0.05"/>
    <x v="1524"/>
    <x v="1476"/>
    <x v="2"/>
  </r>
  <r>
    <x v="1539"/>
    <s v="2025-09-22"/>
    <x v="1"/>
    <x v="389"/>
    <x v="208"/>
    <x v="1"/>
    <x v="1"/>
    <x v="10"/>
    <n v="8"/>
    <n v="102.21"/>
    <n v="0.05"/>
    <x v="1525"/>
    <x v="1477"/>
    <x v="1"/>
  </r>
  <r>
    <x v="1540"/>
    <s v="2025-06-09"/>
    <x v="2"/>
    <x v="224"/>
    <x v="433"/>
    <x v="3"/>
    <x v="2"/>
    <x v="5"/>
    <n v="6"/>
    <n v="114.44"/>
    <n v="0.1"/>
    <x v="1526"/>
    <x v="1478"/>
    <x v="1"/>
  </r>
  <r>
    <x v="1541"/>
    <s v="2025-12-12"/>
    <x v="3"/>
    <x v="459"/>
    <x v="363"/>
    <x v="3"/>
    <x v="1"/>
    <x v="1"/>
    <n v="4"/>
    <n v="98.81"/>
    <n v="0.15"/>
    <x v="1527"/>
    <x v="1479"/>
    <x v="2"/>
  </r>
  <r>
    <x v="1542"/>
    <s v="2025-04-27"/>
    <x v="9"/>
    <x v="221"/>
    <x v="270"/>
    <x v="2"/>
    <x v="2"/>
    <x v="4"/>
    <n v="7"/>
    <n v="12.76"/>
    <n v="0.15"/>
    <x v="1528"/>
    <x v="1480"/>
    <x v="0"/>
  </r>
  <r>
    <x v="1543"/>
    <s v="2025-11-01"/>
    <x v="10"/>
    <x v="281"/>
    <x v="371"/>
    <x v="3"/>
    <x v="2"/>
    <x v="4"/>
    <n v="8"/>
    <n v="69.28"/>
    <n v="0.05"/>
    <x v="1529"/>
    <x v="1481"/>
    <x v="1"/>
  </r>
  <r>
    <x v="1544"/>
    <s v="2025-11-02"/>
    <x v="10"/>
    <x v="187"/>
    <x v="95"/>
    <x v="2"/>
    <x v="2"/>
    <x v="4"/>
    <n v="3"/>
    <n v="206.01"/>
    <n v="0"/>
    <x v="1530"/>
    <x v="1482"/>
    <x v="0"/>
  </r>
  <r>
    <x v="1545"/>
    <s v="2025-01-16"/>
    <x v="5"/>
    <x v="398"/>
    <x v="225"/>
    <x v="3"/>
    <x v="0"/>
    <x v="7"/>
    <n v="6"/>
    <n v="135.5"/>
    <n v="0.15"/>
    <x v="1531"/>
    <x v="1483"/>
    <x v="0"/>
  </r>
  <r>
    <x v="1546"/>
    <s v="2025-03-30"/>
    <x v="7"/>
    <x v="243"/>
    <x v="40"/>
    <x v="1"/>
    <x v="3"/>
    <x v="11"/>
    <n v="8"/>
    <n v="235.2"/>
    <n v="0.1"/>
    <x v="1532"/>
    <x v="1484"/>
    <x v="1"/>
  </r>
  <r>
    <x v="1547"/>
    <s v="2025-02-06"/>
    <x v="8"/>
    <x v="171"/>
    <x v="457"/>
    <x v="1"/>
    <x v="3"/>
    <x v="12"/>
    <n v="3"/>
    <n v="208.27"/>
    <n v="0"/>
    <x v="1533"/>
    <x v="1485"/>
    <x v="2"/>
  </r>
  <r>
    <x v="1548"/>
    <s v="2025-10-23"/>
    <x v="6"/>
    <x v="203"/>
    <x v="326"/>
    <x v="0"/>
    <x v="1"/>
    <x v="8"/>
    <n v="2"/>
    <n v="234.78"/>
    <n v="0.15"/>
    <x v="1534"/>
    <x v="1486"/>
    <x v="0"/>
  </r>
  <r>
    <x v="1549"/>
    <s v="2025-06-09"/>
    <x v="2"/>
    <x v="303"/>
    <x v="434"/>
    <x v="4"/>
    <x v="3"/>
    <x v="12"/>
    <n v="4"/>
    <n v="180.73"/>
    <n v="0.15"/>
    <x v="1535"/>
    <x v="1487"/>
    <x v="0"/>
  </r>
  <r>
    <x v="1550"/>
    <s v="2025-05-29"/>
    <x v="11"/>
    <x v="403"/>
    <x v="428"/>
    <x v="3"/>
    <x v="3"/>
    <x v="9"/>
    <n v="8"/>
    <n v="83.38"/>
    <n v="0"/>
    <x v="1536"/>
    <x v="1488"/>
    <x v="1"/>
  </r>
  <r>
    <x v="1551"/>
    <s v="2025-11-12"/>
    <x v="10"/>
    <x v="363"/>
    <x v="160"/>
    <x v="4"/>
    <x v="0"/>
    <x v="0"/>
    <n v="4"/>
    <n v="203.39"/>
    <n v="0.15"/>
    <x v="1537"/>
    <x v="1489"/>
    <x v="0"/>
  </r>
  <r>
    <x v="1552"/>
    <s v="2025-03-26"/>
    <x v="7"/>
    <x v="475"/>
    <x v="207"/>
    <x v="2"/>
    <x v="2"/>
    <x v="6"/>
    <n v="3"/>
    <n v="34.64"/>
    <n v="0.05"/>
    <x v="1538"/>
    <x v="114"/>
    <x v="2"/>
  </r>
  <r>
    <x v="1553"/>
    <s v="2025-05-12"/>
    <x v="11"/>
    <x v="148"/>
    <x v="91"/>
    <x v="0"/>
    <x v="0"/>
    <x v="0"/>
    <n v="6"/>
    <n v="74.5"/>
    <n v="0.05"/>
    <x v="1539"/>
    <x v="1490"/>
    <x v="0"/>
  </r>
  <r>
    <x v="1554"/>
    <s v="2025-07-23"/>
    <x v="4"/>
    <x v="457"/>
    <x v="377"/>
    <x v="3"/>
    <x v="3"/>
    <x v="11"/>
    <n v="6"/>
    <n v="55.94"/>
    <n v="0.05"/>
    <x v="1540"/>
    <x v="1491"/>
    <x v="2"/>
  </r>
  <r>
    <x v="1555"/>
    <s v="2025-03-26"/>
    <x v="7"/>
    <x v="410"/>
    <x v="417"/>
    <x v="4"/>
    <x v="0"/>
    <x v="0"/>
    <n v="8"/>
    <n v="78.06"/>
    <n v="0.15"/>
    <x v="1541"/>
    <x v="1492"/>
    <x v="1"/>
  </r>
  <r>
    <x v="1556"/>
    <s v="2025-07-07"/>
    <x v="4"/>
    <x v="289"/>
    <x v="97"/>
    <x v="0"/>
    <x v="3"/>
    <x v="12"/>
    <n v="8"/>
    <n v="87.65"/>
    <n v="0.05"/>
    <x v="1542"/>
    <x v="1493"/>
    <x v="2"/>
  </r>
  <r>
    <x v="1557"/>
    <s v="2025-09-14"/>
    <x v="1"/>
    <x v="324"/>
    <x v="117"/>
    <x v="2"/>
    <x v="2"/>
    <x v="4"/>
    <n v="2"/>
    <n v="43.98"/>
    <n v="0.05"/>
    <x v="1543"/>
    <x v="772"/>
    <x v="0"/>
  </r>
  <r>
    <x v="1558"/>
    <s v="2025-10-06"/>
    <x v="6"/>
    <x v="427"/>
    <x v="37"/>
    <x v="2"/>
    <x v="2"/>
    <x v="4"/>
    <n v="4"/>
    <n v="67.760000000000005"/>
    <n v="0.15"/>
    <x v="1544"/>
    <x v="1494"/>
    <x v="1"/>
  </r>
  <r>
    <x v="1559"/>
    <s v="2025-02-13"/>
    <x v="8"/>
    <x v="176"/>
    <x v="247"/>
    <x v="0"/>
    <x v="1"/>
    <x v="8"/>
    <n v="1"/>
    <n v="119.2"/>
    <n v="0.15"/>
    <x v="1545"/>
    <x v="88"/>
    <x v="2"/>
  </r>
  <r>
    <x v="1560"/>
    <s v="2025-12-04"/>
    <x v="3"/>
    <x v="43"/>
    <x v="247"/>
    <x v="0"/>
    <x v="1"/>
    <x v="1"/>
    <n v="6"/>
    <n v="70.510000000000005"/>
    <n v="0"/>
    <x v="1546"/>
    <x v="1495"/>
    <x v="2"/>
  </r>
  <r>
    <x v="1561"/>
    <s v="2025-09-23"/>
    <x v="1"/>
    <x v="116"/>
    <x v="283"/>
    <x v="2"/>
    <x v="2"/>
    <x v="6"/>
    <n v="7"/>
    <n v="198.35"/>
    <n v="0"/>
    <x v="1547"/>
    <x v="1496"/>
    <x v="0"/>
  </r>
  <r>
    <x v="1562"/>
    <s v="2025-09-08"/>
    <x v="1"/>
    <x v="370"/>
    <x v="26"/>
    <x v="2"/>
    <x v="0"/>
    <x v="0"/>
    <n v="1"/>
    <n v="180.15"/>
    <n v="0.05"/>
    <x v="1548"/>
    <x v="1497"/>
    <x v="1"/>
  </r>
  <r>
    <x v="1563"/>
    <s v="2025-05-17"/>
    <x v="11"/>
    <x v="237"/>
    <x v="279"/>
    <x v="4"/>
    <x v="0"/>
    <x v="3"/>
    <n v="3"/>
    <n v="214.23"/>
    <n v="0.1"/>
    <x v="1549"/>
    <x v="1498"/>
    <x v="1"/>
  </r>
  <r>
    <x v="1564"/>
    <s v="2025-04-27"/>
    <x v="9"/>
    <x v="265"/>
    <x v="133"/>
    <x v="1"/>
    <x v="2"/>
    <x v="5"/>
    <n v="4"/>
    <n v="50.94"/>
    <n v="0"/>
    <x v="1550"/>
    <x v="1499"/>
    <x v="0"/>
  </r>
  <r>
    <x v="1565"/>
    <s v="2025-03-14"/>
    <x v="7"/>
    <x v="476"/>
    <x v="430"/>
    <x v="2"/>
    <x v="3"/>
    <x v="12"/>
    <n v="8"/>
    <n v="242.67"/>
    <n v="0.1"/>
    <x v="1551"/>
    <x v="1500"/>
    <x v="0"/>
  </r>
  <r>
    <x v="1566"/>
    <s v="2025-08-23"/>
    <x v="0"/>
    <x v="332"/>
    <x v="475"/>
    <x v="3"/>
    <x v="1"/>
    <x v="8"/>
    <n v="8"/>
    <n v="171.81"/>
    <n v="0"/>
    <x v="1552"/>
    <x v="1501"/>
    <x v="1"/>
  </r>
  <r>
    <x v="1567"/>
    <s v="2025-11-14"/>
    <x v="10"/>
    <x v="88"/>
    <x v="421"/>
    <x v="0"/>
    <x v="0"/>
    <x v="3"/>
    <n v="8"/>
    <n v="167.81"/>
    <n v="0.05"/>
    <x v="1553"/>
    <x v="1502"/>
    <x v="1"/>
  </r>
  <r>
    <x v="1568"/>
    <s v="2025-09-29"/>
    <x v="1"/>
    <x v="100"/>
    <x v="168"/>
    <x v="4"/>
    <x v="3"/>
    <x v="12"/>
    <n v="2"/>
    <n v="85.51"/>
    <n v="0.15"/>
    <x v="540"/>
    <x v="1503"/>
    <x v="1"/>
  </r>
  <r>
    <x v="1569"/>
    <s v="2025-05-21"/>
    <x v="11"/>
    <x v="477"/>
    <x v="214"/>
    <x v="2"/>
    <x v="3"/>
    <x v="12"/>
    <n v="6"/>
    <n v="22.38"/>
    <n v="0.15"/>
    <x v="1554"/>
    <x v="1504"/>
    <x v="0"/>
  </r>
  <r>
    <x v="1570"/>
    <s v="2025-02-17"/>
    <x v="8"/>
    <x v="267"/>
    <x v="331"/>
    <x v="3"/>
    <x v="2"/>
    <x v="2"/>
    <n v="7"/>
    <n v="135.54"/>
    <n v="0.15"/>
    <x v="1555"/>
    <x v="1505"/>
    <x v="1"/>
  </r>
  <r>
    <x v="1571"/>
    <s v="2025-09-20"/>
    <x v="1"/>
    <x v="478"/>
    <x v="275"/>
    <x v="2"/>
    <x v="3"/>
    <x v="12"/>
    <n v="6"/>
    <n v="230.21"/>
    <n v="0.15"/>
    <x v="1556"/>
    <x v="1506"/>
    <x v="1"/>
  </r>
  <r>
    <x v="1572"/>
    <s v="2025-06-06"/>
    <x v="2"/>
    <x v="322"/>
    <x v="231"/>
    <x v="3"/>
    <x v="1"/>
    <x v="10"/>
    <n v="7"/>
    <n v="21.03"/>
    <n v="0.15"/>
    <x v="1557"/>
    <x v="1507"/>
    <x v="1"/>
  </r>
  <r>
    <x v="1573"/>
    <s v="2025-01-18"/>
    <x v="5"/>
    <x v="455"/>
    <x v="221"/>
    <x v="1"/>
    <x v="3"/>
    <x v="9"/>
    <n v="2"/>
    <n v="120.44"/>
    <n v="0.1"/>
    <x v="1558"/>
    <x v="1508"/>
    <x v="1"/>
  </r>
  <r>
    <x v="1574"/>
    <s v="2025-12-18"/>
    <x v="3"/>
    <x v="226"/>
    <x v="244"/>
    <x v="2"/>
    <x v="0"/>
    <x v="0"/>
    <n v="3"/>
    <n v="195.49"/>
    <n v="0.1"/>
    <x v="1559"/>
    <x v="1509"/>
    <x v="2"/>
  </r>
  <r>
    <x v="1575"/>
    <s v="2025-01-07"/>
    <x v="5"/>
    <x v="322"/>
    <x v="338"/>
    <x v="4"/>
    <x v="3"/>
    <x v="12"/>
    <n v="6"/>
    <n v="69.34"/>
    <n v="0"/>
    <x v="1560"/>
    <x v="1510"/>
    <x v="1"/>
  </r>
  <r>
    <x v="1576"/>
    <s v="2025-02-01"/>
    <x v="8"/>
    <x v="214"/>
    <x v="99"/>
    <x v="0"/>
    <x v="2"/>
    <x v="4"/>
    <n v="1"/>
    <n v="98.08"/>
    <n v="0.1"/>
    <x v="1561"/>
    <x v="1511"/>
    <x v="2"/>
  </r>
  <r>
    <x v="1577"/>
    <s v="2025-04-09"/>
    <x v="9"/>
    <x v="413"/>
    <x v="138"/>
    <x v="4"/>
    <x v="3"/>
    <x v="12"/>
    <n v="6"/>
    <n v="159.88"/>
    <n v="0.05"/>
    <x v="1562"/>
    <x v="1512"/>
    <x v="1"/>
  </r>
  <r>
    <x v="1578"/>
    <s v="2025-09-04"/>
    <x v="1"/>
    <x v="432"/>
    <x v="275"/>
    <x v="3"/>
    <x v="0"/>
    <x v="3"/>
    <n v="6"/>
    <n v="71.81"/>
    <n v="0"/>
    <x v="1563"/>
    <x v="570"/>
    <x v="0"/>
  </r>
  <r>
    <x v="1579"/>
    <s v="2025-09-04"/>
    <x v="1"/>
    <x v="184"/>
    <x v="263"/>
    <x v="0"/>
    <x v="3"/>
    <x v="12"/>
    <n v="7"/>
    <n v="63.1"/>
    <n v="0"/>
    <x v="1564"/>
    <x v="1513"/>
    <x v="2"/>
  </r>
  <r>
    <x v="1580"/>
    <s v="2025-07-12"/>
    <x v="4"/>
    <x v="113"/>
    <x v="465"/>
    <x v="2"/>
    <x v="2"/>
    <x v="6"/>
    <n v="1"/>
    <n v="129.94"/>
    <n v="0.05"/>
    <x v="1565"/>
    <x v="1514"/>
    <x v="2"/>
  </r>
  <r>
    <x v="1581"/>
    <s v="2025-11-21"/>
    <x v="10"/>
    <x v="304"/>
    <x v="36"/>
    <x v="2"/>
    <x v="2"/>
    <x v="6"/>
    <n v="3"/>
    <n v="173.48"/>
    <n v="0"/>
    <x v="1566"/>
    <x v="1515"/>
    <x v="1"/>
  </r>
  <r>
    <x v="1582"/>
    <s v="2025-01-01"/>
    <x v="5"/>
    <x v="180"/>
    <x v="68"/>
    <x v="2"/>
    <x v="2"/>
    <x v="4"/>
    <n v="5"/>
    <n v="213.58"/>
    <n v="0.05"/>
    <x v="1567"/>
    <x v="1516"/>
    <x v="2"/>
  </r>
  <r>
    <x v="1583"/>
    <s v="2025-03-22"/>
    <x v="7"/>
    <x v="356"/>
    <x v="177"/>
    <x v="4"/>
    <x v="1"/>
    <x v="8"/>
    <n v="6"/>
    <n v="19.82"/>
    <n v="0.15"/>
    <x v="1568"/>
    <x v="1517"/>
    <x v="1"/>
  </r>
  <r>
    <x v="1584"/>
    <s v="2025-06-28"/>
    <x v="2"/>
    <x v="239"/>
    <x v="133"/>
    <x v="1"/>
    <x v="0"/>
    <x v="0"/>
    <n v="7"/>
    <n v="226.14"/>
    <n v="0.1"/>
    <x v="1569"/>
    <x v="1518"/>
    <x v="2"/>
  </r>
  <r>
    <x v="1585"/>
    <s v="2025-08-15"/>
    <x v="0"/>
    <x v="3"/>
    <x v="194"/>
    <x v="4"/>
    <x v="0"/>
    <x v="3"/>
    <n v="1"/>
    <n v="202.43"/>
    <n v="0"/>
    <x v="1570"/>
    <x v="1519"/>
    <x v="1"/>
  </r>
  <r>
    <x v="1586"/>
    <s v="2025-04-03"/>
    <x v="9"/>
    <x v="423"/>
    <x v="256"/>
    <x v="2"/>
    <x v="3"/>
    <x v="12"/>
    <n v="5"/>
    <n v="13.16"/>
    <n v="0"/>
    <x v="1571"/>
    <x v="1520"/>
    <x v="1"/>
  </r>
  <r>
    <x v="1587"/>
    <s v="2025-01-20"/>
    <x v="5"/>
    <x v="400"/>
    <x v="199"/>
    <x v="4"/>
    <x v="1"/>
    <x v="1"/>
    <n v="5"/>
    <n v="218.41"/>
    <n v="0.05"/>
    <x v="1572"/>
    <x v="1521"/>
    <x v="0"/>
  </r>
  <r>
    <x v="1588"/>
    <s v="2025-11-16"/>
    <x v="10"/>
    <x v="118"/>
    <x v="188"/>
    <x v="1"/>
    <x v="0"/>
    <x v="0"/>
    <n v="5"/>
    <n v="157.68"/>
    <n v="0.05"/>
    <x v="1573"/>
    <x v="1522"/>
    <x v="2"/>
  </r>
  <r>
    <x v="1589"/>
    <s v="2025-05-11"/>
    <x v="11"/>
    <x v="351"/>
    <x v="70"/>
    <x v="3"/>
    <x v="3"/>
    <x v="9"/>
    <n v="7"/>
    <n v="33.49"/>
    <n v="0.15"/>
    <x v="1574"/>
    <x v="1523"/>
    <x v="0"/>
  </r>
  <r>
    <x v="1590"/>
    <s v="2025-01-18"/>
    <x v="5"/>
    <x v="294"/>
    <x v="337"/>
    <x v="0"/>
    <x v="3"/>
    <x v="11"/>
    <n v="8"/>
    <n v="13.79"/>
    <n v="0"/>
    <x v="1575"/>
    <x v="1524"/>
    <x v="0"/>
  </r>
  <r>
    <x v="1591"/>
    <s v="2025-02-22"/>
    <x v="8"/>
    <x v="476"/>
    <x v="292"/>
    <x v="0"/>
    <x v="3"/>
    <x v="12"/>
    <n v="6"/>
    <n v="103.45"/>
    <n v="0.05"/>
    <x v="1576"/>
    <x v="1525"/>
    <x v="0"/>
  </r>
  <r>
    <x v="1592"/>
    <s v="2025-05-30"/>
    <x v="11"/>
    <x v="454"/>
    <x v="180"/>
    <x v="4"/>
    <x v="1"/>
    <x v="1"/>
    <n v="4"/>
    <n v="182.97"/>
    <n v="0.15"/>
    <x v="1577"/>
    <x v="672"/>
    <x v="2"/>
  </r>
  <r>
    <x v="1593"/>
    <s v="2025-08-11"/>
    <x v="0"/>
    <x v="386"/>
    <x v="206"/>
    <x v="1"/>
    <x v="3"/>
    <x v="12"/>
    <n v="3"/>
    <n v="70.260000000000005"/>
    <n v="0.1"/>
    <x v="1578"/>
    <x v="1526"/>
    <x v="1"/>
  </r>
  <r>
    <x v="1594"/>
    <s v="2025-01-23"/>
    <x v="5"/>
    <x v="279"/>
    <x v="238"/>
    <x v="0"/>
    <x v="2"/>
    <x v="6"/>
    <n v="3"/>
    <n v="225.37"/>
    <n v="0.1"/>
    <x v="1579"/>
    <x v="1527"/>
    <x v="0"/>
  </r>
  <r>
    <x v="1595"/>
    <s v="2025-05-24"/>
    <x v="11"/>
    <x v="422"/>
    <x v="146"/>
    <x v="1"/>
    <x v="2"/>
    <x v="2"/>
    <n v="2"/>
    <n v="50.34"/>
    <n v="0"/>
    <x v="1580"/>
    <x v="1528"/>
    <x v="2"/>
  </r>
  <r>
    <x v="1596"/>
    <s v="2025-11-19"/>
    <x v="10"/>
    <x v="172"/>
    <x v="63"/>
    <x v="1"/>
    <x v="1"/>
    <x v="8"/>
    <n v="6"/>
    <n v="57.04"/>
    <n v="0"/>
    <x v="1581"/>
    <x v="1529"/>
    <x v="2"/>
  </r>
  <r>
    <x v="1597"/>
    <s v="2025-02-15"/>
    <x v="8"/>
    <x v="395"/>
    <x v="357"/>
    <x v="4"/>
    <x v="3"/>
    <x v="12"/>
    <n v="5"/>
    <n v="107.56"/>
    <n v="0.05"/>
    <x v="1582"/>
    <x v="1530"/>
    <x v="0"/>
  </r>
  <r>
    <x v="1598"/>
    <s v="2025-04-22"/>
    <x v="9"/>
    <x v="141"/>
    <x v="92"/>
    <x v="1"/>
    <x v="1"/>
    <x v="1"/>
    <n v="4"/>
    <n v="236.73"/>
    <n v="0.15"/>
    <x v="1583"/>
    <x v="1531"/>
    <x v="2"/>
  </r>
  <r>
    <x v="1599"/>
    <s v="2025-06-11"/>
    <x v="2"/>
    <x v="391"/>
    <x v="200"/>
    <x v="4"/>
    <x v="2"/>
    <x v="4"/>
    <n v="3"/>
    <n v="165.58"/>
    <n v="0.15"/>
    <x v="1584"/>
    <x v="1055"/>
    <x v="2"/>
  </r>
  <r>
    <x v="1600"/>
    <s v="2025-10-09"/>
    <x v="6"/>
    <x v="298"/>
    <x v="270"/>
    <x v="1"/>
    <x v="0"/>
    <x v="3"/>
    <n v="4"/>
    <n v="63.04"/>
    <n v="0.15"/>
    <x v="1585"/>
    <x v="1532"/>
    <x v="1"/>
  </r>
  <r>
    <x v="1601"/>
    <s v="2025-10-27"/>
    <x v="6"/>
    <x v="184"/>
    <x v="133"/>
    <x v="4"/>
    <x v="1"/>
    <x v="10"/>
    <n v="3"/>
    <n v="50.28"/>
    <n v="0.15"/>
    <x v="1586"/>
    <x v="1533"/>
    <x v="2"/>
  </r>
  <r>
    <x v="1602"/>
    <s v="2025-11-05"/>
    <x v="10"/>
    <x v="416"/>
    <x v="352"/>
    <x v="0"/>
    <x v="3"/>
    <x v="12"/>
    <n v="5"/>
    <n v="155.24"/>
    <n v="0"/>
    <x v="1587"/>
    <x v="1534"/>
    <x v="1"/>
  </r>
  <r>
    <x v="1603"/>
    <s v="2025-10-07"/>
    <x v="6"/>
    <x v="267"/>
    <x v="53"/>
    <x v="0"/>
    <x v="2"/>
    <x v="4"/>
    <n v="8"/>
    <n v="93.32"/>
    <n v="0.15"/>
    <x v="1588"/>
    <x v="1535"/>
    <x v="1"/>
  </r>
  <r>
    <x v="1604"/>
    <s v="2025-07-24"/>
    <x v="4"/>
    <x v="122"/>
    <x v="14"/>
    <x v="1"/>
    <x v="3"/>
    <x v="9"/>
    <n v="4"/>
    <n v="199.92"/>
    <n v="0.15"/>
    <x v="1589"/>
    <x v="1536"/>
    <x v="0"/>
  </r>
  <r>
    <x v="1605"/>
    <s v="2025-05-06"/>
    <x v="11"/>
    <x v="383"/>
    <x v="299"/>
    <x v="1"/>
    <x v="0"/>
    <x v="7"/>
    <n v="2"/>
    <n v="247.99"/>
    <n v="0.1"/>
    <x v="1590"/>
    <x v="1537"/>
    <x v="0"/>
  </r>
  <r>
    <x v="1606"/>
    <s v="2025-10-24"/>
    <x v="6"/>
    <x v="365"/>
    <x v="290"/>
    <x v="3"/>
    <x v="3"/>
    <x v="12"/>
    <n v="3"/>
    <n v="212.64"/>
    <n v="0.05"/>
    <x v="1591"/>
    <x v="1538"/>
    <x v="0"/>
  </r>
  <r>
    <x v="1607"/>
    <s v="2025-02-05"/>
    <x v="8"/>
    <x v="236"/>
    <x v="179"/>
    <x v="0"/>
    <x v="1"/>
    <x v="10"/>
    <n v="2"/>
    <n v="51.99"/>
    <n v="0"/>
    <x v="1592"/>
    <x v="1539"/>
    <x v="0"/>
  </r>
  <r>
    <x v="1608"/>
    <s v="2025-05-13"/>
    <x v="11"/>
    <x v="374"/>
    <x v="285"/>
    <x v="1"/>
    <x v="0"/>
    <x v="3"/>
    <n v="7"/>
    <n v="88.29"/>
    <n v="0.05"/>
    <x v="1593"/>
    <x v="1540"/>
    <x v="2"/>
  </r>
  <r>
    <x v="1609"/>
    <s v="2025-12-11"/>
    <x v="3"/>
    <x v="424"/>
    <x v="201"/>
    <x v="1"/>
    <x v="1"/>
    <x v="10"/>
    <n v="6"/>
    <n v="25.39"/>
    <n v="0.1"/>
    <x v="1594"/>
    <x v="1541"/>
    <x v="1"/>
  </r>
  <r>
    <x v="1610"/>
    <s v="2025-06-08"/>
    <x v="2"/>
    <x v="157"/>
    <x v="100"/>
    <x v="4"/>
    <x v="2"/>
    <x v="2"/>
    <n v="5"/>
    <n v="29.58"/>
    <n v="0.15"/>
    <x v="1595"/>
    <x v="1542"/>
    <x v="0"/>
  </r>
  <r>
    <x v="1611"/>
    <s v="2025-08-02"/>
    <x v="0"/>
    <x v="231"/>
    <x v="265"/>
    <x v="2"/>
    <x v="1"/>
    <x v="1"/>
    <n v="8"/>
    <n v="163.07"/>
    <n v="0"/>
    <x v="1596"/>
    <x v="1543"/>
    <x v="0"/>
  </r>
  <r>
    <x v="1612"/>
    <s v="2025-09-19"/>
    <x v="1"/>
    <x v="379"/>
    <x v="315"/>
    <x v="0"/>
    <x v="1"/>
    <x v="8"/>
    <n v="3"/>
    <n v="245.45"/>
    <n v="0.15"/>
    <x v="1597"/>
    <x v="1544"/>
    <x v="0"/>
  </r>
  <r>
    <x v="1613"/>
    <s v="2025-12-06"/>
    <x v="3"/>
    <x v="400"/>
    <x v="14"/>
    <x v="4"/>
    <x v="2"/>
    <x v="6"/>
    <n v="7"/>
    <n v="99.15"/>
    <n v="0.15"/>
    <x v="1598"/>
    <x v="1545"/>
    <x v="1"/>
  </r>
  <r>
    <x v="1614"/>
    <s v="2025-11-15"/>
    <x v="10"/>
    <x v="468"/>
    <x v="23"/>
    <x v="2"/>
    <x v="3"/>
    <x v="11"/>
    <n v="7"/>
    <n v="99.79"/>
    <n v="0.05"/>
    <x v="1599"/>
    <x v="1546"/>
    <x v="2"/>
  </r>
  <r>
    <x v="1615"/>
    <s v="2025-07-21"/>
    <x v="4"/>
    <x v="203"/>
    <x v="343"/>
    <x v="1"/>
    <x v="0"/>
    <x v="7"/>
    <n v="3"/>
    <n v="191.57"/>
    <n v="0.05"/>
    <x v="1600"/>
    <x v="1547"/>
    <x v="0"/>
  </r>
  <r>
    <x v="1616"/>
    <s v="2025-05-06"/>
    <x v="11"/>
    <x v="42"/>
    <x v="476"/>
    <x v="4"/>
    <x v="1"/>
    <x v="8"/>
    <n v="8"/>
    <n v="58.03"/>
    <n v="0"/>
    <x v="1601"/>
    <x v="1548"/>
    <x v="1"/>
  </r>
  <r>
    <x v="1617"/>
    <s v="2025-06-25"/>
    <x v="2"/>
    <x v="383"/>
    <x v="476"/>
    <x v="2"/>
    <x v="0"/>
    <x v="7"/>
    <n v="5"/>
    <n v="51.97"/>
    <n v="0.15"/>
    <x v="1602"/>
    <x v="1549"/>
    <x v="1"/>
  </r>
  <r>
    <x v="1618"/>
    <s v="2025-11-24"/>
    <x v="10"/>
    <x v="179"/>
    <x v="451"/>
    <x v="3"/>
    <x v="0"/>
    <x v="7"/>
    <n v="6"/>
    <n v="123.42"/>
    <n v="0.15"/>
    <x v="1603"/>
    <x v="1550"/>
    <x v="0"/>
  </r>
  <r>
    <x v="1619"/>
    <s v="2025-11-05"/>
    <x v="10"/>
    <x v="92"/>
    <x v="387"/>
    <x v="2"/>
    <x v="3"/>
    <x v="11"/>
    <n v="5"/>
    <n v="38.26"/>
    <n v="0.15"/>
    <x v="1604"/>
    <x v="657"/>
    <x v="1"/>
  </r>
  <r>
    <x v="1620"/>
    <s v="2025-11-24"/>
    <x v="10"/>
    <x v="290"/>
    <x v="147"/>
    <x v="1"/>
    <x v="0"/>
    <x v="0"/>
    <n v="1"/>
    <n v="30.52"/>
    <n v="0"/>
    <x v="1605"/>
    <x v="1551"/>
    <x v="0"/>
  </r>
  <r>
    <x v="1621"/>
    <s v="2025-06-17"/>
    <x v="2"/>
    <x v="440"/>
    <x v="477"/>
    <x v="2"/>
    <x v="1"/>
    <x v="10"/>
    <n v="7"/>
    <n v="131.97999999999999"/>
    <n v="0.05"/>
    <x v="1606"/>
    <x v="1552"/>
    <x v="0"/>
  </r>
  <r>
    <x v="1622"/>
    <s v="2025-01-31"/>
    <x v="5"/>
    <x v="167"/>
    <x v="478"/>
    <x v="4"/>
    <x v="3"/>
    <x v="12"/>
    <n v="6"/>
    <n v="85.92"/>
    <n v="0.1"/>
    <x v="1607"/>
    <x v="1553"/>
    <x v="2"/>
  </r>
  <r>
    <x v="1623"/>
    <s v="2025-12-29"/>
    <x v="3"/>
    <x v="238"/>
    <x v="207"/>
    <x v="2"/>
    <x v="3"/>
    <x v="11"/>
    <n v="5"/>
    <n v="205.69"/>
    <n v="0"/>
    <x v="1608"/>
    <x v="1250"/>
    <x v="0"/>
  </r>
  <r>
    <x v="1624"/>
    <s v="2025-01-15"/>
    <x v="5"/>
    <x v="271"/>
    <x v="215"/>
    <x v="3"/>
    <x v="1"/>
    <x v="10"/>
    <n v="1"/>
    <n v="62.37"/>
    <n v="0.15"/>
    <x v="1609"/>
    <x v="1554"/>
    <x v="0"/>
  </r>
  <r>
    <x v="1625"/>
    <s v="2025-05-14"/>
    <x v="11"/>
    <x v="418"/>
    <x v="365"/>
    <x v="4"/>
    <x v="1"/>
    <x v="8"/>
    <n v="4"/>
    <n v="216.68"/>
    <n v="0.05"/>
    <x v="1610"/>
    <x v="1383"/>
    <x v="1"/>
  </r>
  <r>
    <x v="1626"/>
    <s v="2025-03-16"/>
    <x v="7"/>
    <x v="54"/>
    <x v="467"/>
    <x v="3"/>
    <x v="3"/>
    <x v="11"/>
    <n v="1"/>
    <n v="104.81"/>
    <n v="0.1"/>
    <x v="1611"/>
    <x v="1555"/>
    <x v="1"/>
  </r>
  <r>
    <x v="1627"/>
    <s v="2025-09-29"/>
    <x v="1"/>
    <x v="401"/>
    <x v="292"/>
    <x v="1"/>
    <x v="3"/>
    <x v="11"/>
    <n v="6"/>
    <n v="140.5"/>
    <n v="0.15"/>
    <x v="1612"/>
    <x v="1556"/>
    <x v="2"/>
  </r>
  <r>
    <x v="1628"/>
    <s v="2025-02-11"/>
    <x v="8"/>
    <x v="236"/>
    <x v="437"/>
    <x v="2"/>
    <x v="1"/>
    <x v="8"/>
    <n v="2"/>
    <n v="238.65"/>
    <n v="0.15"/>
    <x v="1613"/>
    <x v="1557"/>
    <x v="0"/>
  </r>
  <r>
    <x v="1629"/>
    <s v="2025-08-23"/>
    <x v="0"/>
    <x v="263"/>
    <x v="294"/>
    <x v="4"/>
    <x v="0"/>
    <x v="7"/>
    <n v="8"/>
    <n v="104.53"/>
    <n v="0"/>
    <x v="1614"/>
    <x v="644"/>
    <x v="1"/>
  </r>
  <r>
    <x v="1630"/>
    <s v="2025-10-05"/>
    <x v="6"/>
    <x v="115"/>
    <x v="451"/>
    <x v="4"/>
    <x v="3"/>
    <x v="12"/>
    <n v="7"/>
    <n v="109.43"/>
    <n v="0"/>
    <x v="1615"/>
    <x v="1558"/>
    <x v="2"/>
  </r>
  <r>
    <x v="1631"/>
    <s v="2025-10-17"/>
    <x v="6"/>
    <x v="315"/>
    <x v="197"/>
    <x v="3"/>
    <x v="2"/>
    <x v="5"/>
    <n v="8"/>
    <n v="64.03"/>
    <n v="0.15"/>
    <x v="1616"/>
    <x v="1559"/>
    <x v="1"/>
  </r>
  <r>
    <x v="1632"/>
    <s v="2025-09-17"/>
    <x v="1"/>
    <x v="398"/>
    <x v="418"/>
    <x v="3"/>
    <x v="1"/>
    <x v="8"/>
    <n v="7"/>
    <n v="235.15"/>
    <n v="0.05"/>
    <x v="1617"/>
    <x v="1560"/>
    <x v="2"/>
  </r>
  <r>
    <x v="1633"/>
    <s v="2025-04-26"/>
    <x v="9"/>
    <x v="297"/>
    <x v="14"/>
    <x v="3"/>
    <x v="2"/>
    <x v="5"/>
    <n v="7"/>
    <n v="192.32"/>
    <n v="0.1"/>
    <x v="1618"/>
    <x v="1561"/>
    <x v="2"/>
  </r>
  <r>
    <x v="1634"/>
    <s v="2025-05-29"/>
    <x v="11"/>
    <x v="371"/>
    <x v="86"/>
    <x v="2"/>
    <x v="0"/>
    <x v="3"/>
    <n v="8"/>
    <n v="208.94"/>
    <n v="0"/>
    <x v="1619"/>
    <x v="1562"/>
    <x v="0"/>
  </r>
  <r>
    <x v="1635"/>
    <s v="2025-03-05"/>
    <x v="7"/>
    <x v="11"/>
    <x v="219"/>
    <x v="0"/>
    <x v="2"/>
    <x v="6"/>
    <n v="3"/>
    <n v="96.79"/>
    <n v="0.15"/>
    <x v="1620"/>
    <x v="1563"/>
    <x v="2"/>
  </r>
  <r>
    <x v="1636"/>
    <s v="2025-10-10"/>
    <x v="6"/>
    <x v="170"/>
    <x v="2"/>
    <x v="0"/>
    <x v="0"/>
    <x v="3"/>
    <n v="3"/>
    <n v="50.92"/>
    <n v="0.05"/>
    <x v="1621"/>
    <x v="1564"/>
    <x v="2"/>
  </r>
  <r>
    <x v="1637"/>
    <s v="2025-12-17"/>
    <x v="3"/>
    <x v="150"/>
    <x v="393"/>
    <x v="1"/>
    <x v="2"/>
    <x v="5"/>
    <n v="3"/>
    <n v="246.53"/>
    <n v="0"/>
    <x v="1622"/>
    <x v="1565"/>
    <x v="0"/>
  </r>
  <r>
    <x v="1638"/>
    <s v="2025-05-15"/>
    <x v="11"/>
    <x v="147"/>
    <x v="220"/>
    <x v="3"/>
    <x v="2"/>
    <x v="5"/>
    <n v="8"/>
    <n v="89.36"/>
    <n v="0.1"/>
    <x v="1623"/>
    <x v="1566"/>
    <x v="1"/>
  </r>
  <r>
    <x v="1639"/>
    <s v="2025-11-12"/>
    <x v="10"/>
    <x v="45"/>
    <x v="315"/>
    <x v="1"/>
    <x v="1"/>
    <x v="10"/>
    <n v="3"/>
    <n v="199.07"/>
    <n v="0.15"/>
    <x v="1624"/>
    <x v="1567"/>
    <x v="1"/>
  </r>
  <r>
    <x v="1640"/>
    <s v="2025-04-18"/>
    <x v="9"/>
    <x v="28"/>
    <x v="20"/>
    <x v="4"/>
    <x v="1"/>
    <x v="8"/>
    <n v="3"/>
    <n v="172.1"/>
    <n v="0.05"/>
    <x v="1625"/>
    <x v="1568"/>
    <x v="1"/>
  </r>
  <r>
    <x v="1641"/>
    <s v="2025-05-14"/>
    <x v="11"/>
    <x v="454"/>
    <x v="317"/>
    <x v="0"/>
    <x v="2"/>
    <x v="5"/>
    <n v="8"/>
    <n v="155.69999999999999"/>
    <n v="0.1"/>
    <x v="1246"/>
    <x v="1569"/>
    <x v="0"/>
  </r>
  <r>
    <x v="1642"/>
    <s v="2025-01-14"/>
    <x v="5"/>
    <x v="411"/>
    <x v="341"/>
    <x v="4"/>
    <x v="1"/>
    <x v="10"/>
    <n v="8"/>
    <n v="133.41"/>
    <n v="0.15"/>
    <x v="1626"/>
    <x v="1570"/>
    <x v="0"/>
  </r>
  <r>
    <x v="1643"/>
    <s v="2025-06-15"/>
    <x v="2"/>
    <x v="225"/>
    <x v="383"/>
    <x v="2"/>
    <x v="2"/>
    <x v="5"/>
    <n v="4"/>
    <n v="156.13"/>
    <n v="0.05"/>
    <x v="1627"/>
    <x v="1571"/>
    <x v="1"/>
  </r>
  <r>
    <x v="1644"/>
    <s v="2025-05-03"/>
    <x v="11"/>
    <x v="372"/>
    <x v="388"/>
    <x v="2"/>
    <x v="3"/>
    <x v="12"/>
    <n v="7"/>
    <n v="23.16"/>
    <n v="0"/>
    <x v="1628"/>
    <x v="1572"/>
    <x v="1"/>
  </r>
  <r>
    <x v="1645"/>
    <s v="2025-04-08"/>
    <x v="9"/>
    <x v="48"/>
    <x v="62"/>
    <x v="0"/>
    <x v="2"/>
    <x v="4"/>
    <n v="1"/>
    <n v="109.12"/>
    <n v="0"/>
    <x v="1629"/>
    <x v="1573"/>
    <x v="0"/>
  </r>
  <r>
    <x v="1646"/>
    <s v="2025-10-11"/>
    <x v="6"/>
    <x v="450"/>
    <x v="451"/>
    <x v="3"/>
    <x v="2"/>
    <x v="5"/>
    <n v="1"/>
    <n v="178.65"/>
    <n v="0.15"/>
    <x v="1630"/>
    <x v="1574"/>
    <x v="1"/>
  </r>
  <r>
    <x v="1647"/>
    <s v="2025-09-03"/>
    <x v="1"/>
    <x v="205"/>
    <x v="8"/>
    <x v="4"/>
    <x v="2"/>
    <x v="2"/>
    <n v="6"/>
    <n v="66.430000000000007"/>
    <n v="0"/>
    <x v="1631"/>
    <x v="1575"/>
    <x v="2"/>
  </r>
  <r>
    <x v="1648"/>
    <s v="2025-12-27"/>
    <x v="3"/>
    <x v="37"/>
    <x v="88"/>
    <x v="2"/>
    <x v="3"/>
    <x v="9"/>
    <n v="7"/>
    <n v="242.94"/>
    <n v="0"/>
    <x v="1632"/>
    <x v="1576"/>
    <x v="1"/>
  </r>
  <r>
    <x v="1649"/>
    <s v="2025-06-16"/>
    <x v="2"/>
    <x v="254"/>
    <x v="82"/>
    <x v="2"/>
    <x v="0"/>
    <x v="3"/>
    <n v="7"/>
    <n v="105.1"/>
    <n v="0.1"/>
    <x v="1633"/>
    <x v="1577"/>
    <x v="1"/>
  </r>
  <r>
    <x v="1650"/>
    <s v="2025-12-17"/>
    <x v="3"/>
    <x v="425"/>
    <x v="42"/>
    <x v="4"/>
    <x v="2"/>
    <x v="2"/>
    <n v="6"/>
    <n v="189.3"/>
    <n v="0.05"/>
    <x v="1634"/>
    <x v="1578"/>
    <x v="1"/>
  </r>
  <r>
    <x v="1651"/>
    <s v="2025-08-02"/>
    <x v="0"/>
    <x v="458"/>
    <x v="37"/>
    <x v="0"/>
    <x v="0"/>
    <x v="0"/>
    <n v="2"/>
    <n v="122.28"/>
    <n v="0.1"/>
    <x v="1635"/>
    <x v="1579"/>
    <x v="1"/>
  </r>
  <r>
    <x v="1652"/>
    <s v="2025-07-21"/>
    <x v="4"/>
    <x v="359"/>
    <x v="81"/>
    <x v="0"/>
    <x v="0"/>
    <x v="0"/>
    <n v="6"/>
    <n v="46.66"/>
    <n v="0"/>
    <x v="1636"/>
    <x v="1580"/>
    <x v="2"/>
  </r>
  <r>
    <x v="1653"/>
    <s v="2025-04-28"/>
    <x v="9"/>
    <x v="187"/>
    <x v="423"/>
    <x v="3"/>
    <x v="3"/>
    <x v="9"/>
    <n v="7"/>
    <n v="157"/>
    <n v="0.05"/>
    <x v="1637"/>
    <x v="1581"/>
    <x v="1"/>
  </r>
  <r>
    <x v="1654"/>
    <s v="2025-05-19"/>
    <x v="11"/>
    <x v="195"/>
    <x v="218"/>
    <x v="2"/>
    <x v="1"/>
    <x v="1"/>
    <n v="2"/>
    <n v="80.760000000000005"/>
    <n v="0.15"/>
    <x v="1638"/>
    <x v="1582"/>
    <x v="1"/>
  </r>
  <r>
    <x v="1655"/>
    <s v="2025-01-22"/>
    <x v="5"/>
    <x v="96"/>
    <x v="284"/>
    <x v="4"/>
    <x v="3"/>
    <x v="9"/>
    <n v="4"/>
    <n v="148.35"/>
    <n v="0.05"/>
    <x v="1639"/>
    <x v="1583"/>
    <x v="0"/>
  </r>
  <r>
    <x v="1656"/>
    <s v="2025-07-18"/>
    <x v="4"/>
    <x v="304"/>
    <x v="479"/>
    <x v="4"/>
    <x v="0"/>
    <x v="7"/>
    <n v="1"/>
    <n v="232.37"/>
    <n v="0.05"/>
    <x v="1640"/>
    <x v="1584"/>
    <x v="0"/>
  </r>
  <r>
    <x v="1657"/>
    <s v="2025-05-18"/>
    <x v="11"/>
    <x v="32"/>
    <x v="464"/>
    <x v="4"/>
    <x v="2"/>
    <x v="6"/>
    <n v="1"/>
    <n v="36.65"/>
    <n v="0.1"/>
    <x v="1641"/>
    <x v="1585"/>
    <x v="1"/>
  </r>
  <r>
    <x v="1658"/>
    <s v="2025-03-23"/>
    <x v="7"/>
    <x v="246"/>
    <x v="455"/>
    <x v="2"/>
    <x v="2"/>
    <x v="5"/>
    <n v="4"/>
    <n v="33.49"/>
    <n v="0"/>
    <x v="1642"/>
    <x v="1586"/>
    <x v="0"/>
  </r>
  <r>
    <x v="1659"/>
    <s v="2025-02-08"/>
    <x v="8"/>
    <x v="55"/>
    <x v="122"/>
    <x v="4"/>
    <x v="2"/>
    <x v="5"/>
    <n v="8"/>
    <n v="24.44"/>
    <n v="0.1"/>
    <x v="1643"/>
    <x v="1587"/>
    <x v="1"/>
  </r>
  <r>
    <x v="1660"/>
    <s v="2025-05-20"/>
    <x v="11"/>
    <x v="430"/>
    <x v="56"/>
    <x v="0"/>
    <x v="2"/>
    <x v="4"/>
    <n v="7"/>
    <n v="137.69"/>
    <n v="0"/>
    <x v="1644"/>
    <x v="1588"/>
    <x v="2"/>
  </r>
  <r>
    <x v="1661"/>
    <s v="2025-02-08"/>
    <x v="8"/>
    <x v="231"/>
    <x v="480"/>
    <x v="1"/>
    <x v="2"/>
    <x v="4"/>
    <n v="4"/>
    <n v="225.46"/>
    <n v="0.05"/>
    <x v="1645"/>
    <x v="1400"/>
    <x v="1"/>
  </r>
  <r>
    <x v="1662"/>
    <s v="2025-03-08"/>
    <x v="7"/>
    <x v="152"/>
    <x v="481"/>
    <x v="2"/>
    <x v="2"/>
    <x v="5"/>
    <n v="6"/>
    <n v="36.82"/>
    <n v="0"/>
    <x v="1646"/>
    <x v="1589"/>
    <x v="2"/>
  </r>
  <r>
    <x v="1663"/>
    <s v="2025-06-24"/>
    <x v="2"/>
    <x v="317"/>
    <x v="265"/>
    <x v="3"/>
    <x v="0"/>
    <x v="3"/>
    <n v="3"/>
    <n v="169.43"/>
    <n v="0.15"/>
    <x v="1647"/>
    <x v="1590"/>
    <x v="0"/>
  </r>
  <r>
    <x v="1664"/>
    <s v="2025-07-04"/>
    <x v="4"/>
    <x v="255"/>
    <x v="421"/>
    <x v="2"/>
    <x v="1"/>
    <x v="10"/>
    <n v="7"/>
    <n v="132.66999999999999"/>
    <n v="0.05"/>
    <x v="1648"/>
    <x v="1591"/>
    <x v="2"/>
  </r>
  <r>
    <x v="1665"/>
    <s v="2025-03-03"/>
    <x v="7"/>
    <x v="327"/>
    <x v="225"/>
    <x v="1"/>
    <x v="2"/>
    <x v="4"/>
    <n v="8"/>
    <n v="58.35"/>
    <n v="0.15"/>
    <x v="1649"/>
    <x v="1592"/>
    <x v="0"/>
  </r>
  <r>
    <x v="1666"/>
    <s v="2025-05-02"/>
    <x v="11"/>
    <x v="332"/>
    <x v="212"/>
    <x v="3"/>
    <x v="0"/>
    <x v="0"/>
    <n v="7"/>
    <n v="43.61"/>
    <n v="0.05"/>
    <x v="1650"/>
    <x v="1593"/>
    <x v="2"/>
  </r>
  <r>
    <x v="1667"/>
    <s v="2025-12-02"/>
    <x v="3"/>
    <x v="146"/>
    <x v="138"/>
    <x v="4"/>
    <x v="1"/>
    <x v="1"/>
    <n v="7"/>
    <n v="185.85"/>
    <n v="0.05"/>
    <x v="1651"/>
    <x v="1594"/>
    <x v="1"/>
  </r>
  <r>
    <x v="1668"/>
    <s v="2025-06-16"/>
    <x v="2"/>
    <x v="325"/>
    <x v="145"/>
    <x v="0"/>
    <x v="1"/>
    <x v="10"/>
    <n v="5"/>
    <n v="78.05"/>
    <n v="0.05"/>
    <x v="1652"/>
    <x v="1595"/>
    <x v="2"/>
  </r>
  <r>
    <x v="1669"/>
    <s v="2025-12-15"/>
    <x v="3"/>
    <x v="369"/>
    <x v="242"/>
    <x v="2"/>
    <x v="2"/>
    <x v="5"/>
    <n v="1"/>
    <n v="18.93"/>
    <n v="0.05"/>
    <x v="1653"/>
    <x v="1267"/>
    <x v="0"/>
  </r>
  <r>
    <x v="1670"/>
    <s v="2025-05-05"/>
    <x v="11"/>
    <x v="329"/>
    <x v="477"/>
    <x v="3"/>
    <x v="0"/>
    <x v="3"/>
    <n v="2"/>
    <n v="127.31"/>
    <n v="0.1"/>
    <x v="1654"/>
    <x v="97"/>
    <x v="2"/>
  </r>
  <r>
    <x v="1671"/>
    <s v="2025-07-17"/>
    <x v="4"/>
    <x v="23"/>
    <x v="170"/>
    <x v="3"/>
    <x v="1"/>
    <x v="1"/>
    <n v="3"/>
    <n v="223.05"/>
    <n v="0.05"/>
    <x v="1655"/>
    <x v="1596"/>
    <x v="0"/>
  </r>
  <r>
    <x v="1672"/>
    <s v="2025-07-06"/>
    <x v="4"/>
    <x v="476"/>
    <x v="375"/>
    <x v="0"/>
    <x v="1"/>
    <x v="8"/>
    <n v="4"/>
    <n v="193"/>
    <n v="0.1"/>
    <x v="1656"/>
    <x v="1597"/>
    <x v="2"/>
  </r>
  <r>
    <x v="1673"/>
    <s v="2025-07-08"/>
    <x v="4"/>
    <x v="361"/>
    <x v="77"/>
    <x v="1"/>
    <x v="3"/>
    <x v="9"/>
    <n v="6"/>
    <n v="218.75"/>
    <n v="0"/>
    <x v="1657"/>
    <x v="625"/>
    <x v="2"/>
  </r>
  <r>
    <x v="1674"/>
    <s v="2025-07-17"/>
    <x v="4"/>
    <x v="419"/>
    <x v="473"/>
    <x v="1"/>
    <x v="3"/>
    <x v="12"/>
    <n v="4"/>
    <n v="40.26"/>
    <n v="0.1"/>
    <x v="1658"/>
    <x v="1598"/>
    <x v="1"/>
  </r>
  <r>
    <x v="1675"/>
    <s v="2025-11-19"/>
    <x v="10"/>
    <x v="28"/>
    <x v="265"/>
    <x v="3"/>
    <x v="1"/>
    <x v="8"/>
    <n v="2"/>
    <n v="219.57"/>
    <n v="0.05"/>
    <x v="1659"/>
    <x v="1599"/>
    <x v="0"/>
  </r>
  <r>
    <x v="1676"/>
    <s v="2025-04-30"/>
    <x v="9"/>
    <x v="231"/>
    <x v="438"/>
    <x v="4"/>
    <x v="0"/>
    <x v="7"/>
    <n v="7"/>
    <n v="65.92"/>
    <n v="0.1"/>
    <x v="1660"/>
    <x v="1600"/>
    <x v="2"/>
  </r>
  <r>
    <x v="1677"/>
    <s v="2025-04-11"/>
    <x v="9"/>
    <x v="448"/>
    <x v="358"/>
    <x v="0"/>
    <x v="2"/>
    <x v="6"/>
    <n v="3"/>
    <n v="44.76"/>
    <n v="0.05"/>
    <x v="1661"/>
    <x v="1601"/>
    <x v="1"/>
  </r>
  <r>
    <x v="1678"/>
    <s v="2025-07-26"/>
    <x v="4"/>
    <x v="144"/>
    <x v="430"/>
    <x v="0"/>
    <x v="2"/>
    <x v="4"/>
    <n v="5"/>
    <n v="156.21"/>
    <n v="0"/>
    <x v="1662"/>
    <x v="1602"/>
    <x v="0"/>
  </r>
  <r>
    <x v="1679"/>
    <s v="2025-04-02"/>
    <x v="9"/>
    <x v="83"/>
    <x v="23"/>
    <x v="3"/>
    <x v="2"/>
    <x v="4"/>
    <n v="7"/>
    <n v="237.1"/>
    <n v="0"/>
    <x v="1663"/>
    <x v="1603"/>
    <x v="2"/>
  </r>
  <r>
    <x v="1680"/>
    <s v="2025-07-16"/>
    <x v="4"/>
    <x v="367"/>
    <x v="204"/>
    <x v="4"/>
    <x v="3"/>
    <x v="11"/>
    <n v="6"/>
    <n v="77.42"/>
    <n v="0"/>
    <x v="485"/>
    <x v="1604"/>
    <x v="2"/>
  </r>
  <r>
    <x v="1681"/>
    <s v="2025-08-16"/>
    <x v="0"/>
    <x v="436"/>
    <x v="342"/>
    <x v="2"/>
    <x v="3"/>
    <x v="11"/>
    <n v="5"/>
    <n v="37.65"/>
    <n v="0"/>
    <x v="1664"/>
    <x v="1605"/>
    <x v="1"/>
  </r>
  <r>
    <x v="1682"/>
    <s v="2025-03-01"/>
    <x v="7"/>
    <x v="170"/>
    <x v="12"/>
    <x v="1"/>
    <x v="1"/>
    <x v="8"/>
    <n v="7"/>
    <n v="187.07"/>
    <n v="0.05"/>
    <x v="1665"/>
    <x v="1606"/>
    <x v="2"/>
  </r>
  <r>
    <x v="1683"/>
    <s v="2025-07-30"/>
    <x v="4"/>
    <x v="202"/>
    <x v="207"/>
    <x v="0"/>
    <x v="2"/>
    <x v="6"/>
    <n v="1"/>
    <n v="106.88"/>
    <n v="0.15"/>
    <x v="1666"/>
    <x v="1405"/>
    <x v="1"/>
  </r>
  <r>
    <x v="1684"/>
    <s v="2025-01-12"/>
    <x v="5"/>
    <x v="450"/>
    <x v="97"/>
    <x v="1"/>
    <x v="3"/>
    <x v="9"/>
    <n v="4"/>
    <n v="239.93"/>
    <n v="0.1"/>
    <x v="1667"/>
    <x v="1607"/>
    <x v="0"/>
  </r>
  <r>
    <x v="1685"/>
    <s v="2025-05-28"/>
    <x v="11"/>
    <x v="247"/>
    <x v="421"/>
    <x v="1"/>
    <x v="3"/>
    <x v="11"/>
    <n v="6"/>
    <n v="47.91"/>
    <n v="0"/>
    <x v="1668"/>
    <x v="1608"/>
    <x v="2"/>
  </r>
  <r>
    <x v="1686"/>
    <s v="2025-10-10"/>
    <x v="6"/>
    <x v="178"/>
    <x v="234"/>
    <x v="0"/>
    <x v="2"/>
    <x v="2"/>
    <n v="5"/>
    <n v="68.540000000000006"/>
    <n v="0.1"/>
    <x v="1669"/>
    <x v="1609"/>
    <x v="0"/>
  </r>
  <r>
    <x v="1687"/>
    <s v="2025-11-02"/>
    <x v="10"/>
    <x v="320"/>
    <x v="63"/>
    <x v="0"/>
    <x v="1"/>
    <x v="10"/>
    <n v="6"/>
    <n v="235.42"/>
    <n v="0.05"/>
    <x v="1670"/>
    <x v="1610"/>
    <x v="0"/>
  </r>
  <r>
    <x v="1688"/>
    <s v="2025-05-20"/>
    <x v="11"/>
    <x v="244"/>
    <x v="482"/>
    <x v="3"/>
    <x v="1"/>
    <x v="10"/>
    <n v="4"/>
    <n v="57.98"/>
    <n v="0.15"/>
    <x v="1"/>
    <x v="1611"/>
    <x v="1"/>
  </r>
  <r>
    <x v="1689"/>
    <s v="2025-02-19"/>
    <x v="8"/>
    <x v="438"/>
    <x v="98"/>
    <x v="3"/>
    <x v="2"/>
    <x v="2"/>
    <n v="6"/>
    <n v="65.11"/>
    <n v="0"/>
    <x v="1671"/>
    <x v="1612"/>
    <x v="2"/>
  </r>
  <r>
    <x v="1690"/>
    <s v="2025-08-08"/>
    <x v="0"/>
    <x v="428"/>
    <x v="195"/>
    <x v="3"/>
    <x v="2"/>
    <x v="6"/>
    <n v="1"/>
    <n v="182.04"/>
    <n v="0.05"/>
    <x v="1672"/>
    <x v="1613"/>
    <x v="2"/>
  </r>
  <r>
    <x v="1691"/>
    <s v="2025-07-04"/>
    <x v="4"/>
    <x v="31"/>
    <x v="316"/>
    <x v="0"/>
    <x v="1"/>
    <x v="1"/>
    <n v="7"/>
    <n v="111.89"/>
    <n v="0.05"/>
    <x v="1673"/>
    <x v="1614"/>
    <x v="2"/>
  </r>
  <r>
    <x v="1692"/>
    <s v="2025-09-19"/>
    <x v="1"/>
    <x v="183"/>
    <x v="18"/>
    <x v="4"/>
    <x v="3"/>
    <x v="12"/>
    <n v="4"/>
    <n v="165.42"/>
    <n v="0"/>
    <x v="1674"/>
    <x v="1615"/>
    <x v="2"/>
  </r>
  <r>
    <x v="1693"/>
    <s v="2025-06-20"/>
    <x v="2"/>
    <x v="59"/>
    <x v="279"/>
    <x v="1"/>
    <x v="3"/>
    <x v="12"/>
    <n v="8"/>
    <n v="52.25"/>
    <n v="0.05"/>
    <x v="1675"/>
    <x v="1616"/>
    <x v="0"/>
  </r>
  <r>
    <x v="1694"/>
    <s v="2025-05-26"/>
    <x v="11"/>
    <x v="479"/>
    <x v="79"/>
    <x v="0"/>
    <x v="1"/>
    <x v="8"/>
    <n v="7"/>
    <n v="200.77"/>
    <n v="0.15"/>
    <x v="1676"/>
    <x v="1617"/>
    <x v="1"/>
  </r>
  <r>
    <x v="1695"/>
    <s v="2025-02-26"/>
    <x v="8"/>
    <x v="366"/>
    <x v="107"/>
    <x v="1"/>
    <x v="2"/>
    <x v="2"/>
    <n v="2"/>
    <n v="48.09"/>
    <n v="0"/>
    <x v="1677"/>
    <x v="1618"/>
    <x v="1"/>
  </r>
  <r>
    <x v="1696"/>
    <s v="2025-01-24"/>
    <x v="5"/>
    <x v="340"/>
    <x v="441"/>
    <x v="0"/>
    <x v="2"/>
    <x v="4"/>
    <n v="7"/>
    <n v="187.65"/>
    <n v="0.15"/>
    <x v="1678"/>
    <x v="1619"/>
    <x v="1"/>
  </r>
  <r>
    <x v="1697"/>
    <s v="2025-08-14"/>
    <x v="0"/>
    <x v="431"/>
    <x v="177"/>
    <x v="2"/>
    <x v="0"/>
    <x v="3"/>
    <n v="1"/>
    <n v="149.47999999999999"/>
    <n v="0.15"/>
    <x v="1679"/>
    <x v="1620"/>
    <x v="1"/>
  </r>
  <r>
    <x v="1698"/>
    <s v="2025-10-20"/>
    <x v="6"/>
    <x v="107"/>
    <x v="254"/>
    <x v="4"/>
    <x v="0"/>
    <x v="7"/>
    <n v="6"/>
    <n v="90.63"/>
    <n v="0.15"/>
    <x v="1680"/>
    <x v="1621"/>
    <x v="1"/>
  </r>
  <r>
    <x v="1699"/>
    <s v="2025-02-12"/>
    <x v="8"/>
    <x v="58"/>
    <x v="76"/>
    <x v="0"/>
    <x v="3"/>
    <x v="11"/>
    <n v="8"/>
    <n v="100.93"/>
    <n v="0.05"/>
    <x v="1681"/>
    <x v="1622"/>
    <x v="1"/>
  </r>
  <r>
    <x v="1700"/>
    <s v="2025-10-02"/>
    <x v="6"/>
    <x v="320"/>
    <x v="116"/>
    <x v="2"/>
    <x v="2"/>
    <x v="5"/>
    <n v="1"/>
    <n v="193.34"/>
    <n v="0.1"/>
    <x v="1682"/>
    <x v="1623"/>
    <x v="2"/>
  </r>
  <r>
    <x v="1701"/>
    <s v="2025-02-05"/>
    <x v="8"/>
    <x v="480"/>
    <x v="295"/>
    <x v="4"/>
    <x v="2"/>
    <x v="5"/>
    <n v="5"/>
    <n v="161.27000000000001"/>
    <n v="0.15"/>
    <x v="1683"/>
    <x v="1624"/>
    <x v="0"/>
  </r>
  <r>
    <x v="1702"/>
    <s v="2025-10-30"/>
    <x v="6"/>
    <x v="233"/>
    <x v="78"/>
    <x v="3"/>
    <x v="2"/>
    <x v="6"/>
    <n v="8"/>
    <n v="171.14"/>
    <n v="0.05"/>
    <x v="1684"/>
    <x v="1625"/>
    <x v="1"/>
  </r>
  <r>
    <x v="1703"/>
    <s v="2025-04-09"/>
    <x v="9"/>
    <x v="20"/>
    <x v="340"/>
    <x v="1"/>
    <x v="0"/>
    <x v="3"/>
    <n v="4"/>
    <n v="244.16"/>
    <n v="0"/>
    <x v="1685"/>
    <x v="1626"/>
    <x v="1"/>
  </r>
  <r>
    <x v="1704"/>
    <s v="2025-08-29"/>
    <x v="0"/>
    <x v="229"/>
    <x v="273"/>
    <x v="2"/>
    <x v="0"/>
    <x v="3"/>
    <n v="7"/>
    <n v="121.95"/>
    <n v="0.05"/>
    <x v="1686"/>
    <x v="1627"/>
    <x v="2"/>
  </r>
  <r>
    <x v="1705"/>
    <s v="2025-09-30"/>
    <x v="1"/>
    <x v="388"/>
    <x v="357"/>
    <x v="3"/>
    <x v="0"/>
    <x v="0"/>
    <n v="6"/>
    <n v="15.01"/>
    <n v="0"/>
    <x v="1687"/>
    <x v="1628"/>
    <x v="1"/>
  </r>
  <r>
    <x v="1706"/>
    <s v="2025-06-02"/>
    <x v="2"/>
    <x v="27"/>
    <x v="407"/>
    <x v="0"/>
    <x v="1"/>
    <x v="1"/>
    <n v="1"/>
    <n v="223.54"/>
    <n v="0"/>
    <x v="1688"/>
    <x v="1629"/>
    <x v="2"/>
  </r>
  <r>
    <x v="1707"/>
    <s v="2025-09-05"/>
    <x v="1"/>
    <x v="200"/>
    <x v="112"/>
    <x v="0"/>
    <x v="2"/>
    <x v="2"/>
    <n v="3"/>
    <n v="144.08000000000001"/>
    <n v="0.05"/>
    <x v="1689"/>
    <x v="1630"/>
    <x v="1"/>
  </r>
  <r>
    <x v="1708"/>
    <s v="2025-04-22"/>
    <x v="9"/>
    <x v="296"/>
    <x v="414"/>
    <x v="1"/>
    <x v="2"/>
    <x v="2"/>
    <n v="3"/>
    <n v="137.09"/>
    <n v="0"/>
    <x v="1690"/>
    <x v="1631"/>
    <x v="2"/>
  </r>
  <r>
    <x v="1709"/>
    <s v="2025-10-06"/>
    <x v="6"/>
    <x v="302"/>
    <x v="99"/>
    <x v="1"/>
    <x v="3"/>
    <x v="11"/>
    <n v="7"/>
    <n v="74.06"/>
    <n v="0"/>
    <x v="1691"/>
    <x v="1632"/>
    <x v="0"/>
  </r>
  <r>
    <x v="1710"/>
    <s v="2025-07-26"/>
    <x v="4"/>
    <x v="383"/>
    <x v="106"/>
    <x v="0"/>
    <x v="2"/>
    <x v="2"/>
    <n v="8"/>
    <n v="204.38"/>
    <n v="0.15"/>
    <x v="1692"/>
    <x v="1633"/>
    <x v="0"/>
  </r>
  <r>
    <x v="1711"/>
    <s v="2025-04-19"/>
    <x v="9"/>
    <x v="149"/>
    <x v="313"/>
    <x v="0"/>
    <x v="2"/>
    <x v="4"/>
    <n v="4"/>
    <n v="80.14"/>
    <n v="0.05"/>
    <x v="1693"/>
    <x v="1634"/>
    <x v="1"/>
  </r>
  <r>
    <x v="1712"/>
    <s v="2025-05-04"/>
    <x v="11"/>
    <x v="56"/>
    <x v="369"/>
    <x v="0"/>
    <x v="2"/>
    <x v="5"/>
    <n v="4"/>
    <n v="37.700000000000003"/>
    <n v="0.1"/>
    <x v="1694"/>
    <x v="1635"/>
    <x v="0"/>
  </r>
  <r>
    <x v="1713"/>
    <s v="2025-11-03"/>
    <x v="10"/>
    <x v="253"/>
    <x v="480"/>
    <x v="3"/>
    <x v="0"/>
    <x v="3"/>
    <n v="3"/>
    <n v="22.83"/>
    <n v="0"/>
    <x v="1695"/>
    <x v="1636"/>
    <x v="2"/>
  </r>
  <r>
    <x v="1714"/>
    <s v="2025-11-17"/>
    <x v="10"/>
    <x v="100"/>
    <x v="235"/>
    <x v="0"/>
    <x v="0"/>
    <x v="0"/>
    <n v="7"/>
    <n v="175.28"/>
    <n v="0"/>
    <x v="1696"/>
    <x v="1637"/>
    <x v="1"/>
  </r>
  <r>
    <x v="1715"/>
    <s v="2025-08-18"/>
    <x v="0"/>
    <x v="242"/>
    <x v="26"/>
    <x v="3"/>
    <x v="1"/>
    <x v="8"/>
    <n v="7"/>
    <n v="174.07"/>
    <n v="0"/>
    <x v="1697"/>
    <x v="1638"/>
    <x v="0"/>
  </r>
  <r>
    <x v="1716"/>
    <s v="2025-02-02"/>
    <x v="8"/>
    <x v="269"/>
    <x v="384"/>
    <x v="3"/>
    <x v="0"/>
    <x v="7"/>
    <n v="1"/>
    <n v="220.4"/>
    <n v="0.15"/>
    <x v="1698"/>
    <x v="1639"/>
    <x v="0"/>
  </r>
  <r>
    <x v="1717"/>
    <s v="2025-07-23"/>
    <x v="4"/>
    <x v="451"/>
    <x v="12"/>
    <x v="2"/>
    <x v="0"/>
    <x v="3"/>
    <n v="4"/>
    <n v="159.84"/>
    <n v="0.1"/>
    <x v="1699"/>
    <x v="1640"/>
    <x v="1"/>
  </r>
  <r>
    <x v="1718"/>
    <s v="2025-11-27"/>
    <x v="10"/>
    <x v="272"/>
    <x v="146"/>
    <x v="1"/>
    <x v="2"/>
    <x v="5"/>
    <n v="3"/>
    <n v="14.24"/>
    <n v="0.05"/>
    <x v="1700"/>
    <x v="1641"/>
    <x v="2"/>
  </r>
  <r>
    <x v="1719"/>
    <s v="2025-01-27"/>
    <x v="5"/>
    <x v="175"/>
    <x v="110"/>
    <x v="2"/>
    <x v="3"/>
    <x v="12"/>
    <n v="7"/>
    <n v="194.69"/>
    <n v="0.15"/>
    <x v="1701"/>
    <x v="1642"/>
    <x v="0"/>
  </r>
  <r>
    <x v="1720"/>
    <s v="2025-12-27"/>
    <x v="3"/>
    <x v="231"/>
    <x v="238"/>
    <x v="3"/>
    <x v="1"/>
    <x v="10"/>
    <n v="2"/>
    <n v="197.91"/>
    <n v="0"/>
    <x v="1702"/>
    <x v="1643"/>
    <x v="1"/>
  </r>
  <r>
    <x v="1721"/>
    <s v="2025-11-02"/>
    <x v="10"/>
    <x v="138"/>
    <x v="137"/>
    <x v="0"/>
    <x v="1"/>
    <x v="1"/>
    <n v="1"/>
    <n v="246.19"/>
    <n v="0"/>
    <x v="1703"/>
    <x v="1644"/>
    <x v="2"/>
  </r>
  <r>
    <x v="1722"/>
    <s v="2025-11-14"/>
    <x v="10"/>
    <x v="338"/>
    <x v="143"/>
    <x v="0"/>
    <x v="2"/>
    <x v="4"/>
    <n v="2"/>
    <n v="141.91999999999999"/>
    <n v="0.05"/>
    <x v="1704"/>
    <x v="1645"/>
    <x v="0"/>
  </r>
  <r>
    <x v="1723"/>
    <s v="2025-11-14"/>
    <x v="10"/>
    <x v="13"/>
    <x v="43"/>
    <x v="4"/>
    <x v="0"/>
    <x v="3"/>
    <n v="8"/>
    <n v="163.38999999999999"/>
    <n v="0.1"/>
    <x v="1705"/>
    <x v="1646"/>
    <x v="1"/>
  </r>
  <r>
    <x v="1724"/>
    <s v="2025-01-21"/>
    <x v="5"/>
    <x v="198"/>
    <x v="84"/>
    <x v="0"/>
    <x v="0"/>
    <x v="0"/>
    <n v="8"/>
    <n v="59.75"/>
    <n v="0.15"/>
    <x v="1706"/>
    <x v="1647"/>
    <x v="2"/>
  </r>
  <r>
    <x v="1725"/>
    <s v="2025-12-15"/>
    <x v="3"/>
    <x v="389"/>
    <x v="300"/>
    <x v="2"/>
    <x v="0"/>
    <x v="7"/>
    <n v="5"/>
    <n v="60.03"/>
    <n v="0.1"/>
    <x v="1707"/>
    <x v="1648"/>
    <x v="0"/>
  </r>
  <r>
    <x v="1726"/>
    <s v="2025-01-22"/>
    <x v="5"/>
    <x v="481"/>
    <x v="331"/>
    <x v="1"/>
    <x v="3"/>
    <x v="9"/>
    <n v="2"/>
    <n v="75.489999999999995"/>
    <n v="0"/>
    <x v="1708"/>
    <x v="1649"/>
    <x v="1"/>
  </r>
  <r>
    <x v="1727"/>
    <s v="2025-02-14"/>
    <x v="8"/>
    <x v="482"/>
    <x v="97"/>
    <x v="3"/>
    <x v="1"/>
    <x v="10"/>
    <n v="2"/>
    <n v="205.7"/>
    <n v="0"/>
    <x v="1709"/>
    <x v="1650"/>
    <x v="2"/>
  </r>
  <r>
    <x v="1728"/>
    <s v="2025-08-03"/>
    <x v="0"/>
    <x v="286"/>
    <x v="189"/>
    <x v="3"/>
    <x v="3"/>
    <x v="9"/>
    <n v="6"/>
    <n v="23.2"/>
    <n v="0.05"/>
    <x v="1710"/>
    <x v="1651"/>
    <x v="0"/>
  </r>
  <r>
    <x v="1729"/>
    <s v="2025-07-10"/>
    <x v="4"/>
    <x v="142"/>
    <x v="400"/>
    <x v="0"/>
    <x v="3"/>
    <x v="12"/>
    <n v="6"/>
    <n v="166.5"/>
    <n v="0.15"/>
    <x v="1711"/>
    <x v="1652"/>
    <x v="0"/>
  </r>
  <r>
    <x v="1730"/>
    <s v="2025-10-07"/>
    <x v="6"/>
    <x v="93"/>
    <x v="54"/>
    <x v="1"/>
    <x v="3"/>
    <x v="12"/>
    <n v="1"/>
    <n v="167.94"/>
    <n v="0.15"/>
    <x v="1712"/>
    <x v="1653"/>
    <x v="1"/>
  </r>
  <r>
    <x v="1731"/>
    <s v="2025-07-08"/>
    <x v="4"/>
    <x v="174"/>
    <x v="144"/>
    <x v="3"/>
    <x v="3"/>
    <x v="9"/>
    <n v="2"/>
    <n v="69.09"/>
    <n v="0.1"/>
    <x v="1713"/>
    <x v="1654"/>
    <x v="1"/>
  </r>
  <r>
    <x v="1732"/>
    <s v="2025-09-12"/>
    <x v="1"/>
    <x v="233"/>
    <x v="221"/>
    <x v="1"/>
    <x v="1"/>
    <x v="8"/>
    <n v="1"/>
    <n v="76.540000000000006"/>
    <n v="0.15"/>
    <x v="1714"/>
    <x v="1655"/>
    <x v="1"/>
  </r>
  <r>
    <x v="1733"/>
    <s v="2025-11-30"/>
    <x v="10"/>
    <x v="216"/>
    <x v="276"/>
    <x v="3"/>
    <x v="1"/>
    <x v="1"/>
    <n v="6"/>
    <n v="61.24"/>
    <n v="0.15"/>
    <x v="1715"/>
    <x v="1557"/>
    <x v="2"/>
  </r>
  <r>
    <x v="1734"/>
    <s v="2025-02-07"/>
    <x v="8"/>
    <x v="130"/>
    <x v="247"/>
    <x v="2"/>
    <x v="1"/>
    <x v="8"/>
    <n v="6"/>
    <n v="147.38999999999999"/>
    <n v="0"/>
    <x v="1716"/>
    <x v="1656"/>
    <x v="2"/>
  </r>
  <r>
    <x v="1735"/>
    <s v="2025-05-12"/>
    <x v="11"/>
    <x v="411"/>
    <x v="214"/>
    <x v="3"/>
    <x v="3"/>
    <x v="9"/>
    <n v="5"/>
    <n v="73.16"/>
    <n v="0.05"/>
    <x v="1717"/>
    <x v="1657"/>
    <x v="0"/>
  </r>
  <r>
    <x v="1736"/>
    <s v="2025-01-28"/>
    <x v="5"/>
    <x v="288"/>
    <x v="45"/>
    <x v="0"/>
    <x v="0"/>
    <x v="3"/>
    <n v="8"/>
    <n v="101.9"/>
    <n v="0"/>
    <x v="1718"/>
    <x v="1658"/>
    <x v="0"/>
  </r>
  <r>
    <x v="1737"/>
    <s v="2025-04-19"/>
    <x v="9"/>
    <x v="82"/>
    <x v="111"/>
    <x v="3"/>
    <x v="1"/>
    <x v="10"/>
    <n v="2"/>
    <n v="95.71"/>
    <n v="0.05"/>
    <x v="1719"/>
    <x v="1659"/>
    <x v="0"/>
  </r>
  <r>
    <x v="1738"/>
    <s v="2025-02-11"/>
    <x v="8"/>
    <x v="6"/>
    <x v="194"/>
    <x v="0"/>
    <x v="2"/>
    <x v="5"/>
    <n v="7"/>
    <n v="178.62"/>
    <n v="0.05"/>
    <x v="1720"/>
    <x v="1660"/>
    <x v="0"/>
  </r>
  <r>
    <x v="1739"/>
    <s v="2025-08-21"/>
    <x v="0"/>
    <x v="137"/>
    <x v="368"/>
    <x v="0"/>
    <x v="2"/>
    <x v="5"/>
    <n v="3"/>
    <n v="41.2"/>
    <n v="0.1"/>
    <x v="1721"/>
    <x v="1661"/>
    <x v="2"/>
  </r>
  <r>
    <x v="1740"/>
    <s v="2025-11-02"/>
    <x v="10"/>
    <x v="268"/>
    <x v="356"/>
    <x v="4"/>
    <x v="1"/>
    <x v="8"/>
    <n v="1"/>
    <n v="67.2"/>
    <n v="0"/>
    <x v="1722"/>
    <x v="1662"/>
    <x v="1"/>
  </r>
  <r>
    <x v="1741"/>
    <s v="2025-06-20"/>
    <x v="2"/>
    <x v="235"/>
    <x v="433"/>
    <x v="4"/>
    <x v="1"/>
    <x v="10"/>
    <n v="2"/>
    <n v="133.81"/>
    <n v="0.05"/>
    <x v="1723"/>
    <x v="1663"/>
    <x v="1"/>
  </r>
  <r>
    <x v="1742"/>
    <s v="2025-01-14"/>
    <x v="5"/>
    <x v="316"/>
    <x v="213"/>
    <x v="3"/>
    <x v="2"/>
    <x v="5"/>
    <n v="5"/>
    <n v="84.21"/>
    <n v="0.15"/>
    <x v="1724"/>
    <x v="1664"/>
    <x v="2"/>
  </r>
  <r>
    <x v="1743"/>
    <s v="2025-01-22"/>
    <x v="5"/>
    <x v="33"/>
    <x v="63"/>
    <x v="1"/>
    <x v="1"/>
    <x v="8"/>
    <n v="8"/>
    <n v="44.96"/>
    <n v="0.1"/>
    <x v="1725"/>
    <x v="1665"/>
    <x v="1"/>
  </r>
  <r>
    <x v="1744"/>
    <s v="2025-09-26"/>
    <x v="1"/>
    <x v="155"/>
    <x v="128"/>
    <x v="3"/>
    <x v="2"/>
    <x v="4"/>
    <n v="2"/>
    <n v="64.680000000000007"/>
    <n v="0.15"/>
    <x v="1726"/>
    <x v="1666"/>
    <x v="1"/>
  </r>
  <r>
    <x v="1745"/>
    <s v="2025-01-20"/>
    <x v="5"/>
    <x v="254"/>
    <x v="483"/>
    <x v="1"/>
    <x v="3"/>
    <x v="12"/>
    <n v="5"/>
    <n v="50.82"/>
    <n v="0.1"/>
    <x v="1727"/>
    <x v="1667"/>
    <x v="2"/>
  </r>
  <r>
    <x v="1746"/>
    <s v="2025-06-28"/>
    <x v="2"/>
    <x v="364"/>
    <x v="446"/>
    <x v="2"/>
    <x v="0"/>
    <x v="0"/>
    <n v="2"/>
    <n v="185.56"/>
    <n v="0.15"/>
    <x v="1728"/>
    <x v="1668"/>
    <x v="2"/>
  </r>
  <r>
    <x v="1747"/>
    <s v="2025-07-12"/>
    <x v="4"/>
    <x v="203"/>
    <x v="15"/>
    <x v="3"/>
    <x v="1"/>
    <x v="10"/>
    <n v="7"/>
    <n v="84.59"/>
    <n v="0.05"/>
    <x v="1729"/>
    <x v="1669"/>
    <x v="0"/>
  </r>
  <r>
    <x v="1748"/>
    <s v="2025-03-01"/>
    <x v="7"/>
    <x v="112"/>
    <x v="323"/>
    <x v="4"/>
    <x v="1"/>
    <x v="8"/>
    <n v="1"/>
    <n v="246.18"/>
    <n v="0.1"/>
    <x v="1730"/>
    <x v="1670"/>
    <x v="0"/>
  </r>
  <r>
    <x v="1749"/>
    <s v="2025-10-24"/>
    <x v="6"/>
    <x v="282"/>
    <x v="371"/>
    <x v="3"/>
    <x v="2"/>
    <x v="4"/>
    <n v="2"/>
    <n v="61.03"/>
    <n v="0.1"/>
    <x v="1731"/>
    <x v="1671"/>
    <x v="2"/>
  </r>
  <r>
    <x v="1750"/>
    <s v="2025-09-27"/>
    <x v="1"/>
    <x v="148"/>
    <x v="349"/>
    <x v="1"/>
    <x v="1"/>
    <x v="10"/>
    <n v="2"/>
    <n v="51.09"/>
    <n v="0"/>
    <x v="1732"/>
    <x v="1672"/>
    <x v="0"/>
  </r>
  <r>
    <x v="1751"/>
    <s v="2025-08-25"/>
    <x v="0"/>
    <x v="478"/>
    <x v="45"/>
    <x v="4"/>
    <x v="0"/>
    <x v="0"/>
    <n v="1"/>
    <n v="137.13999999999999"/>
    <n v="0"/>
    <x v="1733"/>
    <x v="1673"/>
    <x v="1"/>
  </r>
  <r>
    <x v="1752"/>
    <s v="2025-05-26"/>
    <x v="11"/>
    <x v="171"/>
    <x v="163"/>
    <x v="4"/>
    <x v="1"/>
    <x v="10"/>
    <n v="1"/>
    <n v="65.2"/>
    <n v="0.15"/>
    <x v="1734"/>
    <x v="1674"/>
    <x v="2"/>
  </r>
  <r>
    <x v="1753"/>
    <s v="2025-11-23"/>
    <x v="10"/>
    <x v="374"/>
    <x v="237"/>
    <x v="3"/>
    <x v="0"/>
    <x v="0"/>
    <n v="2"/>
    <n v="35.08"/>
    <n v="0"/>
    <x v="1735"/>
    <x v="1675"/>
    <x v="2"/>
  </r>
  <r>
    <x v="1754"/>
    <s v="2025-12-14"/>
    <x v="3"/>
    <x v="182"/>
    <x v="182"/>
    <x v="1"/>
    <x v="3"/>
    <x v="12"/>
    <n v="5"/>
    <n v="148.07"/>
    <n v="0"/>
    <x v="1736"/>
    <x v="1676"/>
    <x v="2"/>
  </r>
  <r>
    <x v="1755"/>
    <s v="2025-04-26"/>
    <x v="9"/>
    <x v="324"/>
    <x v="384"/>
    <x v="4"/>
    <x v="0"/>
    <x v="3"/>
    <n v="6"/>
    <n v="59.87"/>
    <n v="0.1"/>
    <x v="1737"/>
    <x v="1677"/>
    <x v="2"/>
  </r>
  <r>
    <x v="1756"/>
    <s v="2025-11-13"/>
    <x v="10"/>
    <x v="19"/>
    <x v="96"/>
    <x v="3"/>
    <x v="2"/>
    <x v="5"/>
    <n v="1"/>
    <n v="163.78"/>
    <n v="0.05"/>
    <x v="1738"/>
    <x v="1678"/>
    <x v="2"/>
  </r>
  <r>
    <x v="1757"/>
    <s v="2025-05-11"/>
    <x v="11"/>
    <x v="113"/>
    <x v="232"/>
    <x v="4"/>
    <x v="3"/>
    <x v="12"/>
    <n v="7"/>
    <n v="78.84"/>
    <n v="0.1"/>
    <x v="1739"/>
    <x v="1679"/>
    <x v="1"/>
  </r>
  <r>
    <x v="1758"/>
    <s v="2025-06-23"/>
    <x v="2"/>
    <x v="406"/>
    <x v="348"/>
    <x v="0"/>
    <x v="0"/>
    <x v="3"/>
    <n v="8"/>
    <n v="76.23"/>
    <n v="0.05"/>
    <x v="1740"/>
    <x v="1680"/>
    <x v="1"/>
  </r>
  <r>
    <x v="1759"/>
    <s v="2025-08-06"/>
    <x v="0"/>
    <x v="312"/>
    <x v="484"/>
    <x v="2"/>
    <x v="2"/>
    <x v="6"/>
    <n v="2"/>
    <n v="56.15"/>
    <n v="0"/>
    <x v="1741"/>
    <x v="1681"/>
    <x v="1"/>
  </r>
  <r>
    <x v="1760"/>
    <s v="2025-10-18"/>
    <x v="6"/>
    <x v="124"/>
    <x v="379"/>
    <x v="0"/>
    <x v="2"/>
    <x v="6"/>
    <n v="1"/>
    <n v="110.81"/>
    <n v="0.1"/>
    <x v="1742"/>
    <x v="1682"/>
    <x v="0"/>
  </r>
  <r>
    <x v="1761"/>
    <s v="2025-03-19"/>
    <x v="7"/>
    <x v="407"/>
    <x v="396"/>
    <x v="1"/>
    <x v="1"/>
    <x v="8"/>
    <n v="2"/>
    <n v="48.84"/>
    <n v="0"/>
    <x v="1743"/>
    <x v="1683"/>
    <x v="1"/>
  </r>
  <r>
    <x v="1762"/>
    <s v="2025-01-07"/>
    <x v="5"/>
    <x v="199"/>
    <x v="246"/>
    <x v="4"/>
    <x v="0"/>
    <x v="7"/>
    <n v="7"/>
    <n v="39.869999999999997"/>
    <n v="0.05"/>
    <x v="1744"/>
    <x v="1684"/>
    <x v="2"/>
  </r>
  <r>
    <x v="1763"/>
    <s v="2025-02-26"/>
    <x v="8"/>
    <x v="472"/>
    <x v="178"/>
    <x v="2"/>
    <x v="0"/>
    <x v="0"/>
    <n v="8"/>
    <n v="49.06"/>
    <n v="0.1"/>
    <x v="1745"/>
    <x v="1685"/>
    <x v="2"/>
  </r>
  <r>
    <x v="1764"/>
    <s v="2025-02-26"/>
    <x v="8"/>
    <x v="2"/>
    <x v="365"/>
    <x v="0"/>
    <x v="2"/>
    <x v="5"/>
    <n v="3"/>
    <n v="134.63999999999999"/>
    <n v="0.15"/>
    <x v="1746"/>
    <x v="1686"/>
    <x v="1"/>
  </r>
  <r>
    <x v="1765"/>
    <s v="2025-10-09"/>
    <x v="6"/>
    <x v="483"/>
    <x v="178"/>
    <x v="1"/>
    <x v="3"/>
    <x v="9"/>
    <n v="1"/>
    <n v="242.91"/>
    <n v="0.05"/>
    <x v="1747"/>
    <x v="1687"/>
    <x v="1"/>
  </r>
  <r>
    <x v="1766"/>
    <s v="2025-10-27"/>
    <x v="6"/>
    <x v="479"/>
    <x v="137"/>
    <x v="4"/>
    <x v="2"/>
    <x v="6"/>
    <n v="5"/>
    <n v="136.15"/>
    <n v="0"/>
    <x v="1748"/>
    <x v="1688"/>
    <x v="1"/>
  </r>
  <r>
    <x v="1767"/>
    <s v="2025-05-23"/>
    <x v="11"/>
    <x v="73"/>
    <x v="102"/>
    <x v="4"/>
    <x v="0"/>
    <x v="7"/>
    <n v="4"/>
    <n v="92.7"/>
    <n v="0.15"/>
    <x v="1749"/>
    <x v="1689"/>
    <x v="0"/>
  </r>
  <r>
    <x v="1768"/>
    <s v="2025-07-15"/>
    <x v="4"/>
    <x v="284"/>
    <x v="224"/>
    <x v="4"/>
    <x v="3"/>
    <x v="9"/>
    <n v="7"/>
    <n v="153.13"/>
    <n v="0"/>
    <x v="1750"/>
    <x v="292"/>
    <x v="2"/>
  </r>
  <r>
    <x v="1769"/>
    <s v="2025-12-26"/>
    <x v="3"/>
    <x v="91"/>
    <x v="479"/>
    <x v="3"/>
    <x v="2"/>
    <x v="6"/>
    <n v="3"/>
    <n v="76.41"/>
    <n v="0.1"/>
    <x v="1751"/>
    <x v="1690"/>
    <x v="1"/>
  </r>
  <r>
    <x v="1770"/>
    <s v="2025-12-01"/>
    <x v="3"/>
    <x v="463"/>
    <x v="57"/>
    <x v="0"/>
    <x v="1"/>
    <x v="10"/>
    <n v="3"/>
    <n v="60.76"/>
    <n v="0.15"/>
    <x v="1752"/>
    <x v="1691"/>
    <x v="2"/>
  </r>
  <r>
    <x v="1771"/>
    <s v="2025-11-02"/>
    <x v="10"/>
    <x v="98"/>
    <x v="485"/>
    <x v="3"/>
    <x v="1"/>
    <x v="10"/>
    <n v="5"/>
    <n v="134.37"/>
    <n v="0"/>
    <x v="1753"/>
    <x v="1692"/>
    <x v="2"/>
  </r>
  <r>
    <x v="1772"/>
    <s v="2025-03-27"/>
    <x v="7"/>
    <x v="484"/>
    <x v="138"/>
    <x v="4"/>
    <x v="1"/>
    <x v="1"/>
    <n v="8"/>
    <n v="59.7"/>
    <n v="0"/>
    <x v="1754"/>
    <x v="1693"/>
    <x v="1"/>
  </r>
  <r>
    <x v="1773"/>
    <s v="2025-09-21"/>
    <x v="1"/>
    <x v="382"/>
    <x v="272"/>
    <x v="4"/>
    <x v="0"/>
    <x v="7"/>
    <n v="3"/>
    <n v="178.41"/>
    <n v="0.05"/>
    <x v="1755"/>
    <x v="1694"/>
    <x v="1"/>
  </r>
  <r>
    <x v="1774"/>
    <s v="2025-09-01"/>
    <x v="1"/>
    <x v="19"/>
    <x v="452"/>
    <x v="4"/>
    <x v="2"/>
    <x v="4"/>
    <n v="1"/>
    <n v="10.37"/>
    <n v="0.1"/>
    <x v="1756"/>
    <x v="1695"/>
    <x v="1"/>
  </r>
  <r>
    <x v="1775"/>
    <s v="2025-05-23"/>
    <x v="11"/>
    <x v="216"/>
    <x v="163"/>
    <x v="2"/>
    <x v="3"/>
    <x v="9"/>
    <n v="2"/>
    <n v="69.22"/>
    <n v="0.15"/>
    <x v="1757"/>
    <x v="1696"/>
    <x v="0"/>
  </r>
  <r>
    <x v="1776"/>
    <s v="2025-09-27"/>
    <x v="1"/>
    <x v="310"/>
    <x v="340"/>
    <x v="0"/>
    <x v="0"/>
    <x v="3"/>
    <n v="7"/>
    <n v="181.09"/>
    <n v="0.1"/>
    <x v="1758"/>
    <x v="1697"/>
    <x v="0"/>
  </r>
  <r>
    <x v="1777"/>
    <s v="2025-08-11"/>
    <x v="0"/>
    <x v="32"/>
    <x v="53"/>
    <x v="4"/>
    <x v="3"/>
    <x v="11"/>
    <n v="5"/>
    <n v="167.13"/>
    <n v="0.05"/>
    <x v="1759"/>
    <x v="1698"/>
    <x v="0"/>
  </r>
  <r>
    <x v="1778"/>
    <s v="2025-07-01"/>
    <x v="4"/>
    <x v="227"/>
    <x v="120"/>
    <x v="0"/>
    <x v="3"/>
    <x v="12"/>
    <n v="5"/>
    <n v="109.5"/>
    <n v="0"/>
    <x v="1760"/>
    <x v="891"/>
    <x v="0"/>
  </r>
  <r>
    <x v="1779"/>
    <s v="2025-12-11"/>
    <x v="3"/>
    <x v="79"/>
    <x v="219"/>
    <x v="3"/>
    <x v="3"/>
    <x v="11"/>
    <n v="5"/>
    <n v="130.16999999999999"/>
    <n v="0.15"/>
    <x v="1761"/>
    <x v="1699"/>
    <x v="0"/>
  </r>
  <r>
    <x v="1780"/>
    <s v="2025-05-29"/>
    <x v="11"/>
    <x v="6"/>
    <x v="302"/>
    <x v="4"/>
    <x v="2"/>
    <x v="4"/>
    <n v="8"/>
    <n v="236.47"/>
    <n v="0.05"/>
    <x v="1762"/>
    <x v="1700"/>
    <x v="0"/>
  </r>
  <r>
    <x v="1781"/>
    <s v="2025-09-26"/>
    <x v="1"/>
    <x v="246"/>
    <x v="28"/>
    <x v="0"/>
    <x v="0"/>
    <x v="3"/>
    <n v="7"/>
    <n v="190.11"/>
    <n v="0.05"/>
    <x v="1763"/>
    <x v="1701"/>
    <x v="2"/>
  </r>
  <r>
    <x v="1782"/>
    <s v="2025-01-27"/>
    <x v="5"/>
    <x v="79"/>
    <x v="208"/>
    <x v="3"/>
    <x v="0"/>
    <x v="7"/>
    <n v="3"/>
    <n v="69.569999999999993"/>
    <n v="0.05"/>
    <x v="1764"/>
    <x v="1702"/>
    <x v="0"/>
  </r>
  <r>
    <x v="1783"/>
    <s v="2025-03-14"/>
    <x v="7"/>
    <x v="160"/>
    <x v="388"/>
    <x v="1"/>
    <x v="2"/>
    <x v="2"/>
    <n v="6"/>
    <n v="200.68"/>
    <n v="0.1"/>
    <x v="1765"/>
    <x v="1703"/>
    <x v="1"/>
  </r>
  <r>
    <x v="1784"/>
    <s v="2025-12-19"/>
    <x v="3"/>
    <x v="362"/>
    <x v="179"/>
    <x v="4"/>
    <x v="3"/>
    <x v="11"/>
    <n v="5"/>
    <n v="136.19999999999999"/>
    <n v="0.15"/>
    <x v="1766"/>
    <x v="1453"/>
    <x v="2"/>
  </r>
  <r>
    <x v="1785"/>
    <s v="2025-01-07"/>
    <x v="5"/>
    <x v="148"/>
    <x v="142"/>
    <x v="0"/>
    <x v="3"/>
    <x v="9"/>
    <n v="3"/>
    <n v="52.93"/>
    <n v="0.1"/>
    <x v="1767"/>
    <x v="1704"/>
    <x v="0"/>
  </r>
  <r>
    <x v="1786"/>
    <s v="2025-10-26"/>
    <x v="6"/>
    <x v="248"/>
    <x v="90"/>
    <x v="3"/>
    <x v="1"/>
    <x v="10"/>
    <n v="7"/>
    <n v="119.53"/>
    <n v="0.1"/>
    <x v="1768"/>
    <x v="1705"/>
    <x v="2"/>
  </r>
  <r>
    <x v="1787"/>
    <s v="2025-05-19"/>
    <x v="11"/>
    <x v="214"/>
    <x v="334"/>
    <x v="1"/>
    <x v="1"/>
    <x v="8"/>
    <n v="6"/>
    <n v="24.81"/>
    <n v="0.05"/>
    <x v="1769"/>
    <x v="1706"/>
    <x v="1"/>
  </r>
  <r>
    <x v="1788"/>
    <s v="2025-02-14"/>
    <x v="8"/>
    <x v="293"/>
    <x v="62"/>
    <x v="4"/>
    <x v="2"/>
    <x v="5"/>
    <n v="6"/>
    <n v="40.54"/>
    <n v="0.05"/>
    <x v="1770"/>
    <x v="1707"/>
    <x v="1"/>
  </r>
  <r>
    <x v="1789"/>
    <s v="2025-12-13"/>
    <x v="3"/>
    <x v="217"/>
    <x v="486"/>
    <x v="2"/>
    <x v="1"/>
    <x v="8"/>
    <n v="3"/>
    <n v="237.62"/>
    <n v="0.05"/>
    <x v="1771"/>
    <x v="1708"/>
    <x v="1"/>
  </r>
  <r>
    <x v="1790"/>
    <s v="2025-12-17"/>
    <x v="3"/>
    <x v="485"/>
    <x v="324"/>
    <x v="1"/>
    <x v="3"/>
    <x v="9"/>
    <n v="3"/>
    <n v="120.36"/>
    <n v="0.1"/>
    <x v="1772"/>
    <x v="1709"/>
    <x v="1"/>
  </r>
  <r>
    <x v="1791"/>
    <s v="2025-07-22"/>
    <x v="4"/>
    <x v="125"/>
    <x v="309"/>
    <x v="1"/>
    <x v="3"/>
    <x v="12"/>
    <n v="3"/>
    <n v="166.64"/>
    <n v="0.15"/>
    <x v="1773"/>
    <x v="1710"/>
    <x v="1"/>
  </r>
  <r>
    <x v="1792"/>
    <s v="2025-12-20"/>
    <x v="3"/>
    <x v="425"/>
    <x v="293"/>
    <x v="2"/>
    <x v="3"/>
    <x v="9"/>
    <n v="4"/>
    <n v="87.61"/>
    <n v="0"/>
    <x v="1774"/>
    <x v="1711"/>
    <x v="1"/>
  </r>
  <r>
    <x v="1793"/>
    <s v="2025-02-18"/>
    <x v="8"/>
    <x v="466"/>
    <x v="225"/>
    <x v="0"/>
    <x v="2"/>
    <x v="5"/>
    <n v="6"/>
    <n v="69.63"/>
    <n v="0.1"/>
    <x v="1775"/>
    <x v="1712"/>
    <x v="0"/>
  </r>
  <r>
    <x v="1794"/>
    <s v="2025-04-29"/>
    <x v="9"/>
    <x v="88"/>
    <x v="56"/>
    <x v="4"/>
    <x v="2"/>
    <x v="4"/>
    <n v="8"/>
    <n v="93.48"/>
    <n v="0"/>
    <x v="1776"/>
    <x v="1713"/>
    <x v="2"/>
  </r>
  <r>
    <x v="1795"/>
    <s v="2025-04-26"/>
    <x v="9"/>
    <x v="285"/>
    <x v="487"/>
    <x v="4"/>
    <x v="2"/>
    <x v="5"/>
    <n v="8"/>
    <n v="109.55"/>
    <n v="0.1"/>
    <x v="1777"/>
    <x v="822"/>
    <x v="1"/>
  </r>
  <r>
    <x v="1796"/>
    <s v="2025-02-09"/>
    <x v="8"/>
    <x v="183"/>
    <x v="382"/>
    <x v="4"/>
    <x v="0"/>
    <x v="0"/>
    <n v="8"/>
    <n v="232.08"/>
    <n v="0.1"/>
    <x v="1778"/>
    <x v="1714"/>
    <x v="1"/>
  </r>
  <r>
    <x v="1797"/>
    <s v="2025-03-28"/>
    <x v="7"/>
    <x v="332"/>
    <x v="185"/>
    <x v="0"/>
    <x v="0"/>
    <x v="0"/>
    <n v="2"/>
    <n v="215.58"/>
    <n v="0.1"/>
    <x v="1779"/>
    <x v="1715"/>
    <x v="0"/>
  </r>
  <r>
    <x v="1798"/>
    <s v="2025-05-14"/>
    <x v="11"/>
    <x v="179"/>
    <x v="43"/>
    <x v="3"/>
    <x v="3"/>
    <x v="12"/>
    <n v="1"/>
    <n v="96.62"/>
    <n v="0.05"/>
    <x v="1780"/>
    <x v="1716"/>
    <x v="1"/>
  </r>
  <r>
    <x v="1799"/>
    <s v="2025-09-28"/>
    <x v="1"/>
    <x v="410"/>
    <x v="175"/>
    <x v="2"/>
    <x v="0"/>
    <x v="7"/>
    <n v="3"/>
    <n v="81.63"/>
    <n v="0.1"/>
    <x v="1781"/>
    <x v="651"/>
    <x v="2"/>
  </r>
  <r>
    <x v="1800"/>
    <s v="2025-08-14"/>
    <x v="0"/>
    <x v="306"/>
    <x v="157"/>
    <x v="1"/>
    <x v="0"/>
    <x v="0"/>
    <n v="8"/>
    <n v="183.85"/>
    <n v="0"/>
    <x v="1782"/>
    <x v="1717"/>
    <x v="0"/>
  </r>
  <r>
    <x v="1801"/>
    <s v="2025-03-22"/>
    <x v="7"/>
    <x v="58"/>
    <x v="38"/>
    <x v="1"/>
    <x v="3"/>
    <x v="9"/>
    <n v="4"/>
    <n v="22.37"/>
    <n v="0.15"/>
    <x v="1783"/>
    <x v="1718"/>
    <x v="0"/>
  </r>
  <r>
    <x v="1802"/>
    <s v="2025-10-16"/>
    <x v="6"/>
    <x v="352"/>
    <x v="310"/>
    <x v="3"/>
    <x v="2"/>
    <x v="4"/>
    <n v="5"/>
    <n v="34.49"/>
    <n v="0"/>
    <x v="1784"/>
    <x v="1719"/>
    <x v="2"/>
  </r>
  <r>
    <x v="1803"/>
    <s v="2025-09-24"/>
    <x v="1"/>
    <x v="152"/>
    <x v="203"/>
    <x v="3"/>
    <x v="2"/>
    <x v="6"/>
    <n v="6"/>
    <n v="165.36"/>
    <n v="0.15"/>
    <x v="1785"/>
    <x v="1720"/>
    <x v="1"/>
  </r>
  <r>
    <x v="1804"/>
    <s v="2025-06-23"/>
    <x v="2"/>
    <x v="342"/>
    <x v="154"/>
    <x v="4"/>
    <x v="1"/>
    <x v="10"/>
    <n v="5"/>
    <n v="195.53"/>
    <n v="0.05"/>
    <x v="1353"/>
    <x v="1721"/>
    <x v="0"/>
  </r>
  <r>
    <x v="1805"/>
    <s v="2025-04-16"/>
    <x v="9"/>
    <x v="18"/>
    <x v="314"/>
    <x v="0"/>
    <x v="1"/>
    <x v="8"/>
    <n v="3"/>
    <n v="207.93"/>
    <n v="0.05"/>
    <x v="1786"/>
    <x v="386"/>
    <x v="0"/>
  </r>
  <r>
    <x v="1806"/>
    <s v="2025-09-13"/>
    <x v="1"/>
    <x v="193"/>
    <x v="382"/>
    <x v="0"/>
    <x v="1"/>
    <x v="10"/>
    <n v="3"/>
    <n v="178.43"/>
    <n v="0.1"/>
    <x v="1787"/>
    <x v="1722"/>
    <x v="2"/>
  </r>
  <r>
    <x v="1807"/>
    <s v="2025-01-22"/>
    <x v="5"/>
    <x v="453"/>
    <x v="237"/>
    <x v="3"/>
    <x v="1"/>
    <x v="10"/>
    <n v="6"/>
    <n v="157.36000000000001"/>
    <n v="0.1"/>
    <x v="1788"/>
    <x v="1723"/>
    <x v="0"/>
  </r>
  <r>
    <x v="1808"/>
    <s v="2025-07-10"/>
    <x v="4"/>
    <x v="77"/>
    <x v="112"/>
    <x v="4"/>
    <x v="2"/>
    <x v="5"/>
    <n v="6"/>
    <n v="35.590000000000003"/>
    <n v="0.15"/>
    <x v="1789"/>
    <x v="1724"/>
    <x v="0"/>
  </r>
  <r>
    <x v="1809"/>
    <s v="2025-03-29"/>
    <x v="7"/>
    <x v="52"/>
    <x v="234"/>
    <x v="4"/>
    <x v="1"/>
    <x v="10"/>
    <n v="4"/>
    <n v="122.88"/>
    <n v="0.05"/>
    <x v="1790"/>
    <x v="1725"/>
    <x v="0"/>
  </r>
  <r>
    <x v="1810"/>
    <s v="2025-08-13"/>
    <x v="0"/>
    <x v="457"/>
    <x v="181"/>
    <x v="4"/>
    <x v="2"/>
    <x v="2"/>
    <n v="3"/>
    <n v="46.23"/>
    <n v="0.1"/>
    <x v="1791"/>
    <x v="1726"/>
    <x v="1"/>
  </r>
  <r>
    <x v="1811"/>
    <s v="2025-05-27"/>
    <x v="11"/>
    <x v="413"/>
    <x v="147"/>
    <x v="2"/>
    <x v="2"/>
    <x v="2"/>
    <n v="6"/>
    <n v="146.41"/>
    <n v="0.1"/>
    <x v="1792"/>
    <x v="1727"/>
    <x v="1"/>
  </r>
  <r>
    <x v="1812"/>
    <s v="2025-05-16"/>
    <x v="11"/>
    <x v="226"/>
    <x v="150"/>
    <x v="0"/>
    <x v="1"/>
    <x v="10"/>
    <n v="1"/>
    <n v="23.99"/>
    <n v="0.1"/>
    <x v="1793"/>
    <x v="1728"/>
    <x v="0"/>
  </r>
  <r>
    <x v="1813"/>
    <s v="2025-02-26"/>
    <x v="8"/>
    <x v="97"/>
    <x v="102"/>
    <x v="4"/>
    <x v="0"/>
    <x v="7"/>
    <n v="3"/>
    <n v="194.32"/>
    <n v="0"/>
    <x v="1794"/>
    <x v="1729"/>
    <x v="1"/>
  </r>
  <r>
    <x v="1814"/>
    <s v="2025-11-19"/>
    <x v="10"/>
    <x v="81"/>
    <x v="352"/>
    <x v="0"/>
    <x v="0"/>
    <x v="7"/>
    <n v="1"/>
    <n v="241.79"/>
    <n v="0.05"/>
    <x v="1795"/>
    <x v="1730"/>
    <x v="2"/>
  </r>
  <r>
    <x v="1815"/>
    <s v="2025-08-12"/>
    <x v="0"/>
    <x v="62"/>
    <x v="136"/>
    <x v="1"/>
    <x v="2"/>
    <x v="2"/>
    <n v="5"/>
    <n v="77.650000000000006"/>
    <n v="0.15"/>
    <x v="1796"/>
    <x v="1731"/>
    <x v="1"/>
  </r>
  <r>
    <x v="1816"/>
    <s v="2025-10-28"/>
    <x v="6"/>
    <x v="474"/>
    <x v="13"/>
    <x v="1"/>
    <x v="2"/>
    <x v="2"/>
    <n v="8"/>
    <n v="25.25"/>
    <n v="0"/>
    <x v="1797"/>
    <x v="1732"/>
    <x v="2"/>
  </r>
  <r>
    <x v="1817"/>
    <s v="2025-02-24"/>
    <x v="8"/>
    <x v="332"/>
    <x v="424"/>
    <x v="4"/>
    <x v="2"/>
    <x v="4"/>
    <n v="2"/>
    <n v="185.23"/>
    <n v="0.05"/>
    <x v="1798"/>
    <x v="1733"/>
    <x v="2"/>
  </r>
  <r>
    <x v="1818"/>
    <s v="2025-02-10"/>
    <x v="8"/>
    <x v="377"/>
    <x v="315"/>
    <x v="4"/>
    <x v="3"/>
    <x v="9"/>
    <n v="5"/>
    <n v="52.45"/>
    <n v="0.05"/>
    <x v="1799"/>
    <x v="1734"/>
    <x v="0"/>
  </r>
  <r>
    <x v="1819"/>
    <s v="2025-06-30"/>
    <x v="2"/>
    <x v="414"/>
    <x v="59"/>
    <x v="3"/>
    <x v="3"/>
    <x v="9"/>
    <n v="4"/>
    <n v="125.31"/>
    <n v="0"/>
    <x v="1800"/>
    <x v="1735"/>
    <x v="0"/>
  </r>
  <r>
    <x v="1820"/>
    <s v="2025-09-02"/>
    <x v="1"/>
    <x v="455"/>
    <x v="191"/>
    <x v="2"/>
    <x v="3"/>
    <x v="11"/>
    <n v="2"/>
    <n v="74.56"/>
    <n v="0"/>
    <x v="1801"/>
    <x v="1736"/>
    <x v="1"/>
  </r>
  <r>
    <x v="1821"/>
    <s v="2025-10-17"/>
    <x v="6"/>
    <x v="126"/>
    <x v="64"/>
    <x v="2"/>
    <x v="1"/>
    <x v="1"/>
    <n v="7"/>
    <n v="109.86"/>
    <n v="0"/>
    <x v="1802"/>
    <x v="1737"/>
    <x v="0"/>
  </r>
  <r>
    <x v="1822"/>
    <s v="2025-05-05"/>
    <x v="11"/>
    <x v="208"/>
    <x v="193"/>
    <x v="2"/>
    <x v="3"/>
    <x v="11"/>
    <n v="3"/>
    <n v="54.52"/>
    <n v="0.15"/>
    <x v="1803"/>
    <x v="1738"/>
    <x v="0"/>
  </r>
  <r>
    <x v="1823"/>
    <s v="2025-10-01"/>
    <x v="6"/>
    <x v="146"/>
    <x v="412"/>
    <x v="4"/>
    <x v="0"/>
    <x v="3"/>
    <n v="6"/>
    <n v="229.36"/>
    <n v="0.1"/>
    <x v="1804"/>
    <x v="1739"/>
    <x v="2"/>
  </r>
  <r>
    <x v="1824"/>
    <s v="2025-03-24"/>
    <x v="7"/>
    <x v="279"/>
    <x v="156"/>
    <x v="0"/>
    <x v="0"/>
    <x v="7"/>
    <n v="4"/>
    <n v="84.52"/>
    <n v="0.15"/>
    <x v="1805"/>
    <x v="1740"/>
    <x v="0"/>
  </r>
  <r>
    <x v="1825"/>
    <s v="2025-07-30"/>
    <x v="4"/>
    <x v="461"/>
    <x v="86"/>
    <x v="0"/>
    <x v="3"/>
    <x v="12"/>
    <n v="3"/>
    <n v="48.21"/>
    <n v="0.05"/>
    <x v="1806"/>
    <x v="1741"/>
    <x v="1"/>
  </r>
  <r>
    <x v="1826"/>
    <s v="2025-09-28"/>
    <x v="1"/>
    <x v="486"/>
    <x v="163"/>
    <x v="2"/>
    <x v="2"/>
    <x v="2"/>
    <n v="8"/>
    <n v="31.4"/>
    <n v="0.1"/>
    <x v="1807"/>
    <x v="1742"/>
    <x v="2"/>
  </r>
  <r>
    <x v="1827"/>
    <s v="2025-08-28"/>
    <x v="0"/>
    <x v="87"/>
    <x v="174"/>
    <x v="1"/>
    <x v="0"/>
    <x v="7"/>
    <n v="8"/>
    <n v="197.6"/>
    <n v="0.15"/>
    <x v="1808"/>
    <x v="1743"/>
    <x v="2"/>
  </r>
  <r>
    <x v="1828"/>
    <s v="2025-02-03"/>
    <x v="8"/>
    <x v="382"/>
    <x v="257"/>
    <x v="2"/>
    <x v="1"/>
    <x v="1"/>
    <n v="6"/>
    <n v="234.72"/>
    <n v="0"/>
    <x v="1809"/>
    <x v="1744"/>
    <x v="1"/>
  </r>
  <r>
    <x v="1829"/>
    <s v="2025-11-04"/>
    <x v="10"/>
    <x v="80"/>
    <x v="454"/>
    <x v="2"/>
    <x v="1"/>
    <x v="10"/>
    <n v="3"/>
    <n v="19.579999999999998"/>
    <n v="0.15"/>
    <x v="1810"/>
    <x v="1745"/>
    <x v="0"/>
  </r>
  <r>
    <x v="1830"/>
    <s v="2025-12-10"/>
    <x v="3"/>
    <x v="483"/>
    <x v="386"/>
    <x v="2"/>
    <x v="1"/>
    <x v="10"/>
    <n v="1"/>
    <n v="179.24"/>
    <n v="0.1"/>
    <x v="1811"/>
    <x v="1746"/>
    <x v="0"/>
  </r>
  <r>
    <x v="1831"/>
    <s v="2025-12-05"/>
    <x v="3"/>
    <x v="119"/>
    <x v="220"/>
    <x v="4"/>
    <x v="3"/>
    <x v="11"/>
    <n v="8"/>
    <n v="246.69"/>
    <n v="0.1"/>
    <x v="1812"/>
    <x v="1747"/>
    <x v="2"/>
  </r>
  <r>
    <x v="1832"/>
    <s v="2025-01-20"/>
    <x v="5"/>
    <x v="37"/>
    <x v="105"/>
    <x v="4"/>
    <x v="2"/>
    <x v="4"/>
    <n v="4"/>
    <n v="30.2"/>
    <n v="0"/>
    <x v="1212"/>
    <x v="1748"/>
    <x v="1"/>
  </r>
  <r>
    <x v="1833"/>
    <s v="2025-02-13"/>
    <x v="8"/>
    <x v="476"/>
    <x v="464"/>
    <x v="1"/>
    <x v="0"/>
    <x v="0"/>
    <n v="1"/>
    <n v="88.28"/>
    <n v="0.05"/>
    <x v="1813"/>
    <x v="1749"/>
    <x v="1"/>
  </r>
  <r>
    <x v="1834"/>
    <s v="2025-02-11"/>
    <x v="8"/>
    <x v="487"/>
    <x v="260"/>
    <x v="2"/>
    <x v="0"/>
    <x v="3"/>
    <n v="3"/>
    <n v="69.19"/>
    <n v="0.15"/>
    <x v="1814"/>
    <x v="1750"/>
    <x v="0"/>
  </r>
  <r>
    <x v="1835"/>
    <s v="2025-07-02"/>
    <x v="4"/>
    <x v="286"/>
    <x v="479"/>
    <x v="1"/>
    <x v="2"/>
    <x v="4"/>
    <n v="3"/>
    <n v="86.28"/>
    <n v="0.15"/>
    <x v="1815"/>
    <x v="1751"/>
    <x v="0"/>
  </r>
  <r>
    <x v="1836"/>
    <s v="2025-06-09"/>
    <x v="2"/>
    <x v="355"/>
    <x v="423"/>
    <x v="3"/>
    <x v="3"/>
    <x v="12"/>
    <n v="3"/>
    <n v="117.07"/>
    <n v="0.15"/>
    <x v="1816"/>
    <x v="1752"/>
    <x v="1"/>
  </r>
  <r>
    <x v="1837"/>
    <s v="2025-01-20"/>
    <x v="5"/>
    <x v="174"/>
    <x v="359"/>
    <x v="3"/>
    <x v="0"/>
    <x v="0"/>
    <n v="1"/>
    <n v="24.4"/>
    <n v="0"/>
    <x v="1817"/>
    <x v="1753"/>
    <x v="0"/>
  </r>
  <r>
    <x v="1838"/>
    <s v="2025-04-11"/>
    <x v="9"/>
    <x v="452"/>
    <x v="297"/>
    <x v="1"/>
    <x v="3"/>
    <x v="9"/>
    <n v="8"/>
    <n v="172.76"/>
    <n v="0.15"/>
    <x v="1818"/>
    <x v="1754"/>
    <x v="0"/>
  </r>
  <r>
    <x v="1839"/>
    <s v="2025-10-29"/>
    <x v="6"/>
    <x v="346"/>
    <x v="154"/>
    <x v="2"/>
    <x v="0"/>
    <x v="3"/>
    <n v="2"/>
    <n v="112.1"/>
    <n v="0.1"/>
    <x v="1819"/>
    <x v="1755"/>
    <x v="2"/>
  </r>
  <r>
    <x v="1840"/>
    <s v="2025-05-14"/>
    <x v="11"/>
    <x v="414"/>
    <x v="230"/>
    <x v="3"/>
    <x v="1"/>
    <x v="1"/>
    <n v="8"/>
    <n v="153.65"/>
    <n v="0.15"/>
    <x v="1820"/>
    <x v="1756"/>
    <x v="2"/>
  </r>
  <r>
    <x v="1841"/>
    <s v="2025-09-25"/>
    <x v="1"/>
    <x v="253"/>
    <x v="453"/>
    <x v="0"/>
    <x v="0"/>
    <x v="0"/>
    <n v="3"/>
    <n v="104.49"/>
    <n v="0.1"/>
    <x v="1821"/>
    <x v="1757"/>
    <x v="2"/>
  </r>
  <r>
    <x v="1842"/>
    <s v="2025-06-17"/>
    <x v="2"/>
    <x v="65"/>
    <x v="54"/>
    <x v="3"/>
    <x v="2"/>
    <x v="4"/>
    <n v="5"/>
    <n v="213.84"/>
    <n v="0.1"/>
    <x v="1822"/>
    <x v="1758"/>
    <x v="0"/>
  </r>
  <r>
    <x v="1843"/>
    <s v="2025-10-26"/>
    <x v="6"/>
    <x v="421"/>
    <x v="488"/>
    <x v="2"/>
    <x v="2"/>
    <x v="5"/>
    <n v="5"/>
    <n v="42.47"/>
    <n v="0.1"/>
    <x v="1823"/>
    <x v="1759"/>
    <x v="2"/>
  </r>
  <r>
    <x v="1844"/>
    <s v="2025-05-27"/>
    <x v="11"/>
    <x v="20"/>
    <x v="106"/>
    <x v="2"/>
    <x v="3"/>
    <x v="12"/>
    <n v="3"/>
    <n v="231.6"/>
    <n v="0.05"/>
    <x v="1824"/>
    <x v="1760"/>
    <x v="0"/>
  </r>
  <r>
    <x v="1845"/>
    <s v="2025-03-16"/>
    <x v="7"/>
    <x v="357"/>
    <x v="440"/>
    <x v="0"/>
    <x v="2"/>
    <x v="6"/>
    <n v="3"/>
    <n v="61.9"/>
    <n v="0.1"/>
    <x v="1825"/>
    <x v="49"/>
    <x v="0"/>
  </r>
  <r>
    <x v="1846"/>
    <s v="2025-03-17"/>
    <x v="7"/>
    <x v="137"/>
    <x v="300"/>
    <x v="1"/>
    <x v="3"/>
    <x v="9"/>
    <n v="2"/>
    <n v="181.53"/>
    <n v="0.15"/>
    <x v="1826"/>
    <x v="1761"/>
    <x v="0"/>
  </r>
  <r>
    <x v="1847"/>
    <s v="2025-12-16"/>
    <x v="3"/>
    <x v="409"/>
    <x v="221"/>
    <x v="0"/>
    <x v="1"/>
    <x v="8"/>
    <n v="3"/>
    <n v="58.74"/>
    <n v="0.1"/>
    <x v="1827"/>
    <x v="1762"/>
    <x v="2"/>
  </r>
  <r>
    <x v="1848"/>
    <s v="2025-12-30"/>
    <x v="3"/>
    <x v="92"/>
    <x v="386"/>
    <x v="3"/>
    <x v="0"/>
    <x v="7"/>
    <n v="1"/>
    <n v="197.53"/>
    <n v="0.05"/>
    <x v="1828"/>
    <x v="1763"/>
    <x v="1"/>
  </r>
  <r>
    <x v="1849"/>
    <s v="2025-12-24"/>
    <x v="3"/>
    <x v="202"/>
    <x v="60"/>
    <x v="0"/>
    <x v="3"/>
    <x v="9"/>
    <n v="4"/>
    <n v="32.93"/>
    <n v="0.1"/>
    <x v="1829"/>
    <x v="1764"/>
    <x v="2"/>
  </r>
  <r>
    <x v="1850"/>
    <s v="2025-07-04"/>
    <x v="4"/>
    <x v="18"/>
    <x v="101"/>
    <x v="1"/>
    <x v="2"/>
    <x v="4"/>
    <n v="2"/>
    <n v="41.82"/>
    <n v="0.05"/>
    <x v="1830"/>
    <x v="1765"/>
    <x v="0"/>
  </r>
  <r>
    <x v="1851"/>
    <s v="2025-01-26"/>
    <x v="5"/>
    <x v="420"/>
    <x v="116"/>
    <x v="1"/>
    <x v="1"/>
    <x v="8"/>
    <n v="5"/>
    <n v="123.76"/>
    <n v="0.05"/>
    <x v="1831"/>
    <x v="1766"/>
    <x v="2"/>
  </r>
  <r>
    <x v="1852"/>
    <s v="2025-09-26"/>
    <x v="1"/>
    <x v="368"/>
    <x v="128"/>
    <x v="4"/>
    <x v="2"/>
    <x v="6"/>
    <n v="1"/>
    <n v="184.13"/>
    <n v="0.15"/>
    <x v="1832"/>
    <x v="1767"/>
    <x v="2"/>
  </r>
  <r>
    <x v="1853"/>
    <s v="2025-08-23"/>
    <x v="0"/>
    <x v="273"/>
    <x v="258"/>
    <x v="0"/>
    <x v="3"/>
    <x v="11"/>
    <n v="6"/>
    <n v="132.41"/>
    <n v="0.15"/>
    <x v="1833"/>
    <x v="1768"/>
    <x v="2"/>
  </r>
  <r>
    <x v="1854"/>
    <s v="2025-02-16"/>
    <x v="8"/>
    <x v="205"/>
    <x v="136"/>
    <x v="3"/>
    <x v="1"/>
    <x v="1"/>
    <n v="6"/>
    <n v="176.18"/>
    <n v="0.05"/>
    <x v="1834"/>
    <x v="1769"/>
    <x v="2"/>
  </r>
  <r>
    <x v="1855"/>
    <s v="2025-03-28"/>
    <x v="7"/>
    <x v="262"/>
    <x v="480"/>
    <x v="0"/>
    <x v="2"/>
    <x v="4"/>
    <n v="1"/>
    <n v="70.91"/>
    <n v="0"/>
    <x v="1835"/>
    <x v="1057"/>
    <x v="2"/>
  </r>
  <r>
    <x v="1856"/>
    <s v="2025-04-03"/>
    <x v="9"/>
    <x v="84"/>
    <x v="5"/>
    <x v="3"/>
    <x v="1"/>
    <x v="8"/>
    <n v="3"/>
    <n v="47.67"/>
    <n v="0.1"/>
    <x v="1836"/>
    <x v="1770"/>
    <x v="2"/>
  </r>
  <r>
    <x v="1857"/>
    <s v="2025-04-06"/>
    <x v="9"/>
    <x v="96"/>
    <x v="378"/>
    <x v="4"/>
    <x v="1"/>
    <x v="10"/>
    <n v="1"/>
    <n v="128.54"/>
    <n v="0.15"/>
    <x v="1837"/>
    <x v="1771"/>
    <x v="2"/>
  </r>
  <r>
    <x v="1858"/>
    <s v="2025-12-15"/>
    <x v="3"/>
    <x v="148"/>
    <x v="19"/>
    <x v="1"/>
    <x v="3"/>
    <x v="9"/>
    <n v="3"/>
    <n v="89.22"/>
    <n v="0"/>
    <x v="1838"/>
    <x v="1772"/>
    <x v="1"/>
  </r>
  <r>
    <x v="1859"/>
    <s v="2025-08-10"/>
    <x v="0"/>
    <x v="306"/>
    <x v="291"/>
    <x v="3"/>
    <x v="3"/>
    <x v="11"/>
    <n v="2"/>
    <n v="136.38"/>
    <n v="0.15"/>
    <x v="1839"/>
    <x v="1773"/>
    <x v="0"/>
  </r>
  <r>
    <x v="1860"/>
    <s v="2025-08-05"/>
    <x v="0"/>
    <x v="64"/>
    <x v="241"/>
    <x v="1"/>
    <x v="1"/>
    <x v="10"/>
    <n v="4"/>
    <n v="133.94"/>
    <n v="0.05"/>
    <x v="1840"/>
    <x v="1774"/>
    <x v="0"/>
  </r>
  <r>
    <x v="1861"/>
    <s v="2025-05-14"/>
    <x v="11"/>
    <x v="207"/>
    <x v="262"/>
    <x v="3"/>
    <x v="1"/>
    <x v="10"/>
    <n v="5"/>
    <n v="82.51"/>
    <n v="0"/>
    <x v="1841"/>
    <x v="1775"/>
    <x v="1"/>
  </r>
  <r>
    <x v="1862"/>
    <s v="2025-11-27"/>
    <x v="10"/>
    <x v="248"/>
    <x v="468"/>
    <x v="0"/>
    <x v="0"/>
    <x v="7"/>
    <n v="7"/>
    <n v="173.26"/>
    <n v="0"/>
    <x v="1842"/>
    <x v="1776"/>
    <x v="1"/>
  </r>
  <r>
    <x v="1863"/>
    <s v="2025-07-26"/>
    <x v="4"/>
    <x v="333"/>
    <x v="88"/>
    <x v="4"/>
    <x v="1"/>
    <x v="10"/>
    <n v="6"/>
    <n v="31.33"/>
    <n v="0.05"/>
    <x v="1843"/>
    <x v="1777"/>
    <x v="1"/>
  </r>
  <r>
    <x v="1864"/>
    <s v="2025-04-29"/>
    <x v="9"/>
    <x v="466"/>
    <x v="133"/>
    <x v="3"/>
    <x v="2"/>
    <x v="5"/>
    <n v="4"/>
    <n v="89.72"/>
    <n v="0.1"/>
    <x v="1844"/>
    <x v="1778"/>
    <x v="2"/>
  </r>
  <r>
    <x v="1865"/>
    <s v="2025-05-15"/>
    <x v="11"/>
    <x v="83"/>
    <x v="439"/>
    <x v="4"/>
    <x v="2"/>
    <x v="5"/>
    <n v="4"/>
    <n v="45.28"/>
    <n v="0.05"/>
    <x v="1845"/>
    <x v="1779"/>
    <x v="2"/>
  </r>
  <r>
    <x v="1866"/>
    <s v="2025-03-14"/>
    <x v="7"/>
    <x v="470"/>
    <x v="212"/>
    <x v="4"/>
    <x v="0"/>
    <x v="7"/>
    <n v="7"/>
    <n v="78.650000000000006"/>
    <n v="0.05"/>
    <x v="1846"/>
    <x v="1780"/>
    <x v="2"/>
  </r>
  <r>
    <x v="1867"/>
    <s v="2025-12-01"/>
    <x v="3"/>
    <x v="149"/>
    <x v="183"/>
    <x v="1"/>
    <x v="1"/>
    <x v="10"/>
    <n v="8"/>
    <n v="236.25"/>
    <n v="0.1"/>
    <x v="1847"/>
    <x v="1781"/>
    <x v="2"/>
  </r>
  <r>
    <x v="1868"/>
    <s v="2025-12-05"/>
    <x v="3"/>
    <x v="197"/>
    <x v="21"/>
    <x v="0"/>
    <x v="0"/>
    <x v="7"/>
    <n v="8"/>
    <n v="28.85"/>
    <n v="0.05"/>
    <x v="1848"/>
    <x v="1782"/>
    <x v="2"/>
  </r>
  <r>
    <x v="1869"/>
    <s v="2025-05-14"/>
    <x v="11"/>
    <x v="377"/>
    <x v="276"/>
    <x v="2"/>
    <x v="3"/>
    <x v="12"/>
    <n v="1"/>
    <n v="25.87"/>
    <n v="0.15"/>
    <x v="1849"/>
    <x v="1783"/>
    <x v="0"/>
  </r>
  <r>
    <x v="1870"/>
    <s v="2025-04-16"/>
    <x v="9"/>
    <x v="342"/>
    <x v="332"/>
    <x v="1"/>
    <x v="1"/>
    <x v="10"/>
    <n v="7"/>
    <n v="94.73"/>
    <n v="0"/>
    <x v="1850"/>
    <x v="1784"/>
    <x v="0"/>
  </r>
  <r>
    <x v="1871"/>
    <s v="2025-11-10"/>
    <x v="10"/>
    <x v="28"/>
    <x v="251"/>
    <x v="3"/>
    <x v="0"/>
    <x v="3"/>
    <n v="4"/>
    <n v="92.16"/>
    <n v="0"/>
    <x v="1851"/>
    <x v="1785"/>
    <x v="1"/>
  </r>
  <r>
    <x v="1872"/>
    <s v="2025-12-10"/>
    <x v="3"/>
    <x v="34"/>
    <x v="89"/>
    <x v="4"/>
    <x v="3"/>
    <x v="9"/>
    <n v="5"/>
    <n v="243.97"/>
    <n v="0.05"/>
    <x v="1852"/>
    <x v="1786"/>
    <x v="1"/>
  </r>
  <r>
    <x v="1873"/>
    <s v="2025-06-07"/>
    <x v="2"/>
    <x v="349"/>
    <x v="1"/>
    <x v="1"/>
    <x v="3"/>
    <x v="11"/>
    <n v="3"/>
    <n v="155.57"/>
    <n v="0.15"/>
    <x v="1853"/>
    <x v="1787"/>
    <x v="2"/>
  </r>
  <r>
    <x v="1874"/>
    <s v="2025-09-21"/>
    <x v="1"/>
    <x v="372"/>
    <x v="464"/>
    <x v="2"/>
    <x v="1"/>
    <x v="8"/>
    <n v="3"/>
    <n v="89.93"/>
    <n v="0.05"/>
    <x v="1854"/>
    <x v="1788"/>
    <x v="0"/>
  </r>
  <r>
    <x v="1875"/>
    <s v="2025-01-26"/>
    <x v="5"/>
    <x v="248"/>
    <x v="5"/>
    <x v="4"/>
    <x v="3"/>
    <x v="11"/>
    <n v="5"/>
    <n v="210.77"/>
    <n v="0.15"/>
    <x v="1855"/>
    <x v="1789"/>
    <x v="0"/>
  </r>
  <r>
    <x v="1876"/>
    <s v="2025-08-24"/>
    <x v="0"/>
    <x v="50"/>
    <x v="25"/>
    <x v="0"/>
    <x v="0"/>
    <x v="3"/>
    <n v="7"/>
    <n v="221.42"/>
    <n v="0.05"/>
    <x v="1856"/>
    <x v="1790"/>
    <x v="0"/>
  </r>
  <r>
    <x v="1877"/>
    <s v="2025-12-10"/>
    <x v="3"/>
    <x v="133"/>
    <x v="40"/>
    <x v="1"/>
    <x v="3"/>
    <x v="12"/>
    <n v="6"/>
    <n v="56.83"/>
    <n v="0.15"/>
    <x v="1857"/>
    <x v="95"/>
    <x v="1"/>
  </r>
  <r>
    <x v="1878"/>
    <s v="2025-12-30"/>
    <x v="3"/>
    <x v="354"/>
    <x v="346"/>
    <x v="3"/>
    <x v="1"/>
    <x v="8"/>
    <n v="5"/>
    <n v="97.92"/>
    <n v="0"/>
    <x v="1858"/>
    <x v="1791"/>
    <x v="2"/>
  </r>
  <r>
    <x v="1879"/>
    <s v="2025-06-23"/>
    <x v="2"/>
    <x v="9"/>
    <x v="348"/>
    <x v="1"/>
    <x v="0"/>
    <x v="7"/>
    <n v="8"/>
    <n v="107.28"/>
    <n v="0"/>
    <x v="1859"/>
    <x v="1792"/>
    <x v="2"/>
  </r>
  <r>
    <x v="1880"/>
    <s v="2025-03-25"/>
    <x v="7"/>
    <x v="193"/>
    <x v="360"/>
    <x v="1"/>
    <x v="1"/>
    <x v="1"/>
    <n v="1"/>
    <n v="17.48"/>
    <n v="0.15"/>
    <x v="166"/>
    <x v="1793"/>
    <x v="1"/>
  </r>
  <r>
    <x v="1881"/>
    <s v="2025-06-28"/>
    <x v="2"/>
    <x v="317"/>
    <x v="464"/>
    <x v="4"/>
    <x v="3"/>
    <x v="9"/>
    <n v="2"/>
    <n v="173.2"/>
    <n v="0.1"/>
    <x v="1860"/>
    <x v="1794"/>
    <x v="0"/>
  </r>
  <r>
    <x v="1882"/>
    <s v="2025-05-21"/>
    <x v="11"/>
    <x v="466"/>
    <x v="459"/>
    <x v="1"/>
    <x v="3"/>
    <x v="9"/>
    <n v="7"/>
    <n v="170.27"/>
    <n v="0.05"/>
    <x v="1861"/>
    <x v="1795"/>
    <x v="1"/>
  </r>
  <r>
    <x v="1883"/>
    <s v="2025-02-21"/>
    <x v="8"/>
    <x v="296"/>
    <x v="248"/>
    <x v="0"/>
    <x v="2"/>
    <x v="2"/>
    <n v="1"/>
    <n v="49.97"/>
    <n v="0.05"/>
    <x v="1862"/>
    <x v="1796"/>
    <x v="0"/>
  </r>
  <r>
    <x v="1884"/>
    <s v="2025-07-25"/>
    <x v="4"/>
    <x v="363"/>
    <x v="135"/>
    <x v="0"/>
    <x v="1"/>
    <x v="8"/>
    <n v="3"/>
    <n v="61.48"/>
    <n v="0.1"/>
    <x v="1863"/>
    <x v="1797"/>
    <x v="2"/>
  </r>
  <r>
    <x v="1885"/>
    <s v="2025-01-19"/>
    <x v="5"/>
    <x v="209"/>
    <x v="106"/>
    <x v="2"/>
    <x v="1"/>
    <x v="8"/>
    <n v="1"/>
    <n v="113.16"/>
    <n v="0.05"/>
    <x v="1864"/>
    <x v="1798"/>
    <x v="1"/>
  </r>
  <r>
    <x v="1886"/>
    <s v="2025-06-11"/>
    <x v="2"/>
    <x v="241"/>
    <x v="310"/>
    <x v="1"/>
    <x v="0"/>
    <x v="7"/>
    <n v="1"/>
    <n v="143.74"/>
    <n v="0.1"/>
    <x v="1865"/>
    <x v="1799"/>
    <x v="1"/>
  </r>
  <r>
    <x v="1887"/>
    <s v="2025-06-25"/>
    <x v="2"/>
    <x v="344"/>
    <x v="96"/>
    <x v="2"/>
    <x v="1"/>
    <x v="10"/>
    <n v="3"/>
    <n v="131.56"/>
    <n v="0"/>
    <x v="1866"/>
    <x v="1800"/>
    <x v="0"/>
  </r>
  <r>
    <x v="1888"/>
    <s v="2025-03-08"/>
    <x v="7"/>
    <x v="93"/>
    <x v="75"/>
    <x v="1"/>
    <x v="2"/>
    <x v="5"/>
    <n v="6"/>
    <n v="138.38"/>
    <n v="0.05"/>
    <x v="1867"/>
    <x v="1801"/>
    <x v="1"/>
  </r>
  <r>
    <x v="1889"/>
    <s v="2025-08-28"/>
    <x v="0"/>
    <x v="326"/>
    <x v="424"/>
    <x v="3"/>
    <x v="2"/>
    <x v="6"/>
    <n v="1"/>
    <n v="113.32"/>
    <n v="0.05"/>
    <x v="1868"/>
    <x v="1802"/>
    <x v="1"/>
  </r>
  <r>
    <x v="1890"/>
    <s v="2025-03-24"/>
    <x v="7"/>
    <x v="275"/>
    <x v="157"/>
    <x v="3"/>
    <x v="1"/>
    <x v="10"/>
    <n v="1"/>
    <n v="106.81"/>
    <n v="0.15"/>
    <x v="1869"/>
    <x v="1803"/>
    <x v="2"/>
  </r>
  <r>
    <x v="1891"/>
    <s v="2025-12-29"/>
    <x v="3"/>
    <x v="4"/>
    <x v="419"/>
    <x v="3"/>
    <x v="0"/>
    <x v="0"/>
    <n v="7"/>
    <n v="57.77"/>
    <n v="0.1"/>
    <x v="1870"/>
    <x v="1804"/>
    <x v="1"/>
  </r>
  <r>
    <x v="1892"/>
    <s v="2025-08-09"/>
    <x v="0"/>
    <x v="49"/>
    <x v="403"/>
    <x v="2"/>
    <x v="0"/>
    <x v="3"/>
    <n v="3"/>
    <n v="174.35"/>
    <n v="0.05"/>
    <x v="1871"/>
    <x v="1805"/>
    <x v="1"/>
  </r>
  <r>
    <x v="1893"/>
    <s v="2025-04-29"/>
    <x v="9"/>
    <x v="427"/>
    <x v="380"/>
    <x v="1"/>
    <x v="1"/>
    <x v="8"/>
    <n v="8"/>
    <n v="35.5"/>
    <n v="0.1"/>
    <x v="1872"/>
    <x v="1806"/>
    <x v="2"/>
  </r>
  <r>
    <x v="1894"/>
    <s v="2025-03-13"/>
    <x v="7"/>
    <x v="425"/>
    <x v="55"/>
    <x v="3"/>
    <x v="0"/>
    <x v="0"/>
    <n v="3"/>
    <n v="15.33"/>
    <n v="0"/>
    <x v="1873"/>
    <x v="1807"/>
    <x v="2"/>
  </r>
  <r>
    <x v="1895"/>
    <s v="2025-01-28"/>
    <x v="5"/>
    <x v="2"/>
    <x v="225"/>
    <x v="4"/>
    <x v="2"/>
    <x v="2"/>
    <n v="2"/>
    <n v="85.3"/>
    <n v="0"/>
    <x v="1874"/>
    <x v="1808"/>
    <x v="0"/>
  </r>
  <r>
    <x v="1896"/>
    <s v="2025-09-16"/>
    <x v="1"/>
    <x v="59"/>
    <x v="489"/>
    <x v="1"/>
    <x v="0"/>
    <x v="0"/>
    <n v="6"/>
    <n v="84.59"/>
    <n v="0.1"/>
    <x v="1875"/>
    <x v="1809"/>
    <x v="0"/>
  </r>
  <r>
    <x v="1897"/>
    <s v="2025-06-29"/>
    <x v="2"/>
    <x v="96"/>
    <x v="258"/>
    <x v="3"/>
    <x v="3"/>
    <x v="9"/>
    <n v="3"/>
    <n v="11.01"/>
    <n v="0.15"/>
    <x v="1876"/>
    <x v="1810"/>
    <x v="1"/>
  </r>
  <r>
    <x v="1898"/>
    <s v="2025-02-23"/>
    <x v="8"/>
    <x v="238"/>
    <x v="182"/>
    <x v="4"/>
    <x v="0"/>
    <x v="0"/>
    <n v="5"/>
    <n v="46.54"/>
    <n v="0.05"/>
    <x v="1877"/>
    <x v="407"/>
    <x v="1"/>
  </r>
  <r>
    <x v="1899"/>
    <s v="2025-10-16"/>
    <x v="6"/>
    <x v="19"/>
    <x v="277"/>
    <x v="1"/>
    <x v="1"/>
    <x v="1"/>
    <n v="2"/>
    <n v="174.47"/>
    <n v="0"/>
    <x v="1878"/>
    <x v="1811"/>
    <x v="0"/>
  </r>
  <r>
    <x v="1900"/>
    <s v="2025-03-06"/>
    <x v="7"/>
    <x v="164"/>
    <x v="189"/>
    <x v="1"/>
    <x v="3"/>
    <x v="9"/>
    <n v="2"/>
    <n v="118.75"/>
    <n v="0.05"/>
    <x v="1879"/>
    <x v="1812"/>
    <x v="1"/>
  </r>
  <r>
    <x v="1901"/>
    <s v="2025-07-27"/>
    <x v="4"/>
    <x v="480"/>
    <x v="465"/>
    <x v="3"/>
    <x v="3"/>
    <x v="9"/>
    <n v="1"/>
    <n v="155.5"/>
    <n v="0.15"/>
    <x v="1880"/>
    <x v="1813"/>
    <x v="0"/>
  </r>
  <r>
    <x v="1902"/>
    <s v="2025-01-25"/>
    <x v="5"/>
    <x v="204"/>
    <x v="442"/>
    <x v="0"/>
    <x v="2"/>
    <x v="4"/>
    <n v="3"/>
    <n v="63.89"/>
    <n v="0.15"/>
    <x v="1881"/>
    <x v="1814"/>
    <x v="0"/>
  </r>
  <r>
    <x v="1903"/>
    <s v="2025-01-10"/>
    <x v="5"/>
    <x v="314"/>
    <x v="296"/>
    <x v="0"/>
    <x v="3"/>
    <x v="9"/>
    <n v="7"/>
    <n v="172.67"/>
    <n v="0.1"/>
    <x v="1882"/>
    <x v="1815"/>
    <x v="0"/>
  </r>
  <r>
    <x v="1904"/>
    <s v="2025-03-03"/>
    <x v="7"/>
    <x v="60"/>
    <x v="402"/>
    <x v="0"/>
    <x v="2"/>
    <x v="6"/>
    <n v="1"/>
    <n v="13.03"/>
    <n v="0.05"/>
    <x v="1883"/>
    <x v="1816"/>
    <x v="2"/>
  </r>
  <r>
    <x v="1905"/>
    <s v="2025-08-23"/>
    <x v="0"/>
    <x v="85"/>
    <x v="426"/>
    <x v="1"/>
    <x v="2"/>
    <x v="2"/>
    <n v="2"/>
    <n v="49.31"/>
    <n v="0.05"/>
    <x v="1884"/>
    <x v="1817"/>
    <x v="2"/>
  </r>
  <r>
    <x v="1906"/>
    <s v="2025-11-14"/>
    <x v="10"/>
    <x v="145"/>
    <x v="25"/>
    <x v="2"/>
    <x v="3"/>
    <x v="11"/>
    <n v="7"/>
    <n v="247.09"/>
    <n v="0.05"/>
    <x v="1885"/>
    <x v="1818"/>
    <x v="0"/>
  </r>
  <r>
    <x v="1907"/>
    <s v="2025-08-28"/>
    <x v="0"/>
    <x v="291"/>
    <x v="459"/>
    <x v="3"/>
    <x v="0"/>
    <x v="0"/>
    <n v="6"/>
    <n v="243.96"/>
    <n v="0.15"/>
    <x v="1886"/>
    <x v="1819"/>
    <x v="1"/>
  </r>
  <r>
    <x v="1908"/>
    <s v="2025-05-30"/>
    <x v="11"/>
    <x v="488"/>
    <x v="297"/>
    <x v="0"/>
    <x v="1"/>
    <x v="1"/>
    <n v="7"/>
    <n v="161.68"/>
    <n v="0"/>
    <x v="1887"/>
    <x v="1820"/>
    <x v="2"/>
  </r>
  <r>
    <x v="1909"/>
    <s v="2025-01-23"/>
    <x v="5"/>
    <x v="130"/>
    <x v="490"/>
    <x v="4"/>
    <x v="1"/>
    <x v="8"/>
    <n v="5"/>
    <n v="85.8"/>
    <n v="0.05"/>
    <x v="1888"/>
    <x v="1821"/>
    <x v="1"/>
  </r>
  <r>
    <x v="1910"/>
    <s v="2025-08-14"/>
    <x v="0"/>
    <x v="484"/>
    <x v="285"/>
    <x v="1"/>
    <x v="3"/>
    <x v="9"/>
    <n v="6"/>
    <n v="163.72999999999999"/>
    <n v="0"/>
    <x v="1889"/>
    <x v="1822"/>
    <x v="0"/>
  </r>
  <r>
    <x v="1911"/>
    <s v="2025-01-09"/>
    <x v="5"/>
    <x v="242"/>
    <x v="284"/>
    <x v="0"/>
    <x v="3"/>
    <x v="12"/>
    <n v="1"/>
    <n v="245"/>
    <n v="0.15"/>
    <x v="1890"/>
    <x v="1823"/>
    <x v="0"/>
  </r>
  <r>
    <x v="1912"/>
    <s v="2025-01-17"/>
    <x v="5"/>
    <x v="227"/>
    <x v="211"/>
    <x v="1"/>
    <x v="0"/>
    <x v="0"/>
    <n v="6"/>
    <n v="61.01"/>
    <n v="0.1"/>
    <x v="1891"/>
    <x v="1824"/>
    <x v="0"/>
  </r>
  <r>
    <x v="1913"/>
    <s v="2025-09-03"/>
    <x v="1"/>
    <x v="397"/>
    <x v="143"/>
    <x v="4"/>
    <x v="1"/>
    <x v="8"/>
    <n v="5"/>
    <n v="179.99"/>
    <n v="0.1"/>
    <x v="1892"/>
    <x v="1825"/>
    <x v="1"/>
  </r>
  <r>
    <x v="1914"/>
    <s v="2025-04-08"/>
    <x v="9"/>
    <x v="197"/>
    <x v="335"/>
    <x v="0"/>
    <x v="3"/>
    <x v="9"/>
    <n v="4"/>
    <n v="241.05"/>
    <n v="0.1"/>
    <x v="1893"/>
    <x v="1826"/>
    <x v="2"/>
  </r>
  <r>
    <x v="1915"/>
    <s v="2025-05-14"/>
    <x v="11"/>
    <x v="409"/>
    <x v="35"/>
    <x v="4"/>
    <x v="1"/>
    <x v="8"/>
    <n v="5"/>
    <n v="161.19999999999999"/>
    <n v="0.15"/>
    <x v="1894"/>
    <x v="1827"/>
    <x v="0"/>
  </r>
  <r>
    <x v="1916"/>
    <s v="2025-09-21"/>
    <x v="1"/>
    <x v="217"/>
    <x v="171"/>
    <x v="3"/>
    <x v="1"/>
    <x v="8"/>
    <n v="2"/>
    <n v="46.48"/>
    <n v="0.15"/>
    <x v="1895"/>
    <x v="1828"/>
    <x v="0"/>
  </r>
  <r>
    <x v="1917"/>
    <s v="2025-03-22"/>
    <x v="7"/>
    <x v="239"/>
    <x v="244"/>
    <x v="2"/>
    <x v="3"/>
    <x v="12"/>
    <n v="7"/>
    <n v="21.63"/>
    <n v="0.05"/>
    <x v="1896"/>
    <x v="1829"/>
    <x v="0"/>
  </r>
  <r>
    <x v="1918"/>
    <s v="2025-01-13"/>
    <x v="5"/>
    <x v="140"/>
    <x v="469"/>
    <x v="4"/>
    <x v="1"/>
    <x v="8"/>
    <n v="1"/>
    <n v="89.14"/>
    <n v="0.1"/>
    <x v="1897"/>
    <x v="1830"/>
    <x v="0"/>
  </r>
  <r>
    <x v="1919"/>
    <s v="2025-10-15"/>
    <x v="6"/>
    <x v="236"/>
    <x v="336"/>
    <x v="4"/>
    <x v="1"/>
    <x v="1"/>
    <n v="1"/>
    <n v="35.369999999999997"/>
    <n v="0.1"/>
    <x v="1898"/>
    <x v="1831"/>
    <x v="0"/>
  </r>
  <r>
    <x v="1920"/>
    <s v="2025-05-28"/>
    <x v="11"/>
    <x v="265"/>
    <x v="187"/>
    <x v="3"/>
    <x v="2"/>
    <x v="6"/>
    <n v="5"/>
    <n v="215.39"/>
    <n v="0.05"/>
    <x v="1899"/>
    <x v="1832"/>
    <x v="2"/>
  </r>
  <r>
    <x v="1921"/>
    <s v="2025-05-03"/>
    <x v="11"/>
    <x v="309"/>
    <x v="449"/>
    <x v="1"/>
    <x v="2"/>
    <x v="5"/>
    <n v="7"/>
    <n v="16.989999999999998"/>
    <n v="0.1"/>
    <x v="1900"/>
    <x v="1833"/>
    <x v="0"/>
  </r>
  <r>
    <x v="1922"/>
    <s v="2025-09-10"/>
    <x v="1"/>
    <x v="19"/>
    <x v="156"/>
    <x v="0"/>
    <x v="1"/>
    <x v="1"/>
    <n v="4"/>
    <n v="79.569999999999993"/>
    <n v="0"/>
    <x v="1901"/>
    <x v="1834"/>
    <x v="1"/>
  </r>
  <r>
    <x v="1923"/>
    <s v="2025-11-12"/>
    <x v="10"/>
    <x v="442"/>
    <x v="30"/>
    <x v="1"/>
    <x v="2"/>
    <x v="2"/>
    <n v="7"/>
    <n v="98.39"/>
    <n v="0"/>
    <x v="1902"/>
    <x v="1835"/>
    <x v="1"/>
  </r>
  <r>
    <x v="1924"/>
    <s v="2025-10-19"/>
    <x v="6"/>
    <x v="274"/>
    <x v="98"/>
    <x v="1"/>
    <x v="0"/>
    <x v="3"/>
    <n v="1"/>
    <n v="116.52"/>
    <n v="0"/>
    <x v="1903"/>
    <x v="1836"/>
    <x v="1"/>
  </r>
  <r>
    <x v="1925"/>
    <s v="2025-07-06"/>
    <x v="4"/>
    <x v="279"/>
    <x v="17"/>
    <x v="3"/>
    <x v="3"/>
    <x v="11"/>
    <n v="2"/>
    <n v="83.73"/>
    <n v="0.1"/>
    <x v="1904"/>
    <x v="1837"/>
    <x v="1"/>
  </r>
  <r>
    <x v="1926"/>
    <s v="2025-12-23"/>
    <x v="3"/>
    <x v="48"/>
    <x v="424"/>
    <x v="1"/>
    <x v="1"/>
    <x v="10"/>
    <n v="6"/>
    <n v="166.58"/>
    <n v="0.15"/>
    <x v="1905"/>
    <x v="1838"/>
    <x v="1"/>
  </r>
  <r>
    <x v="1927"/>
    <s v="2025-07-01"/>
    <x v="4"/>
    <x v="370"/>
    <x v="268"/>
    <x v="2"/>
    <x v="1"/>
    <x v="1"/>
    <n v="1"/>
    <n v="119.86"/>
    <n v="0.15"/>
    <x v="1906"/>
    <x v="1839"/>
    <x v="2"/>
  </r>
  <r>
    <x v="1928"/>
    <s v="2025-04-16"/>
    <x v="9"/>
    <x v="404"/>
    <x v="59"/>
    <x v="4"/>
    <x v="0"/>
    <x v="3"/>
    <n v="1"/>
    <n v="240.25"/>
    <n v="0.05"/>
    <x v="1907"/>
    <x v="1840"/>
    <x v="1"/>
  </r>
  <r>
    <x v="1929"/>
    <s v="2025-12-31"/>
    <x v="3"/>
    <x v="241"/>
    <x v="273"/>
    <x v="2"/>
    <x v="1"/>
    <x v="8"/>
    <n v="5"/>
    <n v="13.19"/>
    <n v="0"/>
    <x v="1908"/>
    <x v="1841"/>
    <x v="1"/>
  </r>
  <r>
    <x v="1930"/>
    <s v="2025-12-19"/>
    <x v="3"/>
    <x v="438"/>
    <x v="399"/>
    <x v="2"/>
    <x v="0"/>
    <x v="7"/>
    <n v="1"/>
    <n v="71"/>
    <n v="0.05"/>
    <x v="1909"/>
    <x v="1842"/>
    <x v="0"/>
  </r>
  <r>
    <x v="1931"/>
    <s v="2025-01-10"/>
    <x v="5"/>
    <x v="41"/>
    <x v="168"/>
    <x v="2"/>
    <x v="3"/>
    <x v="12"/>
    <n v="6"/>
    <n v="159.58000000000001"/>
    <n v="0.1"/>
    <x v="1910"/>
    <x v="1843"/>
    <x v="2"/>
  </r>
  <r>
    <x v="1932"/>
    <s v="2025-07-02"/>
    <x v="4"/>
    <x v="361"/>
    <x v="160"/>
    <x v="1"/>
    <x v="2"/>
    <x v="4"/>
    <n v="5"/>
    <n v="95.31"/>
    <n v="0"/>
    <x v="1911"/>
    <x v="1844"/>
    <x v="2"/>
  </r>
  <r>
    <x v="1933"/>
    <s v="2025-07-03"/>
    <x v="4"/>
    <x v="458"/>
    <x v="409"/>
    <x v="3"/>
    <x v="3"/>
    <x v="12"/>
    <n v="3"/>
    <n v="26.47"/>
    <n v="0"/>
    <x v="1912"/>
    <x v="1845"/>
    <x v="0"/>
  </r>
  <r>
    <x v="1934"/>
    <s v="2025-04-17"/>
    <x v="9"/>
    <x v="4"/>
    <x v="240"/>
    <x v="0"/>
    <x v="2"/>
    <x v="2"/>
    <n v="6"/>
    <n v="229.26"/>
    <n v="0"/>
    <x v="1913"/>
    <x v="1846"/>
    <x v="0"/>
  </r>
  <r>
    <x v="1935"/>
    <s v="2025-06-11"/>
    <x v="2"/>
    <x v="339"/>
    <x v="242"/>
    <x v="1"/>
    <x v="1"/>
    <x v="1"/>
    <n v="4"/>
    <n v="66.28"/>
    <n v="0.05"/>
    <x v="1914"/>
    <x v="1847"/>
    <x v="0"/>
  </r>
  <r>
    <x v="1936"/>
    <s v="2025-08-18"/>
    <x v="0"/>
    <x v="70"/>
    <x v="431"/>
    <x v="0"/>
    <x v="1"/>
    <x v="10"/>
    <n v="4"/>
    <n v="242.68"/>
    <n v="0.1"/>
    <x v="1915"/>
    <x v="1848"/>
    <x v="0"/>
  </r>
  <r>
    <x v="1937"/>
    <s v="2025-03-21"/>
    <x v="7"/>
    <x v="436"/>
    <x v="34"/>
    <x v="2"/>
    <x v="0"/>
    <x v="3"/>
    <n v="1"/>
    <n v="202.02"/>
    <n v="0.15"/>
    <x v="1916"/>
    <x v="1849"/>
    <x v="1"/>
  </r>
  <r>
    <x v="1938"/>
    <s v="2025-03-12"/>
    <x v="7"/>
    <x v="389"/>
    <x v="101"/>
    <x v="3"/>
    <x v="3"/>
    <x v="12"/>
    <n v="6"/>
    <n v="53.75"/>
    <n v="0"/>
    <x v="1917"/>
    <x v="1850"/>
    <x v="1"/>
  </r>
  <r>
    <x v="1939"/>
    <s v="2025-06-25"/>
    <x v="2"/>
    <x v="228"/>
    <x v="49"/>
    <x v="2"/>
    <x v="0"/>
    <x v="3"/>
    <n v="6"/>
    <n v="79.94"/>
    <n v="0"/>
    <x v="1918"/>
    <x v="1851"/>
    <x v="1"/>
  </r>
  <r>
    <x v="1940"/>
    <s v="2025-11-19"/>
    <x v="10"/>
    <x v="338"/>
    <x v="18"/>
    <x v="1"/>
    <x v="1"/>
    <x v="10"/>
    <n v="2"/>
    <n v="195.45"/>
    <n v="0.05"/>
    <x v="1919"/>
    <x v="1852"/>
    <x v="1"/>
  </r>
  <r>
    <x v="1941"/>
    <s v="2025-02-15"/>
    <x v="8"/>
    <x v="33"/>
    <x v="260"/>
    <x v="4"/>
    <x v="0"/>
    <x v="0"/>
    <n v="5"/>
    <n v="73.22"/>
    <n v="0"/>
    <x v="1920"/>
    <x v="731"/>
    <x v="0"/>
  </r>
  <r>
    <x v="1942"/>
    <s v="2025-07-13"/>
    <x v="4"/>
    <x v="114"/>
    <x v="321"/>
    <x v="1"/>
    <x v="3"/>
    <x v="11"/>
    <n v="5"/>
    <n v="170.94"/>
    <n v="0.05"/>
    <x v="1921"/>
    <x v="1853"/>
    <x v="2"/>
  </r>
  <r>
    <x v="1943"/>
    <s v="2025-11-08"/>
    <x v="10"/>
    <x v="152"/>
    <x v="305"/>
    <x v="0"/>
    <x v="0"/>
    <x v="0"/>
    <n v="3"/>
    <n v="89.1"/>
    <n v="0.05"/>
    <x v="1922"/>
    <x v="1854"/>
    <x v="2"/>
  </r>
  <r>
    <x v="1944"/>
    <s v="2025-03-17"/>
    <x v="7"/>
    <x v="435"/>
    <x v="176"/>
    <x v="3"/>
    <x v="0"/>
    <x v="3"/>
    <n v="4"/>
    <n v="238.52"/>
    <n v="0.05"/>
    <x v="1923"/>
    <x v="1855"/>
    <x v="1"/>
  </r>
  <r>
    <x v="1945"/>
    <s v="2025-08-14"/>
    <x v="0"/>
    <x v="440"/>
    <x v="44"/>
    <x v="3"/>
    <x v="0"/>
    <x v="7"/>
    <n v="8"/>
    <n v="55.93"/>
    <n v="0.05"/>
    <x v="1924"/>
    <x v="1856"/>
    <x v="2"/>
  </r>
  <r>
    <x v="1946"/>
    <s v="2025-12-05"/>
    <x v="3"/>
    <x v="194"/>
    <x v="293"/>
    <x v="0"/>
    <x v="0"/>
    <x v="3"/>
    <n v="2"/>
    <n v="117.08"/>
    <n v="0"/>
    <x v="1925"/>
    <x v="1857"/>
    <x v="2"/>
  </r>
  <r>
    <x v="1947"/>
    <s v="2025-01-08"/>
    <x v="5"/>
    <x v="224"/>
    <x v="132"/>
    <x v="2"/>
    <x v="2"/>
    <x v="6"/>
    <n v="2"/>
    <n v="136.61000000000001"/>
    <n v="0.15"/>
    <x v="1926"/>
    <x v="1858"/>
    <x v="2"/>
  </r>
  <r>
    <x v="1948"/>
    <s v="2025-04-15"/>
    <x v="9"/>
    <x v="299"/>
    <x v="491"/>
    <x v="2"/>
    <x v="3"/>
    <x v="12"/>
    <n v="2"/>
    <n v="243.4"/>
    <n v="0.1"/>
    <x v="1927"/>
    <x v="1859"/>
    <x v="1"/>
  </r>
  <r>
    <x v="1949"/>
    <s v="2025-05-13"/>
    <x v="11"/>
    <x v="280"/>
    <x v="58"/>
    <x v="0"/>
    <x v="3"/>
    <x v="11"/>
    <n v="6"/>
    <n v="236"/>
    <n v="0"/>
    <x v="1928"/>
    <x v="1860"/>
    <x v="0"/>
  </r>
  <r>
    <x v="1950"/>
    <s v="2025-08-22"/>
    <x v="0"/>
    <x v="66"/>
    <x v="454"/>
    <x v="1"/>
    <x v="0"/>
    <x v="3"/>
    <n v="4"/>
    <n v="84.51"/>
    <n v="0"/>
    <x v="1929"/>
    <x v="1861"/>
    <x v="1"/>
  </r>
  <r>
    <x v="1951"/>
    <s v="2025-04-11"/>
    <x v="9"/>
    <x v="264"/>
    <x v="53"/>
    <x v="3"/>
    <x v="3"/>
    <x v="12"/>
    <n v="8"/>
    <n v="84.22"/>
    <n v="0"/>
    <x v="28"/>
    <x v="1862"/>
    <x v="1"/>
  </r>
  <r>
    <x v="1952"/>
    <s v="2025-07-30"/>
    <x v="4"/>
    <x v="164"/>
    <x v="102"/>
    <x v="2"/>
    <x v="2"/>
    <x v="5"/>
    <n v="3"/>
    <n v="166.3"/>
    <n v="0"/>
    <x v="1930"/>
    <x v="1863"/>
    <x v="0"/>
  </r>
  <r>
    <x v="1953"/>
    <s v="2025-02-13"/>
    <x v="8"/>
    <x v="279"/>
    <x v="278"/>
    <x v="2"/>
    <x v="0"/>
    <x v="7"/>
    <n v="5"/>
    <n v="218.33"/>
    <n v="0"/>
    <x v="1931"/>
    <x v="1864"/>
    <x v="2"/>
  </r>
  <r>
    <x v="1954"/>
    <s v="2025-09-29"/>
    <x v="1"/>
    <x v="422"/>
    <x v="362"/>
    <x v="4"/>
    <x v="2"/>
    <x v="5"/>
    <n v="8"/>
    <n v="245.52"/>
    <n v="0.15"/>
    <x v="1932"/>
    <x v="1865"/>
    <x v="1"/>
  </r>
  <r>
    <x v="1955"/>
    <s v="2025-05-16"/>
    <x v="11"/>
    <x v="153"/>
    <x v="67"/>
    <x v="0"/>
    <x v="2"/>
    <x v="2"/>
    <n v="7"/>
    <n v="175.08"/>
    <n v="0.05"/>
    <x v="1933"/>
    <x v="1866"/>
    <x v="1"/>
  </r>
  <r>
    <x v="1956"/>
    <s v="2025-06-03"/>
    <x v="2"/>
    <x v="238"/>
    <x v="311"/>
    <x v="0"/>
    <x v="3"/>
    <x v="9"/>
    <n v="5"/>
    <n v="40.53"/>
    <n v="0.1"/>
    <x v="1934"/>
    <x v="1867"/>
    <x v="2"/>
  </r>
  <r>
    <x v="1957"/>
    <s v="2025-02-03"/>
    <x v="8"/>
    <x v="105"/>
    <x v="365"/>
    <x v="0"/>
    <x v="2"/>
    <x v="4"/>
    <n v="1"/>
    <n v="36.31"/>
    <n v="0.1"/>
    <x v="1935"/>
    <x v="1868"/>
    <x v="2"/>
  </r>
  <r>
    <x v="1958"/>
    <s v="2025-11-06"/>
    <x v="10"/>
    <x v="139"/>
    <x v="271"/>
    <x v="2"/>
    <x v="1"/>
    <x v="10"/>
    <n v="3"/>
    <n v="219.85"/>
    <n v="0.15"/>
    <x v="1936"/>
    <x v="1869"/>
    <x v="0"/>
  </r>
  <r>
    <x v="1959"/>
    <s v="2025-02-15"/>
    <x v="8"/>
    <x v="427"/>
    <x v="379"/>
    <x v="2"/>
    <x v="3"/>
    <x v="12"/>
    <n v="6"/>
    <n v="237.16"/>
    <n v="0.1"/>
    <x v="1937"/>
    <x v="1870"/>
    <x v="2"/>
  </r>
  <r>
    <x v="1960"/>
    <s v="2025-01-06"/>
    <x v="5"/>
    <x v="146"/>
    <x v="56"/>
    <x v="3"/>
    <x v="0"/>
    <x v="0"/>
    <n v="2"/>
    <n v="154.55000000000001"/>
    <n v="0.1"/>
    <x v="1938"/>
    <x v="1871"/>
    <x v="2"/>
  </r>
  <r>
    <x v="1961"/>
    <s v="2025-11-18"/>
    <x v="10"/>
    <x v="103"/>
    <x v="238"/>
    <x v="4"/>
    <x v="0"/>
    <x v="0"/>
    <n v="3"/>
    <n v="151.63999999999999"/>
    <n v="0.1"/>
    <x v="1939"/>
    <x v="1872"/>
    <x v="2"/>
  </r>
  <r>
    <x v="1962"/>
    <s v="2025-05-22"/>
    <x v="11"/>
    <x v="114"/>
    <x v="366"/>
    <x v="4"/>
    <x v="0"/>
    <x v="0"/>
    <n v="1"/>
    <n v="172.1"/>
    <n v="0.1"/>
    <x v="621"/>
    <x v="1873"/>
    <x v="1"/>
  </r>
  <r>
    <x v="1963"/>
    <s v="2025-05-08"/>
    <x v="11"/>
    <x v="360"/>
    <x v="18"/>
    <x v="2"/>
    <x v="2"/>
    <x v="2"/>
    <n v="2"/>
    <n v="103.66"/>
    <n v="0.1"/>
    <x v="63"/>
    <x v="1874"/>
    <x v="2"/>
  </r>
  <r>
    <x v="1964"/>
    <s v="2025-06-04"/>
    <x v="2"/>
    <x v="136"/>
    <x v="133"/>
    <x v="0"/>
    <x v="0"/>
    <x v="3"/>
    <n v="3"/>
    <n v="62.91"/>
    <n v="0.05"/>
    <x v="1940"/>
    <x v="1875"/>
    <x v="0"/>
  </r>
  <r>
    <x v="1965"/>
    <s v="2025-01-06"/>
    <x v="5"/>
    <x v="128"/>
    <x v="409"/>
    <x v="2"/>
    <x v="2"/>
    <x v="2"/>
    <n v="4"/>
    <n v="149.13"/>
    <n v="0.05"/>
    <x v="1941"/>
    <x v="167"/>
    <x v="2"/>
  </r>
  <r>
    <x v="1966"/>
    <s v="2025-02-03"/>
    <x v="8"/>
    <x v="14"/>
    <x v="207"/>
    <x v="4"/>
    <x v="2"/>
    <x v="5"/>
    <n v="3"/>
    <n v="109.54"/>
    <n v="0.05"/>
    <x v="1942"/>
    <x v="1876"/>
    <x v="1"/>
  </r>
  <r>
    <x v="1967"/>
    <s v="2025-09-22"/>
    <x v="1"/>
    <x v="475"/>
    <x v="415"/>
    <x v="0"/>
    <x v="2"/>
    <x v="4"/>
    <n v="5"/>
    <n v="154.72999999999999"/>
    <n v="0.05"/>
    <x v="1943"/>
    <x v="1877"/>
    <x v="0"/>
  </r>
  <r>
    <x v="1968"/>
    <s v="2025-09-08"/>
    <x v="1"/>
    <x v="15"/>
    <x v="249"/>
    <x v="0"/>
    <x v="1"/>
    <x v="1"/>
    <n v="2"/>
    <n v="123.96"/>
    <n v="0.1"/>
    <x v="1944"/>
    <x v="1878"/>
    <x v="1"/>
  </r>
  <r>
    <x v="1969"/>
    <s v="2025-02-20"/>
    <x v="8"/>
    <x v="288"/>
    <x v="354"/>
    <x v="4"/>
    <x v="2"/>
    <x v="4"/>
    <n v="1"/>
    <n v="241.09"/>
    <n v="0.1"/>
    <x v="1945"/>
    <x v="1094"/>
    <x v="2"/>
  </r>
  <r>
    <x v="1970"/>
    <s v="2025-04-03"/>
    <x v="9"/>
    <x v="304"/>
    <x v="293"/>
    <x v="0"/>
    <x v="1"/>
    <x v="10"/>
    <n v="8"/>
    <n v="51.31"/>
    <n v="0.05"/>
    <x v="1946"/>
    <x v="1879"/>
    <x v="0"/>
  </r>
  <r>
    <x v="1971"/>
    <s v="2025-11-12"/>
    <x v="10"/>
    <x v="294"/>
    <x v="308"/>
    <x v="0"/>
    <x v="1"/>
    <x v="10"/>
    <n v="1"/>
    <n v="119.3"/>
    <n v="0.15"/>
    <x v="1947"/>
    <x v="1880"/>
    <x v="0"/>
  </r>
  <r>
    <x v="1972"/>
    <s v="2025-07-29"/>
    <x v="4"/>
    <x v="40"/>
    <x v="492"/>
    <x v="3"/>
    <x v="0"/>
    <x v="0"/>
    <n v="3"/>
    <n v="20.43"/>
    <n v="0"/>
    <x v="1948"/>
    <x v="1881"/>
    <x v="2"/>
  </r>
  <r>
    <x v="1973"/>
    <s v="2025-04-13"/>
    <x v="9"/>
    <x v="127"/>
    <x v="414"/>
    <x v="1"/>
    <x v="3"/>
    <x v="9"/>
    <n v="5"/>
    <n v="85.88"/>
    <n v="0.05"/>
    <x v="1949"/>
    <x v="1882"/>
    <x v="2"/>
  </r>
  <r>
    <x v="1974"/>
    <s v="2025-08-20"/>
    <x v="0"/>
    <x v="363"/>
    <x v="21"/>
    <x v="0"/>
    <x v="0"/>
    <x v="0"/>
    <n v="1"/>
    <n v="205.91"/>
    <n v="0.1"/>
    <x v="1950"/>
    <x v="1883"/>
    <x v="2"/>
  </r>
  <r>
    <x v="1975"/>
    <s v="2025-05-18"/>
    <x v="11"/>
    <x v="359"/>
    <x v="57"/>
    <x v="0"/>
    <x v="1"/>
    <x v="10"/>
    <n v="2"/>
    <n v="236.56"/>
    <n v="0"/>
    <x v="1951"/>
    <x v="1884"/>
    <x v="0"/>
  </r>
  <r>
    <x v="1976"/>
    <s v="2025-03-13"/>
    <x v="7"/>
    <x v="215"/>
    <x v="123"/>
    <x v="4"/>
    <x v="2"/>
    <x v="6"/>
    <n v="2"/>
    <n v="225.17"/>
    <n v="0.05"/>
    <x v="1952"/>
    <x v="1885"/>
    <x v="2"/>
  </r>
  <r>
    <x v="1977"/>
    <s v="2025-08-11"/>
    <x v="0"/>
    <x v="98"/>
    <x v="476"/>
    <x v="1"/>
    <x v="3"/>
    <x v="12"/>
    <n v="2"/>
    <n v="204.84"/>
    <n v="0"/>
    <x v="1953"/>
    <x v="1886"/>
    <x v="0"/>
  </r>
  <r>
    <x v="1978"/>
    <s v="2025-12-06"/>
    <x v="3"/>
    <x v="483"/>
    <x v="12"/>
    <x v="2"/>
    <x v="0"/>
    <x v="3"/>
    <n v="7"/>
    <n v="199.86"/>
    <n v="0.05"/>
    <x v="1954"/>
    <x v="1887"/>
    <x v="2"/>
  </r>
  <r>
    <x v="1979"/>
    <s v="2025-08-21"/>
    <x v="0"/>
    <x v="412"/>
    <x v="440"/>
    <x v="4"/>
    <x v="1"/>
    <x v="1"/>
    <n v="4"/>
    <n v="72.209999999999994"/>
    <n v="0.1"/>
    <x v="1955"/>
    <x v="1888"/>
    <x v="0"/>
  </r>
  <r>
    <x v="1980"/>
    <s v="2025-06-22"/>
    <x v="2"/>
    <x v="267"/>
    <x v="36"/>
    <x v="3"/>
    <x v="0"/>
    <x v="0"/>
    <n v="4"/>
    <n v="91.44"/>
    <n v="0.15"/>
    <x v="1956"/>
    <x v="1889"/>
    <x v="1"/>
  </r>
  <r>
    <x v="1981"/>
    <s v="2025-07-12"/>
    <x v="4"/>
    <x v="329"/>
    <x v="15"/>
    <x v="1"/>
    <x v="1"/>
    <x v="1"/>
    <n v="2"/>
    <n v="212.77"/>
    <n v="0.1"/>
    <x v="1957"/>
    <x v="1890"/>
    <x v="2"/>
  </r>
  <r>
    <x v="1982"/>
    <s v="2025-09-30"/>
    <x v="1"/>
    <x v="141"/>
    <x v="154"/>
    <x v="2"/>
    <x v="0"/>
    <x v="3"/>
    <n v="4"/>
    <n v="22.58"/>
    <n v="0.05"/>
    <x v="1958"/>
    <x v="1891"/>
    <x v="0"/>
  </r>
  <r>
    <x v="1983"/>
    <s v="2025-09-28"/>
    <x v="1"/>
    <x v="290"/>
    <x v="248"/>
    <x v="4"/>
    <x v="3"/>
    <x v="11"/>
    <n v="6"/>
    <n v="22.11"/>
    <n v="0.15"/>
    <x v="1959"/>
    <x v="1892"/>
    <x v="0"/>
  </r>
  <r>
    <x v="1984"/>
    <s v="2025-11-07"/>
    <x v="10"/>
    <x v="191"/>
    <x v="173"/>
    <x v="4"/>
    <x v="2"/>
    <x v="6"/>
    <n v="5"/>
    <n v="87.21"/>
    <n v="0.15"/>
    <x v="1960"/>
    <x v="1893"/>
    <x v="0"/>
  </r>
  <r>
    <x v="1985"/>
    <s v="2025-02-15"/>
    <x v="8"/>
    <x v="132"/>
    <x v="130"/>
    <x v="4"/>
    <x v="1"/>
    <x v="8"/>
    <n v="7"/>
    <n v="204.94"/>
    <n v="0.15"/>
    <x v="1961"/>
    <x v="1894"/>
    <x v="0"/>
  </r>
  <r>
    <x v="1986"/>
    <s v="2025-06-24"/>
    <x v="2"/>
    <x v="433"/>
    <x v="250"/>
    <x v="3"/>
    <x v="3"/>
    <x v="9"/>
    <n v="4"/>
    <n v="114.49"/>
    <n v="0.15"/>
    <x v="1962"/>
    <x v="1895"/>
    <x v="1"/>
  </r>
  <r>
    <x v="1987"/>
    <s v="2025-09-22"/>
    <x v="1"/>
    <x v="92"/>
    <x v="156"/>
    <x v="4"/>
    <x v="2"/>
    <x v="5"/>
    <n v="8"/>
    <n v="141.72"/>
    <n v="0.1"/>
    <x v="1963"/>
    <x v="1896"/>
    <x v="0"/>
  </r>
  <r>
    <x v="1988"/>
    <s v="2025-07-02"/>
    <x v="4"/>
    <x v="323"/>
    <x v="421"/>
    <x v="4"/>
    <x v="3"/>
    <x v="12"/>
    <n v="6"/>
    <n v="87.96"/>
    <n v="0"/>
    <x v="1964"/>
    <x v="1897"/>
    <x v="0"/>
  </r>
  <r>
    <x v="1989"/>
    <s v="2025-04-24"/>
    <x v="9"/>
    <x v="255"/>
    <x v="112"/>
    <x v="3"/>
    <x v="2"/>
    <x v="6"/>
    <n v="8"/>
    <n v="22.85"/>
    <n v="0"/>
    <x v="1965"/>
    <x v="1898"/>
    <x v="0"/>
  </r>
  <r>
    <x v="1990"/>
    <s v="2025-12-27"/>
    <x v="3"/>
    <x v="321"/>
    <x v="349"/>
    <x v="1"/>
    <x v="2"/>
    <x v="6"/>
    <n v="5"/>
    <n v="66.44"/>
    <n v="0.15"/>
    <x v="1966"/>
    <x v="1899"/>
    <x v="2"/>
  </r>
  <r>
    <x v="1991"/>
    <s v="2025-02-27"/>
    <x v="8"/>
    <x v="305"/>
    <x v="24"/>
    <x v="4"/>
    <x v="0"/>
    <x v="3"/>
    <n v="5"/>
    <n v="206.08"/>
    <n v="0.1"/>
    <x v="1967"/>
    <x v="1900"/>
    <x v="2"/>
  </r>
  <r>
    <x v="1992"/>
    <s v="2025-08-27"/>
    <x v="0"/>
    <x v="102"/>
    <x v="358"/>
    <x v="1"/>
    <x v="0"/>
    <x v="0"/>
    <n v="3"/>
    <n v="180.71"/>
    <n v="0.05"/>
    <x v="1968"/>
    <x v="1901"/>
    <x v="2"/>
  </r>
  <r>
    <x v="1993"/>
    <s v="2025-11-29"/>
    <x v="10"/>
    <x v="218"/>
    <x v="227"/>
    <x v="0"/>
    <x v="1"/>
    <x v="1"/>
    <n v="5"/>
    <n v="89.17"/>
    <n v="0.15"/>
    <x v="1969"/>
    <x v="1902"/>
    <x v="0"/>
  </r>
  <r>
    <x v="1994"/>
    <s v="2025-09-09"/>
    <x v="1"/>
    <x v="488"/>
    <x v="333"/>
    <x v="2"/>
    <x v="2"/>
    <x v="5"/>
    <n v="8"/>
    <n v="246.11"/>
    <n v="0.15"/>
    <x v="1970"/>
    <x v="1903"/>
    <x v="0"/>
  </r>
  <r>
    <x v="1995"/>
    <s v="2025-07-10"/>
    <x v="4"/>
    <x v="402"/>
    <x v="117"/>
    <x v="1"/>
    <x v="1"/>
    <x v="10"/>
    <n v="1"/>
    <n v="230.71"/>
    <n v="0.15"/>
    <x v="1971"/>
    <x v="1904"/>
    <x v="0"/>
  </r>
  <r>
    <x v="1996"/>
    <s v="2025-06-20"/>
    <x v="2"/>
    <x v="340"/>
    <x v="83"/>
    <x v="0"/>
    <x v="0"/>
    <x v="7"/>
    <n v="8"/>
    <n v="43.02"/>
    <n v="0.15"/>
    <x v="1972"/>
    <x v="1905"/>
    <x v="1"/>
  </r>
  <r>
    <x v="1997"/>
    <s v="2025-06-06"/>
    <x v="2"/>
    <x v="65"/>
    <x v="193"/>
    <x v="4"/>
    <x v="3"/>
    <x v="9"/>
    <n v="6"/>
    <n v="243.12"/>
    <n v="0.1"/>
    <x v="1973"/>
    <x v="1906"/>
    <x v="2"/>
  </r>
  <r>
    <x v="1998"/>
    <s v="2025-12-24"/>
    <x v="3"/>
    <x v="359"/>
    <x v="387"/>
    <x v="1"/>
    <x v="1"/>
    <x v="8"/>
    <n v="5"/>
    <n v="209.82"/>
    <n v="0.05"/>
    <x v="1974"/>
    <x v="1907"/>
    <x v="2"/>
  </r>
  <r>
    <x v="1999"/>
    <s v="2025-02-14"/>
    <x v="8"/>
    <x v="272"/>
    <x v="148"/>
    <x v="0"/>
    <x v="3"/>
    <x v="12"/>
    <n v="3"/>
    <n v="163.93"/>
    <n v="0.15"/>
    <x v="1975"/>
    <x v="15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rowHeaderCaption="Product Category">
  <location ref="B6:C11" firstHeaderRow="1" firstDataRow="1" firstDataCol="1"/>
  <pivotFields count="17">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13">
        <item x="5"/>
        <item x="8"/>
        <item x="7"/>
        <item x="9"/>
        <item x="11"/>
        <item x="2"/>
        <item x="4"/>
        <item x="0"/>
        <item x="1"/>
        <item x="6"/>
        <item x="10"/>
        <item x="3"/>
        <item t="default"/>
      </items>
    </pivotField>
    <pivotField showAll="0">
      <items count="490">
        <item x="467"/>
        <item x="480"/>
        <item x="181"/>
        <item x="329"/>
        <item x="331"/>
        <item x="2"/>
        <item x="178"/>
        <item x="143"/>
        <item x="146"/>
        <item x="354"/>
        <item x="195"/>
        <item x="246"/>
        <item x="488"/>
        <item x="470"/>
        <item x="92"/>
        <item x="157"/>
        <item x="109"/>
        <item x="310"/>
        <item x="401"/>
        <item x="91"/>
        <item x="65"/>
        <item x="380"/>
        <item x="355"/>
        <item x="405"/>
        <item x="386"/>
        <item x="193"/>
        <item x="312"/>
        <item x="152"/>
        <item x="392"/>
        <item x="22"/>
        <item x="211"/>
        <item x="260"/>
        <item x="397"/>
        <item x="9"/>
        <item x="86"/>
        <item x="357"/>
        <item x="249"/>
        <item x="113"/>
        <item x="199"/>
        <item x="54"/>
        <item x="287"/>
        <item x="122"/>
        <item x="263"/>
        <item x="190"/>
        <item x="410"/>
        <item x="159"/>
        <item x="438"/>
        <item x="208"/>
        <item x="4"/>
        <item x="456"/>
        <item x="336"/>
        <item x="384"/>
        <item x="473"/>
        <item x="224"/>
        <item x="282"/>
        <item x="30"/>
        <item x="413"/>
        <item x="369"/>
        <item x="404"/>
        <item x="468"/>
        <item x="167"/>
        <item x="26"/>
        <item x="451"/>
        <item x="10"/>
        <item x="58"/>
        <item x="6"/>
        <item x="25"/>
        <item x="366"/>
        <item x="150"/>
        <item x="34"/>
        <item x="475"/>
        <item x="184"/>
        <item x="21"/>
        <item x="80"/>
        <item x="455"/>
        <item x="130"/>
        <item x="46"/>
        <item x="450"/>
        <item x="172"/>
        <item x="163"/>
        <item x="13"/>
        <item x="464"/>
        <item x="449"/>
        <item x="337"/>
        <item x="283"/>
        <item x="300"/>
        <item x="7"/>
        <item x="376"/>
        <item x="403"/>
        <item x="138"/>
        <item x="250"/>
        <item x="408"/>
        <item x="368"/>
        <item x="370"/>
        <item x="316"/>
        <item x="144"/>
        <item x="173"/>
        <item x="296"/>
        <item x="187"/>
        <item x="121"/>
        <item x="201"/>
        <item x="63"/>
        <item x="206"/>
        <item x="443"/>
        <item x="37"/>
        <item x="446"/>
        <item x="149"/>
        <item x="154"/>
        <item x="47"/>
        <item x="36"/>
        <item x="400"/>
        <item x="265"/>
        <item x="41"/>
        <item x="185"/>
        <item x="356"/>
        <item x="198"/>
        <item x="259"/>
        <item x="339"/>
        <item x="104"/>
        <item x="114"/>
        <item x="297"/>
        <item x="313"/>
        <item x="292"/>
        <item x="79"/>
        <item x="275"/>
        <item x="38"/>
        <item x="317"/>
        <item x="161"/>
        <item x="117"/>
        <item x="335"/>
        <item x="84"/>
        <item x="74"/>
        <item x="415"/>
        <item x="318"/>
        <item x="322"/>
        <item x="87"/>
        <item x="273"/>
        <item x="465"/>
        <item x="261"/>
        <item x="213"/>
        <item x="306"/>
        <item x="348"/>
        <item x="288"/>
        <item x="389"/>
        <item x="431"/>
        <item x="295"/>
        <item x="414"/>
        <item x="424"/>
        <item x="70"/>
        <item x="388"/>
        <item x="32"/>
        <item x="421"/>
        <item x="214"/>
        <item x="378"/>
        <item x="447"/>
        <item x="290"/>
        <item x="256"/>
        <item x="156"/>
        <item x="466"/>
        <item x="77"/>
        <item x="127"/>
        <item x="257"/>
        <item x="106"/>
        <item x="367"/>
        <item x="458"/>
        <item x="385"/>
        <item x="277"/>
        <item x="29"/>
        <item x="27"/>
        <item x="166"/>
        <item x="445"/>
        <item x="105"/>
        <item x="75"/>
        <item x="129"/>
        <item x="262"/>
        <item x="311"/>
        <item x="391"/>
        <item x="160"/>
        <item x="137"/>
        <item x="176"/>
        <item x="243"/>
        <item x="125"/>
        <item x="78"/>
        <item x="428"/>
        <item x="123"/>
        <item x="395"/>
        <item x="362"/>
        <item x="237"/>
        <item x="64"/>
        <item x="334"/>
        <item x="474"/>
        <item x="108"/>
        <item x="314"/>
        <item x="12"/>
        <item x="51"/>
        <item x="39"/>
        <item x="236"/>
        <item x="186"/>
        <item x="216"/>
        <item x="82"/>
        <item x="345"/>
        <item x="35"/>
        <item x="165"/>
        <item x="407"/>
        <item x="258"/>
        <item x="272"/>
        <item x="377"/>
        <item x="101"/>
        <item x="218"/>
        <item x="279"/>
        <item x="230"/>
        <item x="326"/>
        <item x="299"/>
        <item x="320"/>
        <item x="61"/>
        <item x="252"/>
        <item x="481"/>
        <item x="472"/>
        <item x="245"/>
        <item x="180"/>
        <item x="71"/>
        <item x="188"/>
        <item x="294"/>
        <item x="111"/>
        <item x="264"/>
        <item x="462"/>
        <item x="16"/>
        <item x="319"/>
        <item x="28"/>
        <item x="460"/>
        <item x="192"/>
        <item x="360"/>
        <item x="463"/>
        <item x="228"/>
        <item x="437"/>
        <item x="293"/>
        <item x="402"/>
        <item x="418"/>
        <item x="452"/>
        <item x="102"/>
        <item x="349"/>
        <item x="411"/>
        <item x="232"/>
        <item x="453"/>
        <item x="97"/>
        <item x="374"/>
        <item x="487"/>
        <item x="49"/>
        <item x="399"/>
        <item x="99"/>
        <item x="59"/>
        <item x="72"/>
        <item x="308"/>
        <item x="11"/>
        <item x="382"/>
        <item x="278"/>
        <item x="110"/>
        <item x="244"/>
        <item x="448"/>
        <item x="151"/>
        <item x="350"/>
        <item x="238"/>
        <item x="441"/>
        <item x="254"/>
        <item x="169"/>
        <item x="73"/>
        <item x="242"/>
        <item x="482"/>
        <item x="352"/>
        <item x="177"/>
        <item x="284"/>
        <item x="330"/>
        <item x="107"/>
        <item x="248"/>
        <item x="459"/>
        <item x="85"/>
        <item x="90"/>
        <item x="444"/>
        <item x="454"/>
        <item x="191"/>
        <item x="484"/>
        <item x="45"/>
        <item x="231"/>
        <item x="124"/>
        <item x="276"/>
        <item x="420"/>
        <item x="175"/>
        <item x="417"/>
        <item x="477"/>
        <item x="116"/>
        <item x="56"/>
        <item x="23"/>
        <item x="174"/>
        <item x="241"/>
        <item x="89"/>
        <item x="412"/>
        <item x="33"/>
        <item x="429"/>
        <item x="67"/>
        <item x="44"/>
        <item x="136"/>
        <item x="88"/>
        <item x="227"/>
        <item x="419"/>
        <item x="461"/>
        <item x="327"/>
        <item x="222"/>
        <item x="212"/>
        <item x="112"/>
        <item x="476"/>
        <item x="119"/>
        <item x="126"/>
        <item x="381"/>
        <item x="142"/>
        <item x="253"/>
        <item x="219"/>
        <item x="393"/>
        <item x="347"/>
        <item x="435"/>
        <item x="346"/>
        <item x="409"/>
        <item x="440"/>
        <item x="204"/>
        <item x="483"/>
        <item x="434"/>
        <item x="379"/>
        <item x="267"/>
        <item x="266"/>
        <item x="372"/>
        <item x="225"/>
        <item x="134"/>
        <item x="139"/>
        <item x="239"/>
        <item x="69"/>
        <item x="486"/>
        <item x="373"/>
        <item x="416"/>
        <item x="81"/>
        <item x="209"/>
        <item x="321"/>
        <item x="158"/>
        <item x="76"/>
        <item x="423"/>
        <item x="285"/>
        <item x="315"/>
        <item x="343"/>
        <item x="325"/>
        <item x="303"/>
        <item x="426"/>
        <item x="53"/>
        <item x="289"/>
        <item x="383"/>
        <item x="68"/>
        <item x="471"/>
        <item x="17"/>
        <item x="328"/>
        <item x="338"/>
        <item x="43"/>
        <item x="18"/>
        <item x="183"/>
        <item x="14"/>
        <item x="485"/>
        <item x="48"/>
        <item x="132"/>
        <item x="57"/>
        <item x="95"/>
        <item x="200"/>
        <item x="333"/>
        <item x="40"/>
        <item x="189"/>
        <item x="387"/>
        <item x="145"/>
        <item x="96"/>
        <item x="396"/>
        <item x="364"/>
        <item x="5"/>
        <item x="323"/>
        <item x="268"/>
        <item x="210"/>
        <item x="3"/>
        <item x="221"/>
        <item x="270"/>
        <item x="148"/>
        <item x="427"/>
        <item x="281"/>
        <item x="478"/>
        <item x="1"/>
        <item x="0"/>
        <item x="251"/>
        <item x="60"/>
        <item x="363"/>
        <item x="182"/>
        <item x="103"/>
        <item x="406"/>
        <item x="62"/>
        <item x="196"/>
        <item x="291"/>
        <item x="359"/>
        <item x="332"/>
        <item x="436"/>
        <item x="179"/>
        <item x="197"/>
        <item x="83"/>
        <item x="344"/>
        <item x="120"/>
        <item x="430"/>
        <item x="457"/>
        <item x="217"/>
        <item x="425"/>
        <item x="247"/>
        <item x="168"/>
        <item x="342"/>
        <item x="233"/>
        <item x="164"/>
        <item x="24"/>
        <item x="147"/>
        <item x="271"/>
        <item x="133"/>
        <item x="115"/>
        <item x="205"/>
        <item x="207"/>
        <item x="309"/>
        <item x="439"/>
        <item x="140"/>
        <item x="194"/>
        <item x="31"/>
        <item x="19"/>
        <item x="341"/>
        <item x="94"/>
        <item x="229"/>
        <item x="240"/>
        <item x="55"/>
        <item x="469"/>
        <item x="118"/>
        <item x="394"/>
        <item x="365"/>
        <item x="202"/>
        <item x="358"/>
        <item x="371"/>
        <item x="302"/>
        <item x="131"/>
        <item x="93"/>
        <item x="398"/>
        <item x="220"/>
        <item x="135"/>
        <item x="226"/>
        <item x="351"/>
        <item x="422"/>
        <item x="153"/>
        <item x="307"/>
        <item x="235"/>
        <item x="52"/>
        <item x="171"/>
        <item x="433"/>
        <item x="353"/>
        <item x="215"/>
        <item x="298"/>
        <item x="8"/>
        <item x="304"/>
        <item x="141"/>
        <item x="286"/>
        <item x="66"/>
        <item x="479"/>
        <item x="50"/>
        <item x="280"/>
        <item x="20"/>
        <item x="170"/>
        <item x="98"/>
        <item x="234"/>
        <item x="162"/>
        <item x="361"/>
        <item x="155"/>
        <item x="15"/>
        <item x="301"/>
        <item x="42"/>
        <item x="324"/>
        <item x="274"/>
        <item x="255"/>
        <item x="340"/>
        <item x="305"/>
        <item x="375"/>
        <item x="223"/>
        <item x="128"/>
        <item x="269"/>
        <item x="100"/>
        <item x="442"/>
        <item x="432"/>
        <item x="203"/>
        <item x="390"/>
        <item t="default"/>
      </items>
    </pivotField>
    <pivotField showAll="0" maxSubtotal="1">
      <items count="494">
        <item x="71"/>
        <item x="245"/>
        <item x="452"/>
        <item x="188"/>
        <item x="82"/>
        <item x="212"/>
        <item x="51"/>
        <item x="368"/>
        <item x="348"/>
        <item x="201"/>
        <item x="179"/>
        <item x="465"/>
        <item x="233"/>
        <item x="92"/>
        <item x="133"/>
        <item x="304"/>
        <item x="24"/>
        <item x="277"/>
        <item x="378"/>
        <item x="146"/>
        <item x="52"/>
        <item x="458"/>
        <item x="204"/>
        <item x="207"/>
        <item x="140"/>
        <item x="283"/>
        <item x="466"/>
        <item x="398"/>
        <item x="249"/>
        <item x="227"/>
        <item x="291"/>
        <item x="175"/>
        <item x="171"/>
        <item x="412"/>
        <item x="81"/>
        <item x="149"/>
        <item x="117"/>
        <item x="174"/>
        <item x="19"/>
        <item x="386"/>
        <item x="41"/>
        <item x="147"/>
        <item x="470"/>
        <item x="418"/>
        <item x="178"/>
        <item x="252"/>
        <item x="109"/>
        <item x="258"/>
        <item x="261"/>
        <item x="151"/>
        <item x="9"/>
        <item x="141"/>
        <item x="237"/>
        <item x="248"/>
        <item x="410"/>
        <item x="350"/>
        <item x="112"/>
        <item x="209"/>
        <item x="390"/>
        <item x="106"/>
        <item x="417"/>
        <item x="374"/>
        <item x="18"/>
        <item x="28"/>
        <item x="73"/>
        <item x="219"/>
        <item x="380"/>
        <item x="256"/>
        <item x="136"/>
        <item x="39"/>
        <item x="72"/>
        <item x="154"/>
        <item x="260"/>
        <item x="119"/>
        <item x="187"/>
        <item x="132"/>
        <item x="345"/>
        <item x="45"/>
        <item x="262"/>
        <item x="322"/>
        <item x="163"/>
        <item x="448"/>
        <item x="309"/>
        <item x="173"/>
        <item x="36"/>
        <item x="395"/>
        <item x="446"/>
        <item x="213"/>
        <item x="319"/>
        <item x="135"/>
        <item x="55"/>
        <item x="186"/>
        <item x="68"/>
        <item x="474"/>
        <item x="23"/>
        <item x="476"/>
        <item x="469"/>
        <item x="118"/>
        <item x="336"/>
        <item x="77"/>
        <item x="269"/>
        <item x="450"/>
        <item x="313"/>
        <item x="274"/>
        <item x="61"/>
        <item x="104"/>
        <item x="447"/>
        <item x="48"/>
        <item x="114"/>
        <item x="399"/>
        <item x="196"/>
        <item x="351"/>
        <item x="471"/>
        <item x="487"/>
        <item x="167"/>
        <item x="100"/>
        <item x="10"/>
        <item x="76"/>
        <item x="143"/>
        <item x="460"/>
        <item x="330"/>
        <item x="490"/>
        <item x="370"/>
        <item x="223"/>
        <item x="232"/>
        <item x="98"/>
        <item x="328"/>
        <item x="356"/>
        <item x="66"/>
        <item x="111"/>
        <item x="215"/>
        <item x="357"/>
        <item x="449"/>
        <item x="31"/>
        <item x="429"/>
        <item x="279"/>
        <item x="238"/>
        <item x="30"/>
        <item x="168"/>
        <item x="307"/>
        <item x="403"/>
        <item x="484"/>
        <item x="206"/>
        <item x="488"/>
        <item x="311"/>
        <item x="169"/>
        <item x="441"/>
        <item x="162"/>
        <item x="91"/>
        <item x="308"/>
        <item x="365"/>
        <item x="314"/>
        <item x="382"/>
        <item x="375"/>
        <item x="445"/>
        <item x="84"/>
        <item x="96"/>
        <item x="176"/>
        <item x="145"/>
        <item x="438"/>
        <item x="363"/>
        <item x="271"/>
        <item x="78"/>
        <item x="415"/>
        <item x="318"/>
        <item x="433"/>
        <item x="473"/>
        <item x="21"/>
        <item x="268"/>
        <item x="107"/>
        <item x="292"/>
        <item x="46"/>
        <item x="113"/>
        <item x="177"/>
        <item x="340"/>
        <item x="85"/>
        <item x="373"/>
        <item x="7"/>
        <item x="142"/>
        <item x="359"/>
        <item x="211"/>
        <item x="342"/>
        <item x="317"/>
        <item x="20"/>
        <item x="265"/>
        <item x="406"/>
        <item x="294"/>
        <item x="352"/>
        <item x="353"/>
        <item x="138"/>
        <item x="293"/>
        <item x="29"/>
        <item x="22"/>
        <item x="17"/>
        <item x="26"/>
        <item x="103"/>
        <item x="303"/>
        <item x="416"/>
        <item x="253"/>
        <item x="56"/>
        <item x="409"/>
        <item x="191"/>
        <item x="93"/>
        <item x="489"/>
        <item x="231"/>
        <item x="254"/>
        <item x="234"/>
        <item x="270"/>
        <item x="229"/>
        <item x="224"/>
        <item x="419"/>
        <item x="94"/>
        <item x="35"/>
        <item x="287"/>
        <item x="400"/>
        <item x="182"/>
        <item x="25"/>
        <item x="273"/>
        <item x="159"/>
        <item x="481"/>
        <item x="197"/>
        <item x="361"/>
        <item x="3"/>
        <item x="280"/>
        <item x="393"/>
        <item x="376"/>
        <item x="33"/>
        <item x="284"/>
        <item x="462"/>
        <item x="70"/>
        <item x="214"/>
        <item x="1"/>
        <item x="362"/>
        <item x="192"/>
        <item x="64"/>
        <item x="0"/>
        <item x="325"/>
        <item x="310"/>
        <item x="198"/>
        <item x="298"/>
        <item x="385"/>
        <item x="492"/>
        <item x="247"/>
        <item x="257"/>
        <item x="134"/>
        <item x="50"/>
        <item x="242"/>
        <item x="58"/>
        <item x="288"/>
        <item x="334"/>
        <item x="454"/>
        <item x="62"/>
        <item x="54"/>
        <item x="74"/>
        <item x="65"/>
        <item x="110"/>
        <item x="183"/>
        <item x="97"/>
        <item x="300"/>
        <item x="338"/>
        <item x="80"/>
        <item x="327"/>
        <item x="432"/>
        <item x="482"/>
        <item x="358"/>
        <item x="126"/>
        <item x="86"/>
        <item x="333"/>
        <item x="436"/>
        <item x="391"/>
        <item x="468"/>
        <item x="286"/>
        <item x="401"/>
        <item x="208"/>
        <item x="371"/>
        <item x="289"/>
        <item x="267"/>
        <item x="402"/>
        <item x="40"/>
        <item x="463"/>
        <item x="139"/>
        <item x="240"/>
        <item x="392"/>
        <item x="379"/>
        <item x="332"/>
        <item x="87"/>
        <item x="53"/>
        <item x="8"/>
        <item x="27"/>
        <item x="172"/>
        <item x="296"/>
        <item x="95"/>
        <item x="49"/>
        <item x="367"/>
        <item x="364"/>
        <item x="75"/>
        <item x="130"/>
        <item x="355"/>
        <item x="339"/>
        <item x="210"/>
        <item x="67"/>
        <item x="60"/>
        <item x="121"/>
        <item x="420"/>
        <item x="360"/>
        <item x="218"/>
        <item x="435"/>
        <item x="341"/>
        <item x="165"/>
        <item x="397"/>
        <item x="442"/>
        <item x="457"/>
        <item x="421"/>
        <item x="156"/>
        <item x="194"/>
        <item x="190"/>
        <item x="444"/>
        <item x="193"/>
        <item x="299"/>
        <item x="381"/>
        <item x="57"/>
        <item x="485"/>
        <item x="127"/>
        <item x="144"/>
        <item x="15"/>
        <item x="407"/>
        <item x="430"/>
        <item x="161"/>
        <item x="475"/>
        <item x="453"/>
        <item x="123"/>
        <item x="150"/>
        <item x="102"/>
        <item x="239"/>
        <item x="290"/>
        <item x="451"/>
        <item x="405"/>
        <item x="246"/>
        <item x="79"/>
        <item x="129"/>
        <item x="388"/>
        <item x="263"/>
        <item x="411"/>
        <item x="316"/>
        <item x="108"/>
        <item x="185"/>
        <item x="422"/>
        <item x="221"/>
        <item x="396"/>
        <item x="297"/>
        <item x="312"/>
        <item x="480"/>
        <item x="202"/>
        <item x="216"/>
        <item x="90"/>
        <item x="195"/>
        <item x="152"/>
        <item x="455"/>
        <item x="331"/>
        <item x="278"/>
        <item x="437"/>
        <item x="101"/>
        <item x="222"/>
        <item x="200"/>
        <item x="281"/>
        <item x="236"/>
        <item x="158"/>
        <item x="11"/>
        <item x="427"/>
        <item x="377"/>
        <item x="347"/>
        <item x="120"/>
        <item x="461"/>
        <item x="394"/>
        <item x="83"/>
        <item x="305"/>
        <item x="38"/>
        <item x="315"/>
        <item x="326"/>
        <item x="44"/>
        <item x="99"/>
        <item x="5"/>
        <item x="301"/>
        <item x="282"/>
        <item x="329"/>
        <item x="337"/>
        <item x="295"/>
        <item x="491"/>
        <item x="42"/>
        <item x="155"/>
        <item x="276"/>
        <item x="244"/>
        <item x="302"/>
        <item x="124"/>
        <item x="425"/>
        <item x="464"/>
        <item x="6"/>
        <item x="467"/>
        <item x="89"/>
        <item x="32"/>
        <item x="225"/>
        <item x="321"/>
        <item x="335"/>
        <item x="203"/>
        <item x="431"/>
        <item x="47"/>
        <item x="483"/>
        <item x="199"/>
        <item x="255"/>
        <item x="486"/>
        <item x="166"/>
        <item x="116"/>
        <item x="456"/>
        <item x="428"/>
        <item x="266"/>
        <item x="408"/>
        <item x="12"/>
        <item x="205"/>
        <item x="137"/>
        <item x="324"/>
        <item x="414"/>
        <item x="37"/>
        <item x="220"/>
        <item x="389"/>
        <item x="285"/>
        <item x="404"/>
        <item x="69"/>
        <item x="275"/>
        <item x="230"/>
        <item x="479"/>
        <item x="323"/>
        <item x="164"/>
        <item x="184"/>
        <item x="243"/>
        <item x="14"/>
        <item x="439"/>
        <item x="180"/>
        <item x="13"/>
        <item x="387"/>
        <item x="128"/>
        <item x="320"/>
        <item x="59"/>
        <item x="189"/>
        <item x="306"/>
        <item x="477"/>
        <item x="264"/>
        <item x="259"/>
        <item x="105"/>
        <item x="241"/>
        <item x="413"/>
        <item x="43"/>
        <item x="349"/>
        <item x="346"/>
        <item x="16"/>
        <item x="472"/>
        <item x="440"/>
        <item x="443"/>
        <item x="125"/>
        <item x="217"/>
        <item x="235"/>
        <item x="344"/>
        <item x="4"/>
        <item x="181"/>
        <item x="148"/>
        <item x="251"/>
        <item x="2"/>
        <item x="366"/>
        <item x="423"/>
        <item x="226"/>
        <item x="384"/>
        <item x="157"/>
        <item x="434"/>
        <item x="459"/>
        <item x="426"/>
        <item x="170"/>
        <item x="228"/>
        <item x="153"/>
        <item x="372"/>
        <item x="250"/>
        <item x="34"/>
        <item x="383"/>
        <item x="424"/>
        <item x="272"/>
        <item x="115"/>
        <item x="63"/>
        <item x="343"/>
        <item x="478"/>
        <item x="369"/>
        <item x="131"/>
        <item x="88"/>
        <item x="354"/>
        <item x="160"/>
        <item x="122"/>
        <item t="max"/>
      </items>
    </pivotField>
    <pivotField showAll="0">
      <items count="6">
        <item x="3"/>
        <item x="1"/>
        <item x="2"/>
        <item x="0"/>
        <item x="4"/>
        <item t="default"/>
      </items>
    </pivotField>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items count="14">
        <item x="12"/>
        <item x="7"/>
        <item x="9"/>
        <item x="2"/>
        <item x="1"/>
        <item x="11"/>
        <item x="6"/>
        <item x="5"/>
        <item x="0"/>
        <item x="3"/>
        <item x="10"/>
        <item x="4"/>
        <item x="8"/>
        <item t="default"/>
      </items>
    </pivotField>
    <pivotField showAll="0"/>
    <pivotField numFmtId="164" showAll="0"/>
    <pivotField numFmtId="9" showAll="0"/>
    <pivotField dataField="1" numFmtId="164" showAll="0">
      <items count="1977">
        <item x="237"/>
        <item x="1756"/>
        <item x="1883"/>
        <item x="178"/>
        <item x="915"/>
        <item x="166"/>
        <item x="258"/>
        <item x="955"/>
        <item x="687"/>
        <item x="1653"/>
        <item x="1325"/>
        <item x="1323"/>
        <item x="923"/>
        <item x="909"/>
        <item x="79"/>
        <item x="1299"/>
        <item x="1793"/>
        <item x="1849"/>
        <item x="1156"/>
        <item x="726"/>
        <item x="1817"/>
        <item x="17"/>
        <item x="1488"/>
        <item x="1252"/>
        <item x="929"/>
        <item x="1091"/>
        <item x="371"/>
        <item x="1876"/>
        <item x="202"/>
        <item x="848"/>
        <item x="994"/>
        <item x="1605"/>
        <item x="817"/>
        <item x="367"/>
        <item x="1898"/>
        <item x="745"/>
        <item x="1524"/>
        <item x="222"/>
        <item x="1935"/>
        <item x="1641"/>
        <item x="262"/>
        <item x="83"/>
        <item x="52"/>
        <item x="675"/>
        <item x="1230"/>
        <item x="590"/>
        <item x="665"/>
        <item x="972"/>
        <item x="1207"/>
        <item x="532"/>
        <item x="1079"/>
        <item x="1118"/>
        <item x="1030"/>
        <item x="516"/>
        <item x="1700"/>
        <item x="1046"/>
        <item x="176"/>
        <item x="764"/>
        <item x="978"/>
        <item x="1015"/>
        <item x="695"/>
        <item x="887"/>
        <item x="209"/>
        <item x="1460"/>
        <item x="1873"/>
        <item x="531"/>
        <item x="1862"/>
        <item x="1442"/>
        <item x="1255"/>
        <item x="1247"/>
        <item x="1810"/>
        <item x="1284"/>
        <item x="29"/>
        <item x="486"/>
        <item x="962"/>
        <item x="1609"/>
        <item x="1339"/>
        <item x="658"/>
        <item x="1483"/>
        <item x="774"/>
        <item x="1241"/>
        <item x="1080"/>
        <item x="1013"/>
        <item x="261"/>
        <item x="1734"/>
        <item x="662"/>
        <item x="1112"/>
        <item x="666"/>
        <item x="935"/>
        <item x="13"/>
        <item x="646"/>
        <item x="782"/>
        <item x="1264"/>
        <item x="528"/>
        <item x="35"/>
        <item x="1430"/>
        <item x="368"/>
        <item x="1948"/>
        <item x="329"/>
        <item x="855"/>
        <item x="221"/>
        <item x="1714"/>
        <item x="462"/>
        <item x="88"/>
        <item x="1141"/>
        <item x="1571"/>
        <item x="1908"/>
        <item x="346"/>
        <item x="200"/>
        <item x="2"/>
        <item x="239"/>
        <item x="1722"/>
        <item x="301"/>
        <item x="1909"/>
        <item x="1695"/>
        <item x="1088"/>
        <item x="1405"/>
        <item x="417"/>
        <item x="1039"/>
        <item x="607"/>
        <item x="1735"/>
        <item x="228"/>
        <item x="1835"/>
        <item x="1090"/>
        <item x="1352"/>
        <item x="1221"/>
        <item x="857"/>
        <item x="985"/>
        <item x="459"/>
        <item x="862"/>
        <item x="707"/>
        <item x="953"/>
        <item x="993"/>
        <item x="1444"/>
        <item x="610"/>
        <item x="969"/>
        <item x="735"/>
        <item x="1528"/>
        <item x="1783"/>
        <item x="152"/>
        <item x="156"/>
        <item x="960"/>
        <item x="256"/>
        <item x="1041"/>
        <item x="187"/>
        <item x="1148"/>
        <item x="1895"/>
        <item x="1912"/>
        <item x="1830"/>
        <item x="1038"/>
        <item x="1897"/>
        <item x="119"/>
        <item x="1182"/>
        <item x="1365"/>
        <item x="201"/>
        <item x="431"/>
        <item x="92"/>
        <item x="282"/>
        <item x="1543"/>
        <item x="1278"/>
        <item x="1813"/>
        <item x="1021"/>
        <item x="1007"/>
        <item x="4"/>
        <item x="97"/>
        <item x="398"/>
        <item x="1958"/>
        <item x="1445"/>
        <item x="142"/>
        <item x="591"/>
        <item x="1561"/>
        <item x="16"/>
        <item x="105"/>
        <item x="594"/>
        <item x="1327"/>
        <item x="1334"/>
        <item x="1687"/>
        <item x="1869"/>
        <item x="1666"/>
        <item x="163"/>
        <item x="172"/>
        <item x="1083"/>
        <item x="754"/>
        <item x="950"/>
        <item x="441"/>
        <item x="1780"/>
        <item x="320"/>
        <item x="1884"/>
        <item x="787"/>
        <item x="381"/>
        <item x="1611"/>
        <item x="873"/>
        <item x="107"/>
        <item x="408"/>
        <item x="1494"/>
        <item x="1265"/>
        <item x="1677"/>
        <item x="872"/>
        <item x="236"/>
        <item x="64"/>
        <item x="1743"/>
        <item x="169"/>
        <item x="1538"/>
        <item x="827"/>
        <item x="1283"/>
        <item x="648"/>
        <item x="1742"/>
        <item x="844"/>
        <item x="1580"/>
        <item x="114"/>
        <item x="1568"/>
        <item x="135"/>
        <item x="412"/>
        <item x="1545"/>
        <item x="342"/>
        <item x="1947"/>
        <item x="230"/>
        <item x="1906"/>
        <item x="478"/>
        <item x="1732"/>
        <item x="1592"/>
        <item x="772"/>
        <item x="919"/>
        <item x="341"/>
        <item x="752"/>
        <item x="1900"/>
        <item x="1864"/>
        <item x="1868"/>
        <item x="598"/>
        <item x="1629"/>
        <item x="1837"/>
        <item x="571"/>
        <item x="1151"/>
        <item x="1731"/>
        <item x="106"/>
        <item x="1726"/>
        <item x="386"/>
        <item x="1575"/>
        <item x="1096"/>
        <item x="815"/>
        <item x="492"/>
        <item x="1721"/>
        <item x="1023"/>
        <item x="803"/>
        <item x="1741"/>
        <item x="1177"/>
        <item x="1959"/>
        <item x="1069"/>
        <item x="1322"/>
        <item x="1554"/>
        <item x="799"/>
        <item x="542"/>
        <item x="1202"/>
        <item x="896"/>
        <item x="1057"/>
        <item x="490"/>
        <item x="529"/>
        <item x="769"/>
        <item x="1903"/>
        <item x="530"/>
        <item x="1512"/>
        <item x="1757"/>
        <item x="1125"/>
        <item x="1440"/>
        <item x="1829"/>
        <item x="1275"/>
        <item x="1453"/>
        <item x="1463"/>
        <item x="847"/>
        <item x="737"/>
        <item x="421"/>
        <item x="942"/>
        <item x="1212"/>
        <item x="963"/>
        <item x="185"/>
        <item x="1049"/>
        <item x="1067"/>
        <item x="225"/>
        <item x="1565"/>
        <item x="1224"/>
        <item x="758"/>
        <item x="825"/>
        <item x="1713"/>
        <item x="1791"/>
        <item x="90"/>
        <item x="1557"/>
        <item x="1595"/>
        <item x="475"/>
        <item x="1121"/>
        <item x="196"/>
        <item x="465"/>
        <item x="1679"/>
        <item x="1319"/>
        <item x="1661"/>
        <item x="1152"/>
        <item x="728"/>
        <item x="1447"/>
        <item x="330"/>
        <item x="1586"/>
        <item x="333"/>
        <item x="297"/>
        <item x="1836"/>
        <item x="1175"/>
        <item x="1865"/>
        <item x="337"/>
        <item x="406"/>
        <item x="625"/>
        <item x="469"/>
        <item x="305"/>
        <item x="289"/>
        <item x="659"/>
        <item x="1880"/>
        <item x="1710"/>
        <item x="348"/>
        <item x="1642"/>
        <item x="990"/>
        <item x="628"/>
        <item x="75"/>
        <item x="5"/>
        <item x="1694"/>
        <item x="523"/>
        <item x="224"/>
        <item x="871"/>
        <item x="100"/>
        <item x="826"/>
        <item x="1594"/>
        <item x="1733"/>
        <item x="1638"/>
        <item x="1806"/>
        <item x="1803"/>
        <item x="190"/>
        <item x="670"/>
        <item x="316"/>
        <item x="1032"/>
        <item x="1769"/>
        <item x="393"/>
        <item x="1712"/>
        <item x="747"/>
        <item x="1036"/>
        <item x="1767"/>
        <item x="602"/>
        <item x="1896"/>
        <item x="1431"/>
        <item x="552"/>
        <item x="1035"/>
        <item x="1290"/>
        <item x="1356"/>
        <item x="1245"/>
        <item x="1658"/>
        <item x="1621"/>
        <item x="314"/>
        <item x="540"/>
        <item x="569"/>
        <item x="206"/>
        <item x="1491"/>
        <item x="814"/>
        <item x="1282"/>
        <item x="1464"/>
        <item x="916"/>
        <item x="617"/>
        <item x="793"/>
        <item x="1364"/>
        <item x="717"/>
        <item x="1801"/>
        <item x="384"/>
        <item x="599"/>
        <item x="688"/>
        <item x="577"/>
        <item x="1904"/>
        <item x="1708"/>
        <item x="572"/>
        <item x="253"/>
        <item x="1630"/>
        <item x="217"/>
        <item x="813"/>
        <item x="1266"/>
        <item x="55"/>
        <item x="347"/>
        <item x="12"/>
        <item x="621"/>
        <item x="1752"/>
        <item x="23"/>
        <item x="1002"/>
        <item x="1738"/>
        <item x="432"/>
        <item x="1509"/>
        <item x="795"/>
        <item x="1832"/>
        <item x="1465"/>
        <item x="1419"/>
        <item x="446"/>
        <item x="1333"/>
        <item x="1078"/>
        <item x="325"/>
        <item x="1827"/>
        <item x="351"/>
        <item x="1357"/>
        <item x="880"/>
        <item x="669"/>
        <item x="1311"/>
        <item x="1243"/>
        <item x="1492"/>
        <item x="37"/>
        <item x="1427"/>
        <item x="1811"/>
        <item x="436"/>
        <item x="10"/>
        <item x="255"/>
        <item x="672"/>
        <item x="1628"/>
        <item x="1098"/>
        <item x="1604"/>
        <item x="175"/>
        <item x="1881"/>
        <item x="547"/>
        <item x="78"/>
        <item x="1523"/>
        <item x="884"/>
        <item x="7"/>
        <item x="580"/>
        <item x="285"/>
        <item x="453"/>
        <item x="376"/>
        <item x="385"/>
        <item x="336"/>
        <item x="1863"/>
        <item x="1825"/>
        <item x="1165"/>
        <item x="471"/>
        <item x="829"/>
        <item x="1111"/>
        <item x="1190"/>
        <item x="413"/>
        <item x="1205"/>
        <item x="1028"/>
        <item x="869"/>
        <item x="1461"/>
        <item x="1874"/>
        <item x="1340"/>
        <item x="133"/>
        <item x="1548"/>
        <item x="638"/>
        <item x="1916"/>
        <item x="460"/>
        <item x="1845"/>
        <item x="1413"/>
        <item x="1784"/>
        <item x="1056"/>
        <item x="1672"/>
        <item x="1513"/>
        <item x="124"/>
        <item x="511"/>
        <item x="1682"/>
        <item x="132"/>
        <item x="1341"/>
        <item x="1418"/>
        <item x="1643"/>
        <item x="1814"/>
        <item x="911"/>
        <item x="343"/>
        <item x="395"/>
        <item x="480"/>
        <item x="479"/>
        <item x="1843"/>
        <item x="164"/>
        <item x="539"/>
        <item x="570"/>
        <item x="1499"/>
        <item x="1940"/>
        <item x="61"/>
        <item x="775"/>
        <item x="906"/>
        <item x="1466"/>
        <item x="1789"/>
        <item x="1719"/>
        <item x="1468"/>
        <item x="1401"/>
        <item x="1934"/>
        <item x="1120"/>
        <item x="1965"/>
        <item x="553"/>
        <item x="1260"/>
        <item x="1292"/>
        <item x="306"/>
        <item x="319"/>
        <item x="694"/>
        <item x="1308"/>
        <item x="1312"/>
        <item x="194"/>
        <item x="750"/>
        <item x="1950"/>
        <item x="63"/>
        <item x="1180"/>
        <item x="1425"/>
        <item x="1066"/>
        <item x="1698"/>
        <item x="1828"/>
        <item x="1664"/>
        <item x="195"/>
        <item x="809"/>
        <item x="1052"/>
        <item x="1578"/>
        <item x="820"/>
        <item x="733"/>
        <item x="193"/>
        <item x="1253"/>
        <item x="1823"/>
        <item x="1500"/>
        <item x="207"/>
        <item x="1378"/>
        <item x="777"/>
        <item x="72"/>
        <item x="783"/>
        <item x="1227"/>
        <item x="588"/>
        <item x="49"/>
        <item x="102"/>
        <item x="1279"/>
        <item x="697"/>
        <item x="481"/>
        <item x="1486"/>
        <item x="1971"/>
        <item x="1"/>
        <item x="692"/>
        <item x="968"/>
        <item x="1764"/>
        <item x="812"/>
        <item x="563"/>
        <item x="1518"/>
        <item x="1574"/>
        <item x="321"/>
        <item x="46"/>
        <item x="1819"/>
        <item x="1797"/>
        <item x="527"/>
        <item x="1570"/>
        <item x="1374"/>
        <item x="629"/>
        <item x="851"/>
        <item x="1550"/>
        <item x="136"/>
        <item x="1751"/>
        <item x="204"/>
        <item x="501"/>
        <item x="1001"/>
        <item x="1064"/>
        <item x="1890"/>
        <item x="535"/>
        <item x="1166"/>
        <item x="908"/>
        <item x="188"/>
        <item x="323"/>
        <item x="307"/>
        <item x="1316"/>
        <item x="183"/>
        <item x="1195"/>
        <item x="749"/>
        <item x="1395"/>
        <item x="447"/>
        <item x="122"/>
        <item x="661"/>
        <item x="1585"/>
        <item x="650"/>
        <item x="1328"/>
        <item x="701"/>
        <item x="1188"/>
        <item x="131"/>
        <item x="1558"/>
        <item x="1945"/>
        <item x="1196"/>
        <item x="390"/>
        <item x="545"/>
        <item x="1848"/>
        <item x="507"/>
        <item x="1815"/>
        <item x="1635"/>
        <item x="1781"/>
        <item x="1640"/>
        <item x="1602"/>
        <item x="1646"/>
        <item x="1877"/>
        <item x="292"/>
        <item x="1505"/>
        <item x="918"/>
        <item x="618"/>
        <item x="1462"/>
        <item x="1730"/>
        <item x="1366"/>
        <item x="767"/>
        <item x="1173"/>
        <item x="1944"/>
        <item x="366"/>
        <item x="1688"/>
        <item x="613"/>
        <item x="901"/>
        <item x="50"/>
        <item x="429"/>
        <item x="298"/>
        <item x="1229"/>
        <item x="1879"/>
        <item x="1807"/>
        <item x="1347"/>
        <item x="1005"/>
        <item x="120"/>
        <item x="1907"/>
        <item x="1727"/>
        <item x="1654"/>
        <item x="1795"/>
        <item x="1307"/>
        <item x="1544"/>
        <item x="1747"/>
        <item x="881"/>
        <item x="1770"/>
        <item x="1839"/>
        <item x="9"/>
        <item x="1143"/>
        <item x="1926"/>
        <item x="130"/>
        <item x="973"/>
        <item x="1285"/>
        <item x="1925"/>
        <item x="824"/>
        <item x="184"/>
        <item x="503"/>
        <item x="632"/>
        <item x="1262"/>
        <item x="419"/>
        <item x="113"/>
        <item x="482"/>
        <item x="1006"/>
        <item x="51"/>
        <item x="45"/>
        <item x="1368"/>
        <item x="334"/>
        <item x="1094"/>
        <item x="1071"/>
        <item x="1349"/>
        <item x="335"/>
        <item x="582"/>
        <item x="1703"/>
        <item x="1400"/>
        <item x="1620"/>
        <item x="125"/>
        <item x="839"/>
        <item x="685"/>
        <item x="1167"/>
        <item x="374"/>
        <item x="1799"/>
        <item x="1423"/>
        <item x="213"/>
        <item x="1164"/>
        <item x="1914"/>
        <item x="272"/>
        <item x="1342"/>
        <item x="718"/>
        <item x="1153"/>
        <item x="1922"/>
        <item x="19"/>
        <item x="1723"/>
        <item x="1329"/>
        <item x="1872"/>
        <item x="1294"/>
        <item x="614"/>
        <item x="1854"/>
        <item x="627"/>
        <item x="38"/>
        <item x="1137"/>
        <item x="895"/>
        <item x="1484"/>
        <item x="600"/>
        <item x="496"/>
        <item x="1315"/>
        <item x="1955"/>
        <item x="1133"/>
        <item x="1397"/>
        <item x="1744"/>
        <item x="32"/>
        <item x="448"/>
        <item x="1838"/>
        <item x="559"/>
        <item x="247"/>
        <item x="1061"/>
        <item x="450"/>
        <item x="1704"/>
        <item x="944"/>
        <item x="1707"/>
        <item x="1248"/>
        <item x="1065"/>
        <item x="876"/>
        <item x="738"/>
        <item x="649"/>
        <item x="357"/>
        <item x="154"/>
        <item x="1493"/>
        <item x="976"/>
        <item x="69"/>
        <item x="1387"/>
        <item x="227"/>
        <item x="838"/>
        <item x="521"/>
        <item x="673"/>
        <item x="62"/>
        <item x="1938"/>
        <item x="981"/>
        <item x="295"/>
        <item x="1161"/>
        <item x="550"/>
        <item x="1636"/>
        <item x="983"/>
        <item x="48"/>
        <item x="1821"/>
        <item x="1433"/>
        <item x="1966"/>
        <item x="702"/>
        <item x="33"/>
        <item x="474"/>
        <item x="1082"/>
        <item x="1201"/>
        <item x="904"/>
        <item x="555"/>
        <item x="269"/>
        <item x="534"/>
        <item x="1457"/>
        <item x="257"/>
        <item x="1805"/>
        <item x="1668"/>
        <item x="220"/>
        <item x="456"/>
        <item x="1381"/>
        <item x="798"/>
        <item x="1857"/>
        <item x="1650"/>
        <item x="141"/>
        <item x="137"/>
        <item x="1113"/>
        <item x="1389"/>
        <item x="497"/>
        <item x="791"/>
        <item x="73"/>
        <item x="87"/>
        <item x="1369"/>
        <item x="1972"/>
        <item x="1022"/>
        <item x="191"/>
        <item x="1373"/>
        <item x="53"/>
        <item x="1076"/>
        <item x="495"/>
        <item x="1128"/>
        <item x="864"/>
        <item x="1816"/>
        <item x="1414"/>
        <item x="94"/>
        <item x="369"/>
        <item x="1310"/>
        <item x="350"/>
        <item x="1449"/>
        <item x="1506"/>
        <item x="1295"/>
        <item x="708"/>
        <item x="937"/>
        <item x="677"/>
        <item x="1693"/>
        <item x="493"/>
        <item x="180"/>
        <item x="522"/>
        <item x="779"/>
        <item x="1473"/>
        <item x="1110"/>
        <item x="667"/>
        <item x="879"/>
        <item x="363"/>
        <item x="1669"/>
        <item x="1826"/>
        <item x="1359"/>
        <item x="39"/>
        <item x="1107"/>
        <item x="611"/>
        <item x="1956"/>
        <item x="1860"/>
        <item x="1942"/>
        <item x="1715"/>
        <item x="229"/>
        <item x="996"/>
        <item x="1749"/>
        <item x="1728"/>
        <item x="1446"/>
        <item x="674"/>
        <item x="1305"/>
        <item x="1172"/>
        <item x="1428"/>
        <item x="1901"/>
        <item x="1540"/>
        <item x="304"/>
        <item x="235"/>
        <item x="1917"/>
        <item x="1844"/>
        <item x="1737"/>
        <item x="1725"/>
        <item x="634"/>
        <item x="14"/>
        <item x="671"/>
        <item x="109"/>
        <item x="1772"/>
        <item x="409"/>
        <item x="1350"/>
        <item x="626"/>
        <item x="1443"/>
        <item x="641"/>
        <item x="40"/>
        <item x="157"/>
        <item x="382"/>
        <item x="420"/>
        <item x="1891"/>
        <item x="947"/>
        <item x="1796"/>
        <item x="373"/>
        <item x="1104"/>
        <item x="280"/>
        <item x="806"/>
        <item x="823"/>
        <item x="1140"/>
        <item x="296"/>
        <item x="158"/>
        <item x="771"/>
        <item x="861"/>
        <item x="1274"/>
        <item x="1398"/>
        <item x="151"/>
        <item x="1345"/>
        <item x="1527"/>
        <item x="464"/>
        <item x="197"/>
        <item x="340"/>
        <item x="1929"/>
        <item x="1496"/>
        <item x="451"/>
        <item x="324"/>
        <item x="979"/>
        <item x="1581"/>
        <item x="1746"/>
        <item x="578"/>
        <item x="941"/>
        <item x="1114"/>
        <item x="1115"/>
        <item x="1185"/>
        <item x="1236"/>
        <item x="526"/>
        <item x="1420"/>
        <item x="1504"/>
        <item x="832"/>
        <item x="57"/>
        <item x="1717"/>
        <item x="1878"/>
        <item x="1214"/>
        <item x="639"/>
        <item x="470"/>
        <item x="1774"/>
        <item x="1376"/>
        <item x="1798"/>
        <item x="449"/>
        <item x="1503"/>
        <item x="1300"/>
        <item x="147"/>
        <item x="1745"/>
        <item x="26"/>
        <item x="741"/>
        <item x="1075"/>
        <item x="427"/>
        <item x="1138"/>
        <item x="391"/>
        <item x="1203"/>
        <item x="714"/>
        <item x="1179"/>
        <item x="1033"/>
        <item x="344"/>
        <item x="1724"/>
        <item x="0"/>
        <item x="1485"/>
        <item x="208"/>
        <item x="1154"/>
        <item x="437"/>
        <item x="1477"/>
        <item x="394"/>
        <item x="84"/>
        <item x="1459"/>
        <item x="1184"/>
        <item x="468"/>
        <item x="931"/>
        <item x="620"/>
        <item x="1068"/>
        <item x="252"/>
        <item x="630"/>
        <item x="711"/>
        <item x="574"/>
        <item x="1870"/>
        <item x="1218"/>
        <item x="1497"/>
        <item x="1920"/>
        <item x="927"/>
        <item x="900"/>
        <item x="1851"/>
        <item x="146"/>
        <item x="1097"/>
        <item x="835"/>
        <item x="1960"/>
        <item x="1652"/>
        <item x="510"/>
        <item x="519"/>
        <item x="1919"/>
        <item x="690"/>
        <item x="1298"/>
        <item x="246"/>
        <item x="1055"/>
        <item x="1042"/>
        <item x="1508"/>
        <item x="179"/>
        <item x="244"/>
        <item x="435"/>
        <item x="860"/>
        <item x="1232"/>
        <item x="1775"/>
        <item x="1969"/>
        <item x="877"/>
        <item x="1197"/>
        <item x="1957"/>
        <item x="1392"/>
        <item x="1116"/>
        <item x="444"/>
        <item x="58"/>
        <item x="604"/>
        <item x="407"/>
        <item x="624"/>
        <item x="186"/>
        <item x="1338"/>
        <item x="1003"/>
        <item x="1779"/>
        <item x="822"/>
        <item x="1249"/>
        <item x="34"/>
        <item x="1962"/>
        <item x="1946"/>
        <item x="1671"/>
        <item x="1135"/>
        <item x="1273"/>
        <item x="489"/>
        <item x="1866"/>
        <item x="1702"/>
        <item x="266"/>
        <item x="1853"/>
        <item x="1649"/>
        <item x="1233"/>
        <item x="1675"/>
        <item x="1213"/>
        <item x="1631"/>
        <item x="706"/>
        <item x="1534"/>
        <item x="1100"/>
        <item x="1475"/>
        <item x="1522"/>
        <item x="1354"/>
        <item x="746"/>
        <item x="1613"/>
        <item x="1263"/>
        <item x="988"/>
        <item x="583"/>
        <item x="212"/>
        <item x="1706"/>
        <item x="1888"/>
        <item x="1949"/>
        <item x="700"/>
        <item x="762"/>
        <item x="1375"/>
        <item x="1939"/>
        <item x="1501"/>
        <item x="1953"/>
        <item x="1025"/>
        <item x="1689"/>
        <item x="892"/>
        <item x="1690"/>
        <item x="1297"/>
        <item x="1709"/>
        <item x="85"/>
        <item x="1841"/>
        <item x="218"/>
        <item x="1660"/>
        <item x="1560"/>
        <item x="454"/>
        <item x="1659"/>
        <item x="1975"/>
        <item x="509"/>
        <item x="514"/>
        <item x="91"/>
        <item x="647"/>
        <item x="802"/>
        <item x="1139"/>
        <item x="76"/>
        <item x="1584"/>
        <item x="1546"/>
        <item x="965"/>
        <item x="410"/>
        <item x="1539"/>
        <item x="1773"/>
        <item x="1924"/>
        <item x="1331"/>
        <item x="1271"/>
        <item x="1410"/>
        <item x="47"/>
        <item x="619"/>
        <item x="653"/>
        <item x="1952"/>
        <item x="356"/>
        <item x="601"/>
        <item x="576"/>
        <item x="1563"/>
        <item x="1647"/>
        <item x="589"/>
        <item x="327"/>
        <item x="1019"/>
        <item x="1016"/>
        <item x="856"/>
        <item x="1616"/>
        <item x="1081"/>
        <item x="96"/>
        <item x="313"/>
        <item x="946"/>
        <item x="1927"/>
        <item x="755"/>
        <item x="66"/>
        <item x="957"/>
        <item x="524"/>
        <item x="1564"/>
        <item x="25"/>
        <item x="734"/>
        <item x="593"/>
        <item x="1393"/>
        <item x="1590"/>
        <item x="1332"/>
        <item x="1490"/>
        <item x="1149"/>
        <item x="930"/>
        <item x="1409"/>
        <item x="326"/>
        <item x="1267"/>
        <item x="587"/>
        <item x="159"/>
        <item x="275"/>
        <item x="681"/>
        <item x="1875"/>
        <item x="743"/>
        <item x="415"/>
        <item x="116"/>
        <item x="445"/>
        <item x="698"/>
        <item x="899"/>
        <item x="1680"/>
        <item x="922"/>
        <item x="1211"/>
        <item x="1607"/>
        <item x="705"/>
        <item x="161"/>
        <item x="1601"/>
        <item x="485"/>
        <item x="1103"/>
        <item x="1059"/>
        <item x="579"/>
        <item x="691"/>
        <item x="1790"/>
        <item x="1367"/>
        <item x="242"/>
        <item x="562"/>
        <item x="95"/>
        <item x="1951"/>
        <item x="759"/>
        <item x="1421"/>
        <item x="520"/>
        <item x="1174"/>
        <item x="1911"/>
        <item x="1754"/>
        <item x="606"/>
        <item x="1918"/>
        <item x="668"/>
        <item x="1787"/>
        <item x="177"/>
        <item x="1209"/>
        <item x="1108"/>
        <item x="565"/>
        <item x="678"/>
        <item x="372"/>
        <item x="1219"/>
        <item x="693"/>
        <item x="801"/>
        <item x="1858"/>
        <item x="1291"/>
        <item x="1625"/>
        <item x="1192"/>
        <item x="1269"/>
        <item x="517"/>
        <item x="716"/>
        <item x="898"/>
        <item x="364"/>
        <item x="1223"/>
        <item x="411"/>
        <item x="1739"/>
        <item x="117"/>
        <item x="1871"/>
        <item x="921"/>
        <item x="865"/>
        <item x="1930"/>
        <item x="845"/>
        <item x="556"/>
        <item x="123"/>
        <item x="1183"/>
        <item x="1800"/>
        <item x="299"/>
        <item x="472"/>
        <item x="1251"/>
        <item x="1210"/>
        <item x="912"/>
        <item x="375"/>
        <item x="1624"/>
        <item x="452"/>
        <item x="888"/>
        <item x="1755"/>
        <item x="1840"/>
        <item x="401"/>
        <item x="623"/>
        <item x="786"/>
        <item x="1582"/>
        <item x="680"/>
        <item x="214"/>
        <item x="86"/>
        <item x="1968"/>
        <item x="699"/>
        <item x="268"/>
        <item x="1391"/>
        <item x="60"/>
        <item x="1318"/>
        <item x="797"/>
        <item x="1452"/>
        <item x="956"/>
        <item x="455"/>
        <item x="1691"/>
        <item x="654"/>
        <item x="548"/>
        <item x="1566"/>
        <item x="270"/>
        <item x="1846"/>
        <item x="111"/>
        <item x="389"/>
        <item x="1529"/>
        <item x="1964"/>
        <item x="1559"/>
        <item x="837"/>
        <item x="612"/>
        <item x="461"/>
        <item x="1018"/>
        <item x="1541"/>
        <item x="1268"/>
        <item x="1026"/>
        <item x="561"/>
        <item x="891"/>
        <item x="138"/>
        <item x="276"/>
        <item x="885"/>
        <item x="886"/>
        <item x="483"/>
        <item x="397"/>
        <item x="1600"/>
        <item x="1208"/>
        <item x="1124"/>
        <item x="1760"/>
        <item x="1519"/>
        <item x="349"/>
        <item x="689"/>
        <item x="1037"/>
        <item x="1106"/>
        <item x="970"/>
        <item x="387"/>
        <item x="1761"/>
        <item x="1189"/>
        <item x="279"/>
        <item x="3"/>
        <item x="355"/>
        <item x="1159"/>
        <item x="273"/>
        <item x="1126"/>
        <item x="1162"/>
        <item x="1936"/>
        <item x="1383"/>
        <item x="1729"/>
        <item x="958"/>
        <item x="494"/>
        <item x="1639"/>
        <item x="43"/>
        <item x="80"/>
        <item x="843"/>
        <item x="964"/>
        <item x="893"/>
        <item x="1941"/>
        <item x="8"/>
        <item x="525"/>
        <item x="1085"/>
        <item x="129"/>
        <item x="271"/>
        <item x="1467"/>
        <item x="433"/>
        <item x="223"/>
        <item x="1482"/>
        <item x="1314"/>
        <item x="167"/>
        <item x="998"/>
        <item x="1699"/>
        <item x="153"/>
        <item x="790"/>
        <item x="1549"/>
        <item x="1766"/>
        <item x="1740"/>
        <item x="925"/>
        <item x="288"/>
        <item x="1132"/>
        <item x="243"/>
        <item x="1396"/>
        <item x="1054"/>
        <item x="1794"/>
        <item x="938"/>
        <item x="1145"/>
        <item x="36"/>
        <item x="637"/>
        <item x="1593"/>
        <item x="1272"/>
        <item x="414"/>
        <item x="1831"/>
        <item x="400"/>
        <item x="1576"/>
        <item x="1598"/>
        <item x="302"/>
        <item x="377"/>
        <item x="615"/>
        <item x="1786"/>
        <item x="1258"/>
        <item x="1131"/>
        <item x="1627"/>
        <item x="1520"/>
        <item x="608"/>
        <item x="238"/>
        <item x="1276"/>
        <item x="392"/>
        <item x="165"/>
        <item x="112"/>
        <item x="1394"/>
        <item x="1053"/>
        <item x="854"/>
        <item x="1157"/>
        <item x="652"/>
        <item x="934"/>
        <item x="259"/>
        <item x="914"/>
        <item x="1313"/>
        <item x="1176"/>
        <item x="513"/>
        <item x="645"/>
        <item x="1591"/>
        <item x="41"/>
        <item x="897"/>
        <item x="18"/>
        <item x="816"/>
        <item x="1579"/>
        <item x="504"/>
        <item x="770"/>
        <item x="399"/>
        <item x="592"/>
        <item x="1403"/>
        <item x="605"/>
        <item x="1535"/>
        <item x="1222"/>
        <item x="788"/>
        <item x="1526"/>
        <item x="1530"/>
        <item x="1480"/>
        <item x="378"/>
        <item x="245"/>
        <item x="1343"/>
        <item x="1577"/>
        <item x="977"/>
        <item x="1533"/>
        <item x="883"/>
        <item x="1597"/>
        <item x="1301"/>
        <item x="1517"/>
        <item x="573"/>
        <item x="1603"/>
        <item x="1024"/>
        <item x="234"/>
        <item x="1130"/>
        <item x="1399"/>
        <item x="1215"/>
        <item x="260"/>
        <item x="971"/>
        <item x="1588"/>
        <item x="1655"/>
        <item x="1169"/>
        <item x="1474"/>
        <item x="502"/>
        <item x="1406"/>
        <item x="1194"/>
        <item x="1408"/>
        <item x="226"/>
        <item x="913"/>
        <item x="1623"/>
        <item x="836"/>
        <item x="1200"/>
        <item x="1451"/>
        <item x="776"/>
        <item x="975"/>
        <item x="537"/>
        <item x="192"/>
        <item x="1404"/>
        <item x="30"/>
        <item x="997"/>
        <item x="719"/>
        <item x="538"/>
        <item x="265"/>
        <item x="744"/>
        <item x="1225"/>
        <item x="1095"/>
        <item x="215"/>
        <item x="198"/>
        <item x="1441"/>
        <item x="760"/>
        <item x="1129"/>
        <item x="781"/>
        <item x="277"/>
        <item x="1415"/>
        <item x="1824"/>
        <item x="811"/>
        <item x="1000"/>
        <item x="1674"/>
        <item x="1633"/>
        <item x="1850"/>
        <item x="402"/>
        <item x="1599"/>
        <item x="211"/>
        <item x="1240"/>
        <item x="715"/>
        <item x="1542"/>
        <item x="890"/>
        <item x="173"/>
        <item x="1471"/>
        <item x="1077"/>
        <item x="1536"/>
        <item x="951"/>
        <item x="518"/>
        <item x="780"/>
        <item x="739"/>
        <item x="1498"/>
        <item x="233"/>
        <item x="1521"/>
        <item x="1753"/>
        <item x="1432"/>
        <item x="28"/>
        <item x="725"/>
        <item x="1833"/>
        <item x="902"/>
        <item x="1495"/>
        <item x="328"/>
        <item x="546"/>
        <item x="1771"/>
        <item x="1478"/>
        <item x="199"/>
        <item x="1155"/>
        <item x="1589"/>
        <item x="205"/>
        <item x="1748"/>
        <item x="1382"/>
        <item x="1326"/>
        <item x="104"/>
        <item x="1281"/>
        <item x="713"/>
        <item x="575"/>
        <item x="1894"/>
        <item x="1683"/>
        <item x="1178"/>
        <item x="170"/>
        <item x="134"/>
        <item x="1902"/>
        <item x="1336"/>
        <item x="999"/>
        <item x="118"/>
        <item x="1531"/>
        <item x="1537"/>
        <item x="1238"/>
        <item x="1216"/>
        <item x="558"/>
        <item x="1656"/>
        <item x="1254"/>
        <item x="1242"/>
        <item x="778"/>
        <item x="1204"/>
        <item x="866"/>
        <item x="1226"/>
        <item x="800"/>
        <item x="732"/>
        <item x="318"/>
        <item x="1361"/>
        <item x="65"/>
        <item x="128"/>
        <item x="1288"/>
        <item x="488"/>
        <item x="231"/>
        <item x="1612"/>
        <item x="808"/>
        <item x="907"/>
        <item x="984"/>
        <item x="1048"/>
        <item x="966"/>
        <item x="332"/>
        <item x="1454"/>
        <item x="842"/>
        <item x="1487"/>
        <item x="1293"/>
        <item x="1380"/>
        <item x="416"/>
        <item x="115"/>
        <item x="359"/>
        <item x="954"/>
        <item x="1943"/>
        <item x="567"/>
        <item x="1622"/>
        <item x="309"/>
        <item x="1250"/>
        <item x="1736"/>
        <item x="586"/>
        <item x="317"/>
        <item x="684"/>
        <item x="1187"/>
        <item x="1673"/>
        <item x="982"/>
        <item x="182"/>
        <item x="1371"/>
        <item x="148"/>
        <item x="1776"/>
        <item x="1573"/>
        <item x="1029"/>
        <item x="140"/>
        <item x="388"/>
        <item x="139"/>
        <item x="422"/>
        <item x="1768"/>
        <item x="926"/>
        <item x="1429"/>
        <item x="423"/>
        <item x="1377"/>
        <item x="498"/>
        <item x="655"/>
        <item x="249"/>
        <item x="1086"/>
        <item x="858"/>
        <item x="1092"/>
        <item x="723"/>
        <item x="361"/>
        <item x="396"/>
        <item x="1615"/>
        <item x="905"/>
        <item x="1681"/>
        <item x="1802"/>
        <item x="840"/>
        <item x="560"/>
        <item x="882"/>
        <item x="278"/>
        <item x="773"/>
        <item x="656"/>
        <item x="1587"/>
        <item x="1525"/>
        <item x="1277"/>
        <item x="1489"/>
        <item x="1662"/>
        <item x="636"/>
        <item x="1235"/>
        <item x="1372"/>
        <item x="1476"/>
        <item x="98"/>
        <item x="1777"/>
        <item x="1867"/>
        <item x="1792"/>
        <item x="1063"/>
        <item x="1385"/>
        <item x="1470"/>
        <item x="1759"/>
        <item x="1439"/>
        <item x="742"/>
        <item x="284"/>
        <item x="1472"/>
        <item x="596"/>
        <item x="1456"/>
        <item x="1583"/>
        <item x="1555"/>
        <item x="463"/>
        <item x="1146"/>
        <item x="1514"/>
        <item x="1892"/>
        <item x="1686"/>
        <item x="1921"/>
        <item x="622"/>
        <item x="1718"/>
        <item x="986"/>
        <item x="841"/>
        <item x="458"/>
        <item x="1062"/>
        <item x="1012"/>
        <item x="785"/>
        <item x="1610"/>
        <item x="533"/>
        <item x="1317"/>
        <item x="383"/>
        <item x="405"/>
        <item x="651"/>
        <item x="477"/>
        <item x="761"/>
        <item x="150"/>
        <item x="1306"/>
        <item x="1004"/>
        <item x="740"/>
        <item x="633"/>
        <item x="22"/>
        <item x="989"/>
        <item x="974"/>
        <item x="418"/>
        <item x="1614"/>
        <item x="403"/>
        <item x="1231"/>
        <item x="932"/>
        <item x="933"/>
        <item x="99"/>
        <item x="1785"/>
        <item x="1424"/>
        <item x="1217"/>
        <item x="943"/>
        <item x="796"/>
        <item x="1711"/>
        <item x="1905"/>
        <item x="1788"/>
        <item x="1099"/>
        <item x="181"/>
        <item x="1234"/>
        <item x="874"/>
        <item x="339"/>
        <item x="1335"/>
        <item x="1017"/>
        <item x="849"/>
        <item x="1645"/>
        <item x="889"/>
        <item x="766"/>
        <item x="987"/>
        <item x="1859"/>
        <item x="952"/>
        <item x="756"/>
        <item x="1109"/>
        <item x="679"/>
        <item x="1910"/>
        <item x="1072"/>
        <item x="1093"/>
        <item x="948"/>
        <item x="1667"/>
        <item x="543"/>
        <item x="1893"/>
        <item x="216"/>
        <item x="203"/>
        <item x="924"/>
        <item x="768"/>
        <item x="564"/>
        <item x="643"/>
        <item x="1915"/>
        <item x="438"/>
        <item x="144"/>
        <item x="1606"/>
        <item x="863"/>
        <item x="807"/>
        <item x="219"/>
        <item x="549"/>
        <item x="1648"/>
        <item x="1716"/>
        <item x="143"/>
        <item x="426"/>
        <item x="631"/>
        <item x="1160"/>
        <item x="949"/>
        <item x="473"/>
        <item x="457"/>
        <item x="1220"/>
        <item x="365"/>
        <item x="251"/>
        <item x="70"/>
        <item x="1479"/>
        <item x="1855"/>
        <item x="720"/>
        <item x="1303"/>
        <item x="1102"/>
        <item x="1031"/>
        <item x="1448"/>
        <item x="870"/>
        <item x="903"/>
        <item x="425"/>
        <item x="1923"/>
        <item x="936"/>
        <item x="1626"/>
        <item x="584"/>
        <item x="1502"/>
        <item x="240"/>
        <item x="1562"/>
        <item x="1289"/>
        <item x="1363"/>
        <item x="294"/>
        <item x="345"/>
        <item x="1402"/>
        <item x="293"/>
        <item x="74"/>
        <item x="640"/>
        <item x="1089"/>
        <item x="731"/>
        <item x="1967"/>
        <item x="1353"/>
        <item x="68"/>
        <item x="1324"/>
        <item x="894"/>
        <item x="1302"/>
        <item x="1330"/>
        <item x="1199"/>
        <item x="1010"/>
        <item x="995"/>
        <item x="89"/>
        <item x="1150"/>
        <item x="1206"/>
        <item x="267"/>
        <item x="1058"/>
        <item x="1390"/>
        <item x="928"/>
        <item x="1244"/>
        <item x="763"/>
        <item x="1286"/>
        <item x="1822"/>
        <item x="108"/>
        <item x="308"/>
        <item x="1644"/>
        <item x="210"/>
        <item x="149"/>
        <item x="264"/>
        <item x="1045"/>
        <item x="834"/>
        <item x="1309"/>
        <item x="1270"/>
        <item x="1685"/>
        <item x="1304"/>
        <item x="1009"/>
        <item x="1889"/>
        <item x="24"/>
        <item x="1237"/>
        <item x="160"/>
        <item x="1043"/>
        <item x="380"/>
        <item x="439"/>
        <item x="1280"/>
        <item x="1119"/>
        <item x="1123"/>
        <item x="1974"/>
        <item x="360"/>
        <item x="499"/>
        <item x="1834"/>
        <item x="663"/>
        <item x="1074"/>
        <item x="1117"/>
        <item x="917"/>
        <item x="491"/>
        <item x="101"/>
        <item x="1163"/>
        <item x="126"/>
        <item x="1567"/>
        <item x="168"/>
        <item x="404"/>
        <item x="310"/>
        <item x="467"/>
        <item x="1963"/>
        <item x="1899"/>
        <item x="544"/>
        <item x="1027"/>
        <item x="729"/>
        <item x="508"/>
        <item x="1608"/>
        <item x="428"/>
        <item x="657"/>
        <item x="1191"/>
        <item x="1228"/>
        <item x="833"/>
        <item x="1572"/>
        <item x="1386"/>
        <item x="1384"/>
        <item x="945"/>
        <item x="1416"/>
        <item x="1637"/>
        <item x="1820"/>
        <item x="1412"/>
        <item x="67"/>
        <item x="1014"/>
        <item x="241"/>
        <item x="566"/>
        <item x="1261"/>
        <item x="1011"/>
        <item x="110"/>
        <item x="830"/>
        <item x="859"/>
        <item x="1034"/>
        <item x="6"/>
        <item x="283"/>
        <item x="910"/>
        <item x="286"/>
        <item x="867"/>
        <item x="727"/>
        <item x="484"/>
        <item x="682"/>
        <item x="1750"/>
        <item x="794"/>
        <item x="189"/>
        <item x="1411"/>
        <item x="1422"/>
        <item x="792"/>
        <item x="1634"/>
        <item x="77"/>
        <item x="232"/>
        <item x="1257"/>
        <item x="595"/>
        <item x="1362"/>
        <item x="476"/>
        <item x="635"/>
        <item x="1158"/>
        <item x="1765"/>
        <item x="1882"/>
        <item x="686"/>
        <item x="1417"/>
        <item x="1360"/>
        <item x="1931"/>
        <item x="642"/>
        <item x="846"/>
        <item x="1434"/>
        <item x="1051"/>
        <item x="354"/>
        <item x="1407"/>
        <item x="54"/>
        <item x="121"/>
        <item x="557"/>
        <item x="664"/>
        <item x="1344"/>
        <item x="603"/>
        <item x="1678"/>
        <item x="1246"/>
        <item x="536"/>
        <item x="1887"/>
        <item x="1861"/>
        <item x="878"/>
        <item x="597"/>
        <item x="1758"/>
        <item x="751"/>
        <item x="1321"/>
        <item x="1070"/>
        <item x="1259"/>
        <item x="1084"/>
        <item x="1511"/>
        <item x="1239"/>
        <item x="56"/>
        <item x="59"/>
        <item x="1060"/>
        <item x="174"/>
        <item x="765"/>
        <item x="1198"/>
        <item x="1701"/>
        <item x="1852"/>
        <item x="155"/>
        <item x="506"/>
        <item x="254"/>
        <item x="1933"/>
        <item x="315"/>
        <item x="1435"/>
        <item x="287"/>
        <item x="1122"/>
        <item x="352"/>
        <item x="127"/>
        <item x="1556"/>
        <item x="1818"/>
        <item x="1705"/>
        <item x="331"/>
        <item x="443"/>
        <item x="696"/>
        <item x="1047"/>
        <item x="722"/>
        <item x="1073"/>
        <item x="828"/>
        <item x="1720"/>
        <item x="358"/>
        <item x="1676"/>
        <item x="44"/>
        <item x="338"/>
        <item x="11"/>
        <item x="821"/>
        <item x="1136"/>
        <item x="1437"/>
        <item x="1507"/>
        <item x="1147"/>
        <item x="1618"/>
        <item x="1842"/>
        <item x="1697"/>
        <item x="1961"/>
        <item x="551"/>
        <item x="1144"/>
        <item x="505"/>
        <item x="1696"/>
        <item x="818"/>
        <item x="850"/>
        <item x="512"/>
        <item x="1651"/>
        <item x="1804"/>
        <item x="1481"/>
        <item x="1665"/>
        <item x="1886"/>
        <item x="804"/>
        <item x="362"/>
        <item x="370"/>
        <item x="430"/>
        <item x="961"/>
        <item x="281"/>
        <item x="1763"/>
        <item x="709"/>
        <item x="21"/>
        <item x="1553"/>
        <item x="81"/>
        <item x="1337"/>
        <item x="1127"/>
        <item x="291"/>
        <item x="1937"/>
        <item x="103"/>
        <item x="805"/>
        <item x="609"/>
        <item x="541"/>
        <item x="1684"/>
        <item x="1370"/>
        <item x="1596"/>
        <item x="852"/>
        <item x="1455"/>
        <item x="1657"/>
        <item x="1973"/>
        <item x="1346"/>
        <item x="1954"/>
        <item x="853"/>
        <item x="1186"/>
        <item x="20"/>
        <item x="1670"/>
        <item x="1808"/>
        <item x="263"/>
        <item x="1458"/>
        <item x="1050"/>
        <item x="274"/>
        <item x="676"/>
        <item x="704"/>
        <item x="644"/>
        <item x="82"/>
        <item x="322"/>
        <item x="730"/>
        <item x="250"/>
        <item x="1020"/>
        <item x="1552"/>
        <item x="1913"/>
        <item x="487"/>
        <item x="1008"/>
        <item x="1296"/>
        <item x="967"/>
        <item x="93"/>
        <item x="712"/>
        <item x="248"/>
        <item x="1547"/>
        <item x="466"/>
        <item x="1692"/>
        <item x="710"/>
        <item x="1436"/>
        <item x="1809"/>
        <item x="568"/>
        <item x="1516"/>
        <item x="1450"/>
        <item x="1928"/>
        <item x="683"/>
        <item x="1569"/>
        <item x="1348"/>
        <item x="27"/>
        <item x="939"/>
        <item x="1355"/>
        <item x="1426"/>
        <item x="1171"/>
        <item x="784"/>
        <item x="736"/>
        <item x="980"/>
        <item x="940"/>
        <item x="1181"/>
        <item x="434"/>
        <item x="290"/>
        <item x="810"/>
        <item x="554"/>
        <item x="721"/>
        <item x="1256"/>
        <item x="753"/>
        <item x="303"/>
        <item x="1782"/>
        <item x="1856"/>
        <item x="868"/>
        <item x="1351"/>
        <item x="581"/>
        <item x="300"/>
        <item x="724"/>
        <item x="162"/>
        <item x="1515"/>
        <item x="15"/>
        <item x="1320"/>
        <item x="1134"/>
        <item x="1044"/>
        <item x="515"/>
        <item x="1142"/>
        <item x="991"/>
        <item x="757"/>
        <item x="145"/>
        <item x="992"/>
        <item x="171"/>
        <item x="440"/>
        <item x="31"/>
        <item x="1168"/>
        <item x="1617"/>
        <item x="920"/>
        <item x="500"/>
        <item x="424"/>
        <item x="1358"/>
        <item x="71"/>
        <item x="1388"/>
        <item x="1438"/>
        <item x="1087"/>
        <item x="789"/>
        <item x="442"/>
        <item x="379"/>
        <item x="1101"/>
        <item x="1885"/>
        <item x="831"/>
        <item x="1663"/>
        <item x="748"/>
        <item x="1040"/>
        <item x="1932"/>
        <item x="1778"/>
        <item x="1619"/>
        <item x="353"/>
        <item x="311"/>
        <item x="1970"/>
        <item x="703"/>
        <item x="1532"/>
        <item x="1632"/>
        <item x="1847"/>
        <item x="1510"/>
        <item x="875"/>
        <item x="1105"/>
        <item x="1551"/>
        <item x="819"/>
        <item x="1287"/>
        <item x="1812"/>
        <item x="312"/>
        <item x="1762"/>
        <item x="42"/>
        <item x="585"/>
        <item x="616"/>
        <item x="1379"/>
        <item x="1193"/>
        <item x="959"/>
        <item x="1469"/>
        <item x="1170"/>
        <item x="660"/>
        <item t="default"/>
      </items>
    </pivotField>
    <pivotField numFmtId="164" showAll="0">
      <items count="1909">
        <item x="237"/>
        <item x="1793"/>
        <item x="258"/>
        <item x="679"/>
        <item x="1291"/>
        <item x="1695"/>
        <item x="1128"/>
        <item x="178"/>
        <item x="1816"/>
        <item x="1267"/>
        <item x="715"/>
        <item x="899"/>
        <item x="1293"/>
        <item x="1551"/>
        <item x="938"/>
        <item x="79"/>
        <item x="1065"/>
        <item x="1585"/>
        <item x="907"/>
        <item x="1783"/>
        <item x="512"/>
        <item x="913"/>
        <item x="202"/>
        <item x="17"/>
        <item x="655"/>
        <item x="1053"/>
        <item x="1443"/>
        <item x="370"/>
        <item x="166"/>
        <item x="893"/>
        <item x="1054"/>
        <item x="1476"/>
        <item x="1753"/>
        <item x="83"/>
        <item x="1641"/>
        <item x="222"/>
        <item x="960"/>
        <item x="658"/>
        <item x="1728"/>
        <item x="262"/>
        <item x="1178"/>
        <item x="527"/>
        <item x="583"/>
        <item x="1221"/>
        <item x="687"/>
        <item x="992"/>
        <item x="221"/>
        <item x="1305"/>
        <item x="1007"/>
        <item x="972"/>
        <item x="848"/>
        <item x="1807"/>
        <item x="13"/>
        <item x="841"/>
        <item x="1868"/>
        <item x="1211"/>
        <item x="803"/>
        <item x="1022"/>
        <item x="1090"/>
        <item x="366"/>
        <item x="1810"/>
        <item x="201"/>
        <item x="666"/>
        <item x="771"/>
        <item x="919"/>
        <item x="528"/>
        <item x="1252"/>
        <item x="1831"/>
        <item x="1511"/>
        <item x="524"/>
        <item x="636"/>
        <item x="735"/>
        <item x="834"/>
        <item x="302"/>
        <item x="1200"/>
        <item x="1749"/>
        <item x="671"/>
        <item x="187"/>
        <item x="460"/>
        <item x="1881"/>
        <item x="1169"/>
        <item x="152"/>
        <item x="1271"/>
        <item x="329"/>
        <item x="1331"/>
        <item x="256"/>
        <item x="1301"/>
        <item x="954"/>
        <item x="380"/>
        <item x="1554"/>
        <item x="430"/>
        <item x="565"/>
        <item x="2"/>
        <item x="1796"/>
        <item x="1674"/>
        <item x="64"/>
        <item x="1419"/>
        <item x="225"/>
        <item x="52"/>
        <item x="652"/>
        <item x="1628"/>
        <item x="163"/>
        <item x="1662"/>
        <item x="306"/>
        <item x="209"/>
        <item x="1520"/>
        <item x="169"/>
        <item x="1064"/>
        <item x="385"/>
        <item x="811"/>
        <item x="283"/>
        <item x="176"/>
        <item x="933"/>
        <item x="1830"/>
        <item x="1517"/>
        <item x="1528"/>
        <item x="584"/>
        <item x="29"/>
        <item x="1015"/>
        <item x="346"/>
        <item x="945"/>
        <item x="156"/>
        <item x="1765"/>
        <item x="603"/>
        <item x="1224"/>
        <item x="1233"/>
        <item x="1802"/>
        <item x="936"/>
        <item x="1636"/>
        <item x="717"/>
        <item x="638"/>
        <item x="5"/>
        <item x="1407"/>
        <item x="754"/>
        <item x="1682"/>
        <item x="571"/>
        <item x="1439"/>
        <item x="1217"/>
        <item x="1891"/>
        <item x="1120"/>
        <item x="1480"/>
        <item x="1635"/>
        <item x="661"/>
        <item x="1071"/>
        <item x="600"/>
        <item x="830"/>
        <item x="1093"/>
        <item x="1418"/>
        <item x="484"/>
        <item x="1033"/>
        <item x="1745"/>
        <item x="762"/>
        <item x="1322"/>
        <item x="239"/>
        <item x="1504"/>
        <item x="1235"/>
        <item x="1251"/>
        <item x="1280"/>
        <item x="1041"/>
        <item x="1405"/>
        <item x="648"/>
        <item x="200"/>
        <item x="253"/>
        <item x="813"/>
        <item x="1153"/>
        <item x="228"/>
        <item x="298"/>
        <item x="1654"/>
        <item x="1620"/>
        <item x="880"/>
        <item x="951"/>
        <item x="737"/>
        <item x="1719"/>
        <item x="1412"/>
        <item x="777"/>
        <item x="1564"/>
        <item x="1586"/>
        <item x="142"/>
        <item x="1842"/>
        <item x="1738"/>
        <item x="7"/>
        <item x="656"/>
        <item x="1741"/>
        <item x="1533"/>
        <item x="1675"/>
        <item x="1244"/>
        <item x="699"/>
        <item x="1817"/>
        <item x="943"/>
        <item x="133"/>
        <item x="1724"/>
        <item x="1391"/>
        <item x="1836"/>
        <item x="185"/>
        <item x="1651"/>
        <item x="1085"/>
        <item x="367"/>
        <item x="35"/>
        <item x="990"/>
        <item x="1424"/>
        <item x="411"/>
        <item x="261"/>
        <item x="384"/>
        <item x="105"/>
        <item x="1404"/>
        <item x="1195"/>
        <item x="725"/>
        <item x="106"/>
        <item x="63"/>
        <item x="88"/>
        <item x="1828"/>
        <item x="1598"/>
        <item x="1691"/>
        <item x="1655"/>
        <item x="100"/>
        <item x="290"/>
        <item x="1318"/>
        <item x="772"/>
        <item x="1368"/>
        <item x="236"/>
        <item x="172"/>
        <item x="507"/>
        <item x="1601"/>
        <item x="1782"/>
        <item x="135"/>
        <item x="397"/>
        <item x="1839"/>
        <item x="1005"/>
        <item x="1222"/>
        <item x="1799"/>
        <item x="1673"/>
        <item x="4"/>
        <item x="394"/>
        <item x="1541"/>
        <item x="1623"/>
        <item x="1841"/>
        <item x="1589"/>
        <item x="998"/>
        <item x="1057"/>
        <item x="1716"/>
        <item x="1062"/>
        <item x="12"/>
        <item x="978"/>
        <item x="1094"/>
        <item x="1849"/>
        <item x="1084"/>
        <item x="1295"/>
        <item x="405"/>
        <item x="469"/>
        <item x="420"/>
        <item x="609"/>
        <item x="649"/>
        <item x="843"/>
        <item x="1683"/>
        <item x="1582"/>
        <item x="114"/>
        <item x="416"/>
        <item x="1043"/>
        <item x="1192"/>
        <item x="1376"/>
        <item x="587"/>
        <item x="61"/>
        <item x="591"/>
        <item x="1746"/>
        <item x="1462"/>
        <item x="536"/>
        <item x="1803"/>
        <item x="796"/>
        <item x="1845"/>
        <item x="1446"/>
        <item x="75"/>
        <item x="1247"/>
        <item x="833"/>
        <item x="1052"/>
        <item x="903"/>
        <item x="97"/>
        <item x="1542"/>
        <item x="1092"/>
        <item x="1401"/>
        <item x="1706"/>
        <item x="890"/>
        <item x="1767"/>
        <item x="744"/>
        <item x="92"/>
        <item x="1696"/>
        <item x="1718"/>
        <item x="1173"/>
        <item x="815"/>
        <item x="45"/>
        <item x="1833"/>
        <item x="78"/>
        <item x="16"/>
        <item x="119"/>
        <item x="1215"/>
        <item x="757"/>
        <item x="1772"/>
        <item x="125"/>
        <item x="861"/>
        <item x="1806"/>
        <item x="1199"/>
        <item x="1017"/>
        <item x="1183"/>
        <item x="1666"/>
        <item x="1736"/>
        <item x="90"/>
        <item x="1653"/>
        <item x="1420"/>
        <item x="764"/>
        <item x="1751"/>
        <item x="616"/>
        <item x="1762"/>
        <item x="1014"/>
        <item x="885"/>
        <item x="1573"/>
        <item x="1"/>
        <item x="341"/>
        <item x="1394"/>
        <item x="131"/>
        <item x="1750"/>
        <item x="451"/>
        <item x="473"/>
        <item x="1580"/>
        <item x="1307"/>
        <item x="984"/>
        <item x="1452"/>
        <item x="1000"/>
        <item x="1671"/>
        <item x="1213"/>
        <item x="592"/>
        <item x="517"/>
        <item x="538"/>
        <item x="1808"/>
        <item x="1503"/>
        <item x="523"/>
        <item x="1854"/>
        <item x="739"/>
        <item x="1306"/>
        <item x="490"/>
        <item x="1605"/>
        <item x="1149"/>
        <item x="1234"/>
        <item x="217"/>
        <item x="1068"/>
        <item x="476"/>
        <item x="452"/>
        <item x="336"/>
        <item x="554"/>
        <item x="330"/>
        <item x="1285"/>
        <item x="320"/>
        <item x="865"/>
        <item x="1704"/>
        <item x="1166"/>
        <item x="727"/>
        <item x="1281"/>
        <item x="759"/>
        <item x="790"/>
        <item x="535"/>
        <item x="407"/>
        <item x="1539"/>
        <item x="1771"/>
        <item x="337"/>
        <item x="1524"/>
        <item x="107"/>
        <item x="576"/>
        <item x="979"/>
        <item x="227"/>
        <item x="1363"/>
        <item x="342"/>
        <item x="1387"/>
        <item x="858"/>
        <item x="206"/>
        <item x="742"/>
        <item x="55"/>
        <item x="368"/>
        <item x="856"/>
        <item x="1136"/>
        <item x="439"/>
        <item x="1649"/>
        <item x="1618"/>
        <item x="316"/>
        <item x="812"/>
        <item x="1777"/>
        <item x="1290"/>
        <item x="1160"/>
        <item x="1555"/>
        <item x="1526"/>
        <item x="383"/>
        <item x="1880"/>
        <item x="51"/>
        <item x="857"/>
        <item x="230"/>
        <item x="418"/>
        <item x="983"/>
        <item x="548"/>
        <item x="463"/>
        <item x="319"/>
        <item x="1726"/>
        <item x="207"/>
        <item x="1497"/>
        <item x="467"/>
        <item x="1670"/>
        <item x="350"/>
        <item x="197"/>
        <item x="775"/>
        <item x="1479"/>
        <item x="1032"/>
        <item x="445"/>
        <item x="1262"/>
        <item x="444"/>
        <item x="348"/>
        <item x="1645"/>
        <item x="1867"/>
        <item x="1165"/>
        <item x="297"/>
        <item x="1812"/>
        <item x="1629"/>
        <item x="782"/>
        <item x="526"/>
        <item x="1672"/>
        <item x="684"/>
        <item x="1858"/>
        <item x="72"/>
        <item x="558"/>
        <item x="1681"/>
        <item x="802"/>
        <item x="1028"/>
        <item x="1764"/>
        <item x="1798"/>
        <item x="809"/>
        <item x="1857"/>
        <item x="504"/>
        <item x="1770"/>
        <item x="333"/>
        <item x="1098"/>
        <item x="340"/>
        <item x="194"/>
        <item x="188"/>
        <item x="455"/>
        <item x="1382"/>
        <item x="1871"/>
        <item x="488"/>
        <item x="1730"/>
        <item x="1123"/>
        <item x="428"/>
        <item x="1359"/>
        <item x="1892"/>
        <item x="693"/>
        <item x="1392"/>
        <item x="478"/>
        <item x="37"/>
        <item x="1025"/>
        <item x="958"/>
        <item x="1147"/>
        <item x="1661"/>
        <item x="122"/>
        <item x="1323"/>
        <item x="543"/>
        <item x="180"/>
        <item x="1715"/>
        <item x="1139"/>
        <item x="784"/>
        <item x="664"/>
        <item x="1421"/>
        <item x="525"/>
        <item x="1257"/>
        <item x="347"/>
        <item x="280"/>
        <item x="748"/>
        <item x="10"/>
        <item x="1276"/>
        <item x="1012"/>
        <item x="479"/>
        <item x="850"/>
        <item x="494"/>
        <item x="1773"/>
        <item x="595"/>
        <item x="1507"/>
        <item x="334"/>
        <item x="196"/>
        <item x="102"/>
        <item x="663"/>
        <item x="800"/>
        <item x="1748"/>
        <item x="810"/>
        <item x="1837"/>
        <item x="1529"/>
        <item x="619"/>
        <item x="1829"/>
        <item x="680"/>
        <item x="1874"/>
        <item x="925"/>
        <item x="1151"/>
        <item x="902"/>
        <item x="950"/>
        <item x="1248"/>
        <item x="305"/>
        <item x="604"/>
        <item x="1300"/>
        <item x="519"/>
        <item x="1813"/>
        <item x="1145"/>
        <item x="884"/>
        <item x="549"/>
        <item x="1879"/>
        <item x="1124"/>
        <item x="1687"/>
        <item x="1678"/>
        <item x="190"/>
        <item x="660"/>
        <item x="1590"/>
        <item x="392"/>
        <item x="365"/>
        <item x="1514"/>
        <item x="477"/>
        <item x="586"/>
        <item x="541"/>
        <item x="193"/>
        <item x="1572"/>
        <item x="1259"/>
        <item x="349"/>
        <item x="1563"/>
        <item x="563"/>
        <item x="458"/>
        <item x="930"/>
        <item x="1584"/>
        <item x="1308"/>
        <item x="493"/>
        <item x="1725"/>
        <item x="969"/>
        <item x="879"/>
        <item x="824"/>
        <item x="1904"/>
        <item x="900"/>
        <item x="1316"/>
        <item x="1277"/>
        <item x="375"/>
        <item x="1883"/>
        <item x="1284"/>
        <item x="1888"/>
        <item x="582"/>
        <item x="825"/>
        <item x="1523"/>
        <item x="657"/>
        <item x="801"/>
        <item x="212"/>
        <item x="1342"/>
        <item x="749"/>
        <item x="406"/>
        <item x="866"/>
        <item x="412"/>
        <item x="204"/>
        <item x="1644"/>
        <item x="1579"/>
        <item x="46"/>
        <item x="48"/>
        <item x="1009"/>
        <item x="1613"/>
        <item x="224"/>
        <item x="468"/>
        <item x="1814"/>
        <item x="1361"/>
        <item x="137"/>
        <item x="1040"/>
        <item x="574"/>
        <item x="1372"/>
        <item x="314"/>
        <item x="564"/>
        <item x="1872"/>
        <item x="651"/>
        <item x="1381"/>
        <item x="1873"/>
        <item x="1296"/>
        <item x="1611"/>
        <item x="431"/>
        <item x="146"/>
        <item x="1778"/>
        <item x="637"/>
        <item x="1125"/>
        <item x="1875"/>
        <item x="837"/>
        <item x="612"/>
        <item x="955"/>
        <item x="159"/>
        <item x="723"/>
        <item x="1229"/>
        <item x="761"/>
        <item x="577"/>
        <item x="164"/>
        <item x="1299"/>
        <item x="218"/>
        <item x="1530"/>
        <item x="1431"/>
        <item x="999"/>
        <item x="419"/>
        <item x="87"/>
        <item x="400"/>
        <item x="1266"/>
        <item x="869"/>
        <item x="1733"/>
        <item x="895"/>
        <item x="120"/>
        <item x="1898"/>
        <item x="677"/>
        <item x="1508"/>
        <item x="1797"/>
        <item x="1639"/>
        <item x="1445"/>
        <item x="343"/>
        <item x="1330"/>
        <item x="776"/>
        <item x="1335"/>
        <item x="1176"/>
        <item x="214"/>
        <item x="964"/>
        <item x="435"/>
        <item x="1805"/>
        <item x="1137"/>
        <item x="426"/>
        <item x="1779"/>
        <item x="286"/>
        <item x="566"/>
        <item x="1553"/>
        <item x="864"/>
        <item x="1752"/>
        <item x="1253"/>
        <item x="1519"/>
        <item x="689"/>
        <item x="513"/>
        <item x="1353"/>
        <item x="1574"/>
        <item x="116"/>
        <item x="1677"/>
        <item x="1077"/>
        <item x="593"/>
        <item x="1889"/>
        <item x="325"/>
        <item x="1315"/>
        <item x="374"/>
        <item x="1804"/>
        <item x="628"/>
        <item x="1609"/>
        <item x="23"/>
        <item x="752"/>
        <item x="255"/>
        <item x="124"/>
        <item x="1486"/>
        <item x="823"/>
        <item x="1109"/>
        <item x="911"/>
        <item x="49"/>
        <item x="175"/>
        <item x="19"/>
        <item x="26"/>
        <item x="787"/>
        <item x="1406"/>
        <item x="1587"/>
        <item x="1494"/>
        <item x="1422"/>
        <item x="480"/>
        <item x="132"/>
        <item x="1532"/>
        <item x="1824"/>
        <item x="892"/>
        <item x="1731"/>
        <item x="1184"/>
        <item x="1458"/>
        <item x="1732"/>
        <item x="1087"/>
        <item x="740"/>
        <item x="373"/>
        <item x="1583"/>
        <item x="1073"/>
        <item x="927"/>
        <item x="1138"/>
        <item x="247"/>
        <item x="229"/>
        <item x="1840"/>
        <item x="53"/>
        <item x="1884"/>
        <item x="1332"/>
        <item x="1440"/>
        <item x="1282"/>
        <item x="69"/>
        <item x="766"/>
        <item x="1800"/>
        <item x="1465"/>
        <item x="510"/>
        <item x="1499"/>
        <item x="472"/>
        <item x="877"/>
        <item x="1545"/>
        <item x="1722"/>
        <item x="1616"/>
        <item x="466"/>
        <item x="195"/>
        <item x="506"/>
        <item x="1690"/>
        <item x="1755"/>
        <item x="495"/>
        <item x="639"/>
        <item x="1878"/>
        <item x="269"/>
        <item x="1547"/>
        <item x="1471"/>
        <item x="1885"/>
        <item x="606"/>
        <item x="362"/>
        <item x="1045"/>
        <item x="1548"/>
        <item x="705"/>
        <item x="1821"/>
        <item x="1114"/>
        <item x="184"/>
        <item x="518"/>
        <item x="909"/>
        <item x="1566"/>
        <item x="1659"/>
        <item x="728"/>
        <item x="1780"/>
        <item x="323"/>
        <item x="686"/>
        <item x="1112"/>
        <item x="1630"/>
        <item x="1083"/>
        <item x="1070"/>
        <item x="183"/>
        <item x="847"/>
        <item x="66"/>
        <item x="434"/>
        <item x="95"/>
        <item x="1341"/>
        <item x="1823"/>
        <item x="1711"/>
        <item x="1311"/>
        <item x="1364"/>
        <item x="1134"/>
        <item x="799"/>
        <item x="1612"/>
        <item x="1441"/>
        <item x="109"/>
        <item x="1648"/>
        <item x="299"/>
        <item x="372"/>
        <item x="1433"/>
        <item x="213"/>
        <item x="58"/>
        <item x="307"/>
        <item x="326"/>
        <item x="1453"/>
        <item x="136"/>
        <item x="321"/>
        <item x="1549"/>
        <item x="1763"/>
        <item x="1360"/>
        <item x="324"/>
        <item x="1498"/>
        <item x="272"/>
        <item x="982"/>
        <item x="80"/>
        <item x="1702"/>
        <item x="1274"/>
        <item x="1461"/>
        <item x="233"/>
        <item x="852"/>
        <item x="1760"/>
        <item x="1595"/>
        <item x="1055"/>
        <item x="1575"/>
        <item x="454"/>
        <item x="243"/>
        <item x="1759"/>
        <item x="806"/>
        <item x="1080"/>
        <item x="996"/>
        <item x="9"/>
        <item x="1231"/>
        <item x="308"/>
        <item x="665"/>
        <item x="1647"/>
        <item x="846"/>
        <item x="1340"/>
        <item x="1389"/>
        <item x="1448"/>
        <item x="601"/>
        <item x="1851"/>
        <item x="43"/>
        <item x="1116"/>
        <item x="1144"/>
        <item x="487"/>
        <item x="1187"/>
        <item x="448"/>
        <item x="1174"/>
        <item x="1049"/>
        <item x="1850"/>
        <item x="531"/>
        <item x="611"/>
        <item x="389"/>
        <item x="1450"/>
        <item x="718"/>
        <item x="130"/>
        <item x="1158"/>
        <item x="491"/>
        <item x="745"/>
        <item x="500"/>
        <item x="62"/>
        <item x="413"/>
        <item x="1740"/>
        <item x="1107"/>
        <item x="573"/>
        <item x="1111"/>
        <item x="1334"/>
        <item x="1367"/>
        <item x="1689"/>
        <item x="281"/>
        <item x="140"/>
        <item x="1847"/>
        <item x="640"/>
        <item x="158"/>
        <item x="891"/>
        <item x="1665"/>
        <item x="1470"/>
        <item x="381"/>
        <item x="1785"/>
        <item x="501"/>
        <item x="265"/>
        <item x="522"/>
        <item x="1676"/>
        <item x="643"/>
        <item x="296"/>
        <item x="1893"/>
        <item x="618"/>
        <item x="631"/>
        <item x="789"/>
        <item x="335"/>
        <item x="496"/>
        <item x="32"/>
        <item x="1050"/>
        <item x="840"/>
        <item x="1472"/>
        <item x="182"/>
        <item x="390"/>
        <item x="50"/>
        <item x="355"/>
        <item x="941"/>
        <item x="1339"/>
        <item x="408"/>
        <item x="1018"/>
        <item x="1313"/>
        <item x="692"/>
        <item x="1686"/>
        <item x="1172"/>
        <item x="1189"/>
        <item x="556"/>
        <item x="1788"/>
        <item x="1667"/>
        <item x="303"/>
        <item x="38"/>
        <item x="888"/>
        <item x="676"/>
        <item x="1351"/>
        <item x="293"/>
        <item x="205"/>
        <item x="1827"/>
        <item x="1436"/>
        <item x="1242"/>
        <item x="112"/>
        <item x="1809"/>
        <item x="1483"/>
        <item x="157"/>
        <item x="446"/>
        <item x="1304"/>
        <item x="572"/>
        <item x="1742"/>
        <item x="1002"/>
        <item x="613"/>
        <item x="780"/>
        <item x="1212"/>
        <item x="1240"/>
        <item x="266"/>
        <item x="1167"/>
        <item x="662"/>
        <item x="530"/>
        <item x="1544"/>
        <item x="622"/>
        <item x="976"/>
        <item x="682"/>
        <item x="138"/>
        <item x="246"/>
        <item x="795"/>
        <item x="1707"/>
        <item x="1366"/>
        <item x="360"/>
        <item x="1060"/>
        <item x="1206"/>
        <item x="1631"/>
        <item x="1557"/>
        <item x="300"/>
        <item x="154"/>
        <item x="974"/>
        <item x="668"/>
        <item x="450"/>
        <item x="1685"/>
        <item x="947"/>
        <item x="828"/>
        <item x="1179"/>
        <item x="1859"/>
        <item x="1333"/>
        <item x="208"/>
        <item x="73"/>
        <item x="1345"/>
        <item x="344"/>
        <item x="1862"/>
        <item x="98"/>
        <item x="1734"/>
        <item x="1076"/>
        <item x="356"/>
        <item x="886"/>
        <item x="1279"/>
        <item x="1761"/>
        <item x="242"/>
        <item x="34"/>
        <item x="113"/>
        <item x="1510"/>
        <item x="60"/>
        <item x="697"/>
        <item x="1218"/>
        <item x="1876"/>
        <item x="724"/>
        <item x="1056"/>
        <item x="1268"/>
        <item x="1473"/>
        <item x="96"/>
        <item x="702"/>
        <item x="629"/>
        <item x="1663"/>
        <item x="1567"/>
        <item x="1337"/>
        <item x="115"/>
        <item x="610"/>
        <item x="694"/>
        <item x="1627"/>
        <item x="929"/>
        <item x="399"/>
        <item x="128"/>
        <item x="1491"/>
        <item x="191"/>
        <item x="1121"/>
        <item x="1490"/>
        <item x="1710"/>
        <item x="85"/>
        <item x="447"/>
        <item x="462"/>
        <item x="129"/>
        <item x="1899"/>
        <item x="1456"/>
        <item x="1039"/>
        <item x="276"/>
        <item x="905"/>
        <item x="1197"/>
        <item x="409"/>
        <item x="827"/>
        <item x="1403"/>
        <item x="1684"/>
        <item x="509"/>
        <item x="1882"/>
        <item x="1325"/>
        <item x="948"/>
        <item x="1194"/>
        <item x="690"/>
        <item x="1640"/>
        <item x="1038"/>
        <item x="1261"/>
        <item x="57"/>
        <item x="33"/>
        <item x="271"/>
        <item x="1154"/>
        <item x="39"/>
        <item x="1013"/>
        <item x="1600"/>
        <item x="1735"/>
        <item x="620"/>
        <item x="842"/>
        <item x="1447"/>
        <item x="141"/>
        <item x="871"/>
        <item x="1811"/>
        <item x="257"/>
        <item x="91"/>
        <item x="1509"/>
        <item x="1430"/>
        <item x="1126"/>
        <item x="410"/>
        <item x="993"/>
        <item x="1902"/>
        <item x="977"/>
        <item x="1608"/>
        <item x="546"/>
        <item x="889"/>
        <item x="768"/>
        <item x="1193"/>
        <item x="1435"/>
        <item x="597"/>
        <item x="1643"/>
        <item x="1559"/>
        <item x="1119"/>
        <item x="1383"/>
        <item x="1856"/>
        <item x="1757"/>
        <item x="1604"/>
        <item x="594"/>
        <item x="151"/>
        <item x="1791"/>
        <item x="94"/>
        <item x="1634"/>
        <item x="1133"/>
        <item x="1729"/>
        <item x="101"/>
        <item x="386"/>
        <item x="1411"/>
        <item x="40"/>
        <item x="1861"/>
        <item x="1449"/>
        <item x="736"/>
        <item x="957"/>
        <item x="906"/>
        <item x="220"/>
        <item x="1905"/>
        <item x="1042"/>
        <item x="963"/>
        <item x="1086"/>
        <item x="363"/>
        <item x="1699"/>
        <item x="1210"/>
        <item x="270"/>
        <item x="1286"/>
        <item x="624"/>
        <item x="461"/>
        <item x="1652"/>
        <item x="147"/>
        <item x="521"/>
        <item x="279"/>
        <item x="1101"/>
        <item x="465"/>
        <item x="1474"/>
        <item x="1402"/>
        <item x="1895"/>
        <item x="1774"/>
        <item x="1459"/>
        <item x="921"/>
        <item x="751"/>
        <item x="285"/>
        <item x="1593"/>
        <item x="1202"/>
        <item x="709"/>
        <item x="769"/>
        <item x="1712"/>
        <item x="1457"/>
        <item x="1328"/>
        <item x="1556"/>
        <item x="395"/>
        <item x="1429"/>
        <item x="818"/>
        <item x="179"/>
        <item x="1035"/>
        <item x="1051"/>
        <item x="1794"/>
        <item x="1393"/>
        <item x="1227"/>
        <item x="1413"/>
        <item x="896"/>
        <item x="415"/>
        <item x="99"/>
        <item x="36"/>
        <item x="1377"/>
        <item x="1203"/>
        <item x="793"/>
        <item x="1180"/>
        <item x="1657"/>
        <item x="1003"/>
        <item x="1834"/>
        <item x="0"/>
        <item x="443"/>
        <item x="1177"/>
        <item x="14"/>
        <item x="1081"/>
        <item x="731"/>
        <item x="339"/>
        <item x="920"/>
        <item x="1008"/>
        <item x="1709"/>
        <item x="980"/>
        <item x="1275"/>
        <item x="1668"/>
        <item x="981"/>
        <item x="1578"/>
        <item x="741"/>
        <item x="875"/>
        <item x="24"/>
        <item x="533"/>
        <item x="821"/>
        <item x="553"/>
        <item x="617"/>
        <item x="1558"/>
        <item x="371"/>
        <item x="1243"/>
        <item x="1693"/>
        <item x="989"/>
        <item x="47"/>
        <item x="755"/>
        <item x="953"/>
        <item x="396"/>
        <item x="1181"/>
        <item x="1357"/>
        <item x="1454"/>
        <item x="973"/>
        <item x="1350"/>
        <item x="492"/>
        <item x="1132"/>
        <item x="1664"/>
        <item x="449"/>
        <item x="733"/>
        <item x="1088"/>
        <item x="235"/>
        <item x="1289"/>
        <item x="1632"/>
        <item x="551"/>
        <item x="1650"/>
        <item x="659"/>
        <item x="1478"/>
        <item x="1852"/>
        <item x="868"/>
        <item x="808"/>
        <item x="483"/>
        <item x="961"/>
        <item x="1469"/>
        <item x="1155"/>
        <item x="475"/>
        <item x="442"/>
        <item x="698"/>
        <item x="1432"/>
        <item x="252"/>
        <item x="862"/>
        <item x="683"/>
        <item x="1207"/>
        <item x="534"/>
        <item x="568"/>
        <item x="1395"/>
        <item x="1185"/>
        <item x="244"/>
        <item x="1890"/>
        <item x="388"/>
        <item x="515"/>
        <item x="599"/>
        <item x="84"/>
        <item x="567"/>
        <item x="1485"/>
        <item x="778"/>
        <item x="110"/>
        <item x="1265"/>
        <item x="1097"/>
        <item x="1196"/>
        <item x="1592"/>
        <item x="1091"/>
        <item x="1010"/>
        <item x="1844"/>
        <item x="987"/>
        <item x="268"/>
        <item x="186"/>
        <item x="1607"/>
        <item x="471"/>
        <item x="870"/>
        <item x="760"/>
        <item x="1356"/>
        <item x="1522"/>
        <item x="422"/>
        <item x="545"/>
        <item x="763"/>
        <item x="1283"/>
        <item x="770"/>
        <item x="111"/>
        <item x="685"/>
        <item x="786"/>
        <item x="605"/>
        <item x="788"/>
        <item x="1417"/>
        <item x="1384"/>
        <item x="470"/>
        <item x="1326"/>
        <item x="328"/>
        <item x="1319"/>
        <item x="1110"/>
        <item x="393"/>
        <item x="1146"/>
        <item x="1481"/>
        <item x="327"/>
        <item x="750"/>
        <item x="915"/>
        <item x="1127"/>
        <item x="1415"/>
        <item x="1848"/>
        <item x="134"/>
        <item x="1863"/>
        <item x="894"/>
        <item x="1373"/>
        <item x="1428"/>
        <item x="1658"/>
        <item x="1044"/>
        <item x="267"/>
        <item x="1358"/>
        <item x="632"/>
        <item x="669"/>
        <item x="851"/>
        <item x="1423"/>
        <item x="1434"/>
        <item x="1515"/>
        <item x="1278"/>
        <item x="1540"/>
        <item x="1901"/>
        <item x="876"/>
        <item x="1031"/>
        <item x="1046"/>
        <item x="275"/>
        <item x="376"/>
        <item x="1775"/>
        <item x="1023"/>
        <item x="1371"/>
        <item x="1495"/>
        <item x="922"/>
        <item x="401"/>
        <item x="474"/>
        <item x="1246"/>
        <item x="1298"/>
        <item x="377"/>
        <item x="1577"/>
        <item x="1869"/>
        <item x="414"/>
        <item x="859"/>
        <item x="1159"/>
        <item x="967"/>
        <item x="1258"/>
        <item x="918"/>
        <item x="1886"/>
        <item x="139"/>
        <item x="1784"/>
        <item x="503"/>
        <item x="1801"/>
        <item x="210"/>
        <item x="1727"/>
        <item x="1694"/>
        <item x="453"/>
        <item x="1438"/>
        <item x="1599"/>
        <item x="995"/>
        <item x="615"/>
        <item x="288"/>
        <item x="1787"/>
        <item x="1320"/>
        <item x="86"/>
        <item x="1838"/>
        <item x="117"/>
        <item x="89"/>
        <item x="398"/>
        <item x="1442"/>
        <item x="1546"/>
        <item x="153"/>
        <item x="1264"/>
        <item x="1496"/>
        <item x="1129"/>
        <item x="816"/>
        <item x="1369"/>
        <item x="295"/>
        <item x="516"/>
        <item x="872"/>
        <item x="1232"/>
        <item x="263"/>
        <item x="1344"/>
        <item x="1581"/>
        <item x="391"/>
        <item x="581"/>
        <item x="1669"/>
        <item x="952"/>
        <item x="681"/>
        <item x="1864"/>
        <item x="1239"/>
        <item x="1182"/>
        <item x="940"/>
        <item x="1571"/>
        <item x="219"/>
        <item x="234"/>
        <item x="514"/>
        <item x="18"/>
        <item x="1626"/>
        <item x="1329"/>
        <item x="1475"/>
        <item x="1321"/>
        <item x="1378"/>
        <item x="1398"/>
        <item x="831"/>
        <item x="161"/>
        <item x="883"/>
        <item x="570"/>
        <item x="123"/>
        <item x="404"/>
        <item x="557"/>
        <item x="1143"/>
        <item x="1171"/>
        <item x="1236"/>
        <item x="959"/>
        <item x="497"/>
        <item x="882"/>
        <item x="1220"/>
        <item x="939"/>
        <item x="647"/>
        <item x="641"/>
        <item x="914"/>
        <item x="25"/>
        <item x="520"/>
        <item x="1414"/>
        <item x="505"/>
        <item x="177"/>
        <item x="1488"/>
        <item x="6"/>
        <item x="542"/>
        <item x="873"/>
        <item x="1190"/>
        <item x="76"/>
        <item x="313"/>
        <item x="1537"/>
        <item x="1596"/>
        <item x="1768"/>
        <item x="711"/>
        <item x="646"/>
        <item x="627"/>
        <item x="673"/>
        <item x="1302"/>
        <item x="588"/>
        <item x="1079"/>
        <item x="585"/>
        <item x="1568"/>
        <item x="881"/>
        <item x="701"/>
        <item x="794"/>
        <item x="1624"/>
        <item x="1245"/>
        <item x="481"/>
        <item x="103"/>
        <item x="874"/>
        <item x="167"/>
        <item x="1209"/>
        <item x="819"/>
        <item x="1104"/>
        <item x="215"/>
        <item x="1069"/>
        <item x="294"/>
        <item x="358"/>
        <item x="1102"/>
        <item x="1237"/>
        <item x="108"/>
        <item x="1513"/>
        <item x="1030"/>
        <item x="1487"/>
        <item x="910"/>
        <item x="1241"/>
        <item x="968"/>
        <item x="798"/>
        <item x="674"/>
        <item x="1525"/>
        <item x="672"/>
        <item x="489"/>
        <item x="1506"/>
        <item x="707"/>
        <item x="635"/>
        <item x="1621"/>
        <item x="589"/>
        <item x="1036"/>
        <item x="1175"/>
        <item x="198"/>
        <item x="714"/>
        <item x="1310"/>
        <item x="1701"/>
        <item x="878"/>
        <item x="704"/>
        <item x="1692"/>
        <item x="238"/>
        <item x="231"/>
        <item x="1226"/>
        <item x="459"/>
        <item x="706"/>
        <item x="54"/>
        <item x="614"/>
        <item x="971"/>
        <item x="642"/>
        <item x="226"/>
        <item x="1703"/>
        <item x="1355"/>
        <item x="273"/>
        <item x="1721"/>
        <item x="1776"/>
        <item x="544"/>
        <item x="1482"/>
        <item x="598"/>
        <item x="165"/>
        <item x="1853"/>
        <item x="1860"/>
        <item x="1059"/>
        <item x="1505"/>
        <item x="284"/>
        <item x="1204"/>
        <item x="994"/>
        <item x="378"/>
        <item x="1272"/>
        <item x="149"/>
        <item x="1292"/>
        <item x="1294"/>
        <item x="1396"/>
        <item x="1679"/>
        <item x="277"/>
        <item x="245"/>
        <item x="1238"/>
        <item x="765"/>
        <item x="975"/>
        <item x="1150"/>
        <item x="1006"/>
        <item x="1027"/>
        <item x="1362"/>
        <item x="1148"/>
        <item x="1615"/>
        <item x="1552"/>
        <item x="168"/>
        <item x="192"/>
        <item x="691"/>
        <item x="1162"/>
        <item x="917"/>
        <item x="1594"/>
        <item x="3"/>
        <item x="1538"/>
        <item x="539"/>
        <item x="908"/>
        <item x="1082"/>
        <item x="1287"/>
        <item x="1887"/>
        <item x="944"/>
        <item x="1697"/>
        <item x="986"/>
        <item x="644"/>
        <item x="625"/>
        <item x="41"/>
        <item x="8"/>
        <item x="552"/>
        <item x="1705"/>
        <item x="432"/>
        <item x="1680"/>
        <item x="1347"/>
        <item x="1309"/>
        <item x="1250"/>
        <item x="1205"/>
        <item x="1896"/>
        <item x="934"/>
        <item x="1713"/>
        <item x="437"/>
        <item x="464"/>
        <item x="1029"/>
        <item x="1399"/>
        <item x="1186"/>
        <item x="722"/>
        <item x="223"/>
        <item x="1141"/>
        <item x="1527"/>
        <item x="734"/>
        <item x="1099"/>
        <item x="1897"/>
        <item x="839"/>
        <item x="1492"/>
        <item x="1756"/>
        <item x="1602"/>
        <item x="427"/>
        <item x="309"/>
        <item x="1113"/>
        <item x="315"/>
        <item x="626"/>
        <item x="65"/>
        <item x="259"/>
        <item x="1004"/>
        <item x="499"/>
        <item x="1477"/>
        <item x="260"/>
        <item x="1188"/>
        <item x="700"/>
        <item x="547"/>
        <item x="829"/>
        <item x="1493"/>
        <item x="1597"/>
        <item x="1792"/>
        <item x="331"/>
        <item x="289"/>
        <item x="1191"/>
        <item x="1825"/>
        <item x="932"/>
        <item x="199"/>
        <item x="354"/>
        <item x="1550"/>
        <item x="359"/>
        <item x="1103"/>
        <item x="1131"/>
        <item x="1708"/>
        <item x="170"/>
        <item x="1826"/>
        <item x="898"/>
        <item x="353"/>
        <item x="1021"/>
        <item x="1400"/>
        <item x="607"/>
        <item x="1117"/>
        <item x="670"/>
        <item x="1096"/>
        <item x="211"/>
        <item x="1105"/>
        <item x="1747"/>
        <item x="311"/>
        <item x="1001"/>
        <item x="1338"/>
        <item x="946"/>
        <item x="1303"/>
        <item x="457"/>
        <item x="1660"/>
        <item x="1416"/>
        <item x="70"/>
        <item x="173"/>
        <item x="1426"/>
        <item x="1570"/>
        <item x="485"/>
        <item x="901"/>
        <item x="781"/>
        <item x="826"/>
        <item x="562"/>
        <item x="1489"/>
        <item x="68"/>
        <item x="1427"/>
        <item x="783"/>
        <item x="1385"/>
        <item x="216"/>
        <item x="1531"/>
        <item x="1766"/>
        <item x="1349"/>
        <item x="623"/>
        <item x="143"/>
        <item x="1535"/>
        <item x="1614"/>
        <item x="1737"/>
        <item x="1269"/>
        <item x="1024"/>
        <item x="853"/>
        <item x="30"/>
        <item x="729"/>
        <item x="1410"/>
        <item x="1140"/>
        <item x="424"/>
        <item x="1164"/>
        <item x="67"/>
        <item x="1843"/>
        <item x="569"/>
        <item x="732"/>
        <item x="1346"/>
        <item x="634"/>
        <item x="332"/>
        <item x="162"/>
        <item x="1603"/>
        <item x="1228"/>
        <item x="897"/>
        <item x="1170"/>
        <item x="440"/>
        <item x="1379"/>
        <item x="630"/>
        <item x="1067"/>
        <item x="352"/>
        <item x="590"/>
        <item x="596"/>
        <item x="621"/>
        <item x="1444"/>
        <item x="118"/>
        <item x="174"/>
        <item x="822"/>
        <item x="82"/>
        <item x="1536"/>
        <item x="1408"/>
        <item x="1622"/>
        <item x="1352"/>
        <item x="317"/>
        <item x="712"/>
        <item x="965"/>
        <item x="835"/>
        <item x="310"/>
        <item x="991"/>
        <item x="28"/>
        <item x="708"/>
        <item x="774"/>
        <item x="713"/>
        <item x="1688"/>
        <item x="529"/>
        <item x="1066"/>
        <item x="555"/>
        <item x="1633"/>
        <item x="926"/>
        <item x="1877"/>
        <item x="966"/>
        <item x="1606"/>
        <item x="1208"/>
        <item x="1451"/>
        <item x="844"/>
        <item x="1354"/>
        <item x="1617"/>
        <item x="104"/>
        <item x="369"/>
        <item x="561"/>
        <item x="1223"/>
        <item x="1263"/>
        <item x="301"/>
        <item x="1348"/>
        <item x="937"/>
        <item x="1037"/>
        <item x="678"/>
        <item x="1466"/>
        <item x="580"/>
        <item x="767"/>
        <item x="1254"/>
        <item x="387"/>
        <item x="318"/>
        <item x="1214"/>
        <item x="1569"/>
        <item x="912"/>
        <item x="716"/>
        <item x="970"/>
        <item x="1512"/>
        <item x="203"/>
        <item x="232"/>
        <item x="1835"/>
        <item x="486"/>
        <item x="1034"/>
        <item x="1260"/>
        <item x="1380"/>
        <item x="1075"/>
        <item x="1019"/>
        <item x="832"/>
        <item x="421"/>
        <item x="1327"/>
        <item x="144"/>
        <item x="719"/>
        <item x="1219"/>
        <item x="753"/>
        <item x="155"/>
        <item x="675"/>
        <item x="1386"/>
        <item x="1161"/>
        <item x="645"/>
        <item x="1900"/>
        <item x="403"/>
        <item x="746"/>
        <item x="1256"/>
        <item x="148"/>
        <item x="150"/>
        <item x="1157"/>
        <item x="1907"/>
        <item x="278"/>
        <item x="1565"/>
        <item x="1642"/>
        <item x="1198"/>
        <item x="928"/>
        <item x="1374"/>
        <item x="887"/>
        <item x="181"/>
        <item x="916"/>
        <item x="855"/>
        <item x="364"/>
        <item x="249"/>
        <item x="1698"/>
        <item x="1744"/>
        <item x="988"/>
        <item x="11"/>
        <item x="240"/>
        <item x="1390"/>
        <item x="251"/>
        <item x="1591"/>
        <item x="1561"/>
        <item x="575"/>
        <item x="1270"/>
        <item x="867"/>
        <item x="1163"/>
        <item x="1273"/>
        <item x="402"/>
        <item x="22"/>
        <item x="721"/>
        <item x="382"/>
        <item x="1058"/>
        <item x="1534"/>
        <item x="1201"/>
        <item x="1467"/>
        <item x="1455"/>
        <item x="904"/>
        <item x="792"/>
        <item x="1314"/>
        <item x="758"/>
        <item x="559"/>
        <item x="956"/>
        <item x="1543"/>
        <item x="540"/>
        <item x="785"/>
        <item x="1089"/>
        <item x="1789"/>
        <item x="417"/>
        <item x="1822"/>
        <item x="805"/>
        <item x="756"/>
        <item x="1790"/>
        <item x="730"/>
        <item x="602"/>
        <item x="931"/>
        <item x="1714"/>
        <item x="1095"/>
        <item x="1610"/>
        <item x="1720"/>
        <item x="1072"/>
        <item x="429"/>
        <item x="1656"/>
        <item x="1815"/>
        <item x="1135"/>
        <item x="935"/>
        <item x="1723"/>
        <item x="436"/>
        <item x="56"/>
        <item x="1130"/>
        <item x="560"/>
        <item x="248"/>
        <item x="1230"/>
        <item x="160"/>
        <item x="863"/>
        <item x="1820"/>
        <item x="1249"/>
        <item x="720"/>
        <item x="532"/>
        <item x="1409"/>
        <item x="1518"/>
        <item x="1312"/>
        <item x="74"/>
        <item x="498"/>
        <item x="1769"/>
        <item x="345"/>
        <item x="633"/>
        <item x="1754"/>
        <item x="578"/>
        <item x="282"/>
        <item x="1906"/>
        <item x="1646"/>
        <item x="849"/>
        <item x="820"/>
        <item x="425"/>
        <item x="312"/>
        <item x="1638"/>
        <item x="773"/>
        <item x="654"/>
        <item x="351"/>
        <item x="456"/>
        <item x="59"/>
        <item x="292"/>
        <item x="1168"/>
        <item x="1464"/>
        <item x="537"/>
        <item x="361"/>
        <item x="1063"/>
        <item x="77"/>
        <item x="1122"/>
        <item x="1297"/>
        <item x="860"/>
        <item x="791"/>
        <item x="738"/>
        <item x="1855"/>
        <item x="1225"/>
        <item x="1619"/>
        <item x="1216"/>
        <item x="747"/>
        <item x="1365"/>
        <item x="357"/>
        <item x="126"/>
        <item x="1588"/>
        <item x="189"/>
        <item x="1832"/>
        <item x="379"/>
        <item x="433"/>
        <item x="264"/>
        <item x="44"/>
        <item x="1048"/>
        <item x="287"/>
        <item x="1758"/>
        <item x="145"/>
        <item x="1576"/>
        <item x="1516"/>
        <item x="81"/>
        <item x="1460"/>
        <item x="653"/>
        <item x="21"/>
        <item x="1560"/>
        <item x="1020"/>
        <item x="338"/>
        <item x="1370"/>
        <item x="997"/>
        <item x="1115"/>
        <item x="241"/>
        <item x="1739"/>
        <item x="121"/>
        <item x="1521"/>
        <item x="667"/>
        <item x="854"/>
        <item x="1108"/>
        <item x="127"/>
        <item x="1870"/>
        <item x="254"/>
        <item x="923"/>
        <item x="807"/>
        <item x="726"/>
        <item x="949"/>
        <item x="27"/>
        <item x="1100"/>
        <item x="845"/>
        <item x="1011"/>
        <item x="1375"/>
        <item x="482"/>
        <item x="1397"/>
        <item x="1700"/>
        <item x="1795"/>
        <item x="1437"/>
        <item x="1026"/>
        <item x="1903"/>
        <item x="1625"/>
        <item x="322"/>
        <item x="1894"/>
        <item x="508"/>
        <item x="291"/>
        <item x="423"/>
        <item x="650"/>
        <item x="1336"/>
        <item x="1502"/>
        <item x="502"/>
        <item x="688"/>
        <item x="1562"/>
        <item x="1425"/>
        <item x="1637"/>
        <item x="1074"/>
        <item x="1047"/>
        <item x="250"/>
        <item x="1818"/>
        <item x="1866"/>
        <item x="1786"/>
        <item x="804"/>
        <item x="1118"/>
        <item x="441"/>
        <item x="814"/>
        <item x="836"/>
        <item x="962"/>
        <item x="550"/>
        <item x="31"/>
        <item x="1501"/>
        <item x="1819"/>
        <item x="1152"/>
        <item x="1016"/>
        <item x="1324"/>
        <item x="703"/>
        <item x="779"/>
        <item x="1317"/>
        <item x="438"/>
        <item x="743"/>
        <item x="1846"/>
        <item x="1743"/>
        <item x="838"/>
        <item x="608"/>
        <item x="304"/>
        <item x="817"/>
        <item x="274"/>
        <item x="93"/>
        <item x="1781"/>
        <item x="1156"/>
        <item x="20"/>
        <item x="171"/>
        <item x="1388"/>
        <item x="696"/>
        <item x="985"/>
        <item x="1468"/>
        <item x="924"/>
        <item x="1343"/>
        <item x="15"/>
        <item x="695"/>
        <item x="1106"/>
        <item x="1142"/>
        <item x="1717"/>
        <item x="710"/>
        <item x="1061"/>
        <item x="797"/>
        <item x="1288"/>
        <item x="511"/>
        <item x="1463"/>
        <item x="1500"/>
        <item x="1865"/>
        <item x="42"/>
        <item x="71"/>
        <item x="579"/>
        <item x="942"/>
        <item x="1484"/>
        <item x="1255"/>
        <item x="1078"/>
        <item t="default"/>
      </items>
    </pivotField>
    <pivotField showAll="0">
      <items count="4">
        <item x="2"/>
        <item x="0"/>
        <item x="1"/>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6"/>
  </rowFields>
  <rowItems count="5">
    <i>
      <x v="1"/>
    </i>
    <i>
      <x/>
    </i>
    <i>
      <x v="3"/>
    </i>
    <i>
      <x v="2"/>
    </i>
    <i t="grand">
      <x/>
    </i>
  </rowItems>
  <colItems count="1">
    <i/>
  </colItems>
  <dataFields count="1">
    <dataField name="Total Sales " fld="11" baseField="6" baseItem="0"/>
  </dataFields>
  <formats count="4">
    <format dxfId="14">
      <pivotArea dataOnly="0" labelOnly="1" outline="0" axis="axisValues" fieldPosition="0"/>
    </format>
    <format dxfId="13">
      <pivotArea outline="0" collapsedLevelsAreSubtotals="1" fieldPosition="0"/>
    </format>
    <format dxfId="12">
      <pivotArea collapsedLevelsAreSubtotals="1" fieldPosition="0">
        <references count="1">
          <reference field="6" count="0"/>
        </references>
      </pivotArea>
    </format>
    <format dxfId="11">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Payment Method">
  <location ref="K13:K14" firstHeaderRow="1" firstDataRow="1" firstDataCol="0"/>
  <pivotFields count="17">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13">
        <item x="5"/>
        <item x="8"/>
        <item x="7"/>
        <item x="9"/>
        <item x="11"/>
        <item x="2"/>
        <item x="4"/>
        <item x="0"/>
        <item x="1"/>
        <item x="6"/>
        <item x="10"/>
        <item x="3"/>
        <item t="default"/>
      </items>
    </pivotField>
    <pivotField showAll="0">
      <items count="490">
        <item x="467"/>
        <item x="480"/>
        <item x="181"/>
        <item x="329"/>
        <item x="331"/>
        <item x="2"/>
        <item x="178"/>
        <item x="143"/>
        <item x="146"/>
        <item x="354"/>
        <item x="195"/>
        <item x="246"/>
        <item x="488"/>
        <item x="470"/>
        <item x="92"/>
        <item x="157"/>
        <item x="109"/>
        <item x="310"/>
        <item x="401"/>
        <item x="91"/>
        <item x="65"/>
        <item x="380"/>
        <item x="355"/>
        <item x="405"/>
        <item x="386"/>
        <item x="193"/>
        <item x="312"/>
        <item x="152"/>
        <item x="392"/>
        <item x="22"/>
        <item x="211"/>
        <item x="260"/>
        <item x="397"/>
        <item x="9"/>
        <item x="86"/>
        <item x="357"/>
        <item x="249"/>
        <item x="113"/>
        <item x="199"/>
        <item x="54"/>
        <item x="287"/>
        <item x="122"/>
        <item x="263"/>
        <item x="190"/>
        <item x="410"/>
        <item x="159"/>
        <item x="438"/>
        <item x="208"/>
        <item x="4"/>
        <item x="456"/>
        <item x="336"/>
        <item x="384"/>
        <item x="473"/>
        <item x="224"/>
        <item x="282"/>
        <item x="30"/>
        <item x="413"/>
        <item x="369"/>
        <item x="404"/>
        <item x="468"/>
        <item x="167"/>
        <item x="26"/>
        <item x="451"/>
        <item x="10"/>
        <item x="58"/>
        <item x="6"/>
        <item x="25"/>
        <item x="366"/>
        <item x="150"/>
        <item x="34"/>
        <item x="475"/>
        <item x="184"/>
        <item x="21"/>
        <item x="80"/>
        <item x="455"/>
        <item x="130"/>
        <item x="46"/>
        <item x="450"/>
        <item x="172"/>
        <item x="163"/>
        <item x="13"/>
        <item x="464"/>
        <item x="449"/>
        <item x="337"/>
        <item x="283"/>
        <item x="300"/>
        <item x="7"/>
        <item x="376"/>
        <item x="403"/>
        <item x="138"/>
        <item x="250"/>
        <item x="408"/>
        <item x="368"/>
        <item x="370"/>
        <item x="316"/>
        <item x="144"/>
        <item x="173"/>
        <item x="296"/>
        <item x="187"/>
        <item x="121"/>
        <item x="201"/>
        <item x="63"/>
        <item x="206"/>
        <item x="443"/>
        <item x="37"/>
        <item x="446"/>
        <item x="149"/>
        <item x="154"/>
        <item x="47"/>
        <item x="36"/>
        <item x="400"/>
        <item x="265"/>
        <item x="41"/>
        <item x="185"/>
        <item x="356"/>
        <item x="198"/>
        <item x="259"/>
        <item x="339"/>
        <item x="104"/>
        <item x="114"/>
        <item x="297"/>
        <item x="313"/>
        <item x="292"/>
        <item x="79"/>
        <item x="275"/>
        <item x="38"/>
        <item x="317"/>
        <item x="161"/>
        <item x="117"/>
        <item x="335"/>
        <item x="84"/>
        <item x="74"/>
        <item x="415"/>
        <item x="318"/>
        <item x="322"/>
        <item x="87"/>
        <item x="273"/>
        <item x="465"/>
        <item x="261"/>
        <item x="213"/>
        <item x="306"/>
        <item x="348"/>
        <item x="288"/>
        <item x="389"/>
        <item x="431"/>
        <item x="295"/>
        <item x="414"/>
        <item x="424"/>
        <item x="70"/>
        <item x="388"/>
        <item x="32"/>
        <item x="421"/>
        <item x="214"/>
        <item x="378"/>
        <item x="447"/>
        <item x="290"/>
        <item x="256"/>
        <item x="156"/>
        <item x="466"/>
        <item x="77"/>
        <item x="127"/>
        <item x="257"/>
        <item x="106"/>
        <item x="367"/>
        <item x="458"/>
        <item x="385"/>
        <item x="277"/>
        <item x="29"/>
        <item x="27"/>
        <item x="166"/>
        <item x="445"/>
        <item x="105"/>
        <item x="75"/>
        <item x="129"/>
        <item x="262"/>
        <item x="311"/>
        <item x="391"/>
        <item x="160"/>
        <item x="137"/>
        <item x="176"/>
        <item x="243"/>
        <item x="125"/>
        <item x="78"/>
        <item x="428"/>
        <item x="123"/>
        <item x="395"/>
        <item x="362"/>
        <item x="237"/>
        <item x="64"/>
        <item x="334"/>
        <item x="474"/>
        <item x="108"/>
        <item x="314"/>
        <item x="12"/>
        <item x="51"/>
        <item x="39"/>
        <item x="236"/>
        <item x="186"/>
        <item x="216"/>
        <item x="82"/>
        <item x="345"/>
        <item x="35"/>
        <item x="165"/>
        <item x="407"/>
        <item x="258"/>
        <item x="272"/>
        <item x="377"/>
        <item x="101"/>
        <item x="218"/>
        <item x="279"/>
        <item x="230"/>
        <item x="326"/>
        <item x="299"/>
        <item x="320"/>
        <item x="61"/>
        <item x="252"/>
        <item x="481"/>
        <item x="472"/>
        <item x="245"/>
        <item x="180"/>
        <item x="71"/>
        <item x="188"/>
        <item x="294"/>
        <item x="111"/>
        <item x="264"/>
        <item x="462"/>
        <item x="16"/>
        <item x="319"/>
        <item x="28"/>
        <item x="460"/>
        <item x="192"/>
        <item x="360"/>
        <item x="463"/>
        <item x="228"/>
        <item x="437"/>
        <item x="293"/>
        <item x="402"/>
        <item x="418"/>
        <item x="452"/>
        <item x="102"/>
        <item x="349"/>
        <item x="411"/>
        <item x="232"/>
        <item x="453"/>
        <item x="97"/>
        <item x="374"/>
        <item x="487"/>
        <item x="49"/>
        <item x="399"/>
        <item x="99"/>
        <item x="59"/>
        <item x="72"/>
        <item x="308"/>
        <item x="11"/>
        <item x="382"/>
        <item x="278"/>
        <item x="110"/>
        <item x="244"/>
        <item x="448"/>
        <item x="151"/>
        <item x="350"/>
        <item x="238"/>
        <item x="441"/>
        <item x="254"/>
        <item x="169"/>
        <item x="73"/>
        <item x="242"/>
        <item x="482"/>
        <item x="352"/>
        <item x="177"/>
        <item x="284"/>
        <item x="330"/>
        <item x="107"/>
        <item x="248"/>
        <item x="459"/>
        <item x="85"/>
        <item x="90"/>
        <item x="444"/>
        <item x="454"/>
        <item x="191"/>
        <item x="484"/>
        <item x="45"/>
        <item x="231"/>
        <item x="124"/>
        <item x="276"/>
        <item x="420"/>
        <item x="175"/>
        <item x="417"/>
        <item x="477"/>
        <item x="116"/>
        <item x="56"/>
        <item x="23"/>
        <item x="174"/>
        <item x="241"/>
        <item x="89"/>
        <item x="412"/>
        <item x="33"/>
        <item x="429"/>
        <item x="67"/>
        <item x="44"/>
        <item x="136"/>
        <item x="88"/>
        <item x="227"/>
        <item x="419"/>
        <item x="461"/>
        <item x="327"/>
        <item x="222"/>
        <item x="212"/>
        <item x="112"/>
        <item x="476"/>
        <item x="119"/>
        <item x="126"/>
        <item x="381"/>
        <item x="142"/>
        <item x="253"/>
        <item x="219"/>
        <item x="393"/>
        <item x="347"/>
        <item x="435"/>
        <item x="346"/>
        <item x="409"/>
        <item x="440"/>
        <item x="204"/>
        <item x="483"/>
        <item x="434"/>
        <item x="379"/>
        <item x="267"/>
        <item x="266"/>
        <item x="372"/>
        <item x="225"/>
        <item x="134"/>
        <item x="139"/>
        <item x="239"/>
        <item x="69"/>
        <item x="486"/>
        <item x="373"/>
        <item x="416"/>
        <item x="81"/>
        <item x="209"/>
        <item x="321"/>
        <item x="158"/>
        <item x="76"/>
        <item x="423"/>
        <item x="285"/>
        <item x="315"/>
        <item x="343"/>
        <item x="325"/>
        <item x="303"/>
        <item x="426"/>
        <item x="53"/>
        <item x="289"/>
        <item x="383"/>
        <item x="68"/>
        <item x="471"/>
        <item x="17"/>
        <item x="328"/>
        <item x="338"/>
        <item x="43"/>
        <item x="18"/>
        <item x="183"/>
        <item x="14"/>
        <item x="485"/>
        <item x="48"/>
        <item x="132"/>
        <item x="57"/>
        <item x="95"/>
        <item x="200"/>
        <item x="333"/>
        <item x="40"/>
        <item x="189"/>
        <item x="387"/>
        <item x="145"/>
        <item x="96"/>
        <item x="396"/>
        <item x="364"/>
        <item x="5"/>
        <item x="323"/>
        <item x="268"/>
        <item x="210"/>
        <item x="3"/>
        <item x="221"/>
        <item x="270"/>
        <item x="148"/>
        <item x="427"/>
        <item x="281"/>
        <item x="478"/>
        <item x="1"/>
        <item x="0"/>
        <item x="251"/>
        <item x="60"/>
        <item x="363"/>
        <item x="182"/>
        <item x="103"/>
        <item x="406"/>
        <item x="62"/>
        <item x="196"/>
        <item x="291"/>
        <item x="359"/>
        <item x="332"/>
        <item x="436"/>
        <item x="179"/>
        <item x="197"/>
        <item x="83"/>
        <item x="344"/>
        <item x="120"/>
        <item x="430"/>
        <item x="457"/>
        <item x="217"/>
        <item x="425"/>
        <item x="247"/>
        <item x="168"/>
        <item x="342"/>
        <item x="233"/>
        <item x="164"/>
        <item x="24"/>
        <item x="147"/>
        <item x="271"/>
        <item x="133"/>
        <item x="115"/>
        <item x="205"/>
        <item x="207"/>
        <item x="309"/>
        <item x="439"/>
        <item x="140"/>
        <item x="194"/>
        <item x="31"/>
        <item x="19"/>
        <item x="341"/>
        <item x="94"/>
        <item x="229"/>
        <item x="240"/>
        <item x="55"/>
        <item x="469"/>
        <item x="118"/>
        <item x="394"/>
        <item x="365"/>
        <item x="202"/>
        <item x="358"/>
        <item x="371"/>
        <item x="302"/>
        <item x="131"/>
        <item x="93"/>
        <item x="398"/>
        <item x="220"/>
        <item x="135"/>
        <item x="226"/>
        <item x="351"/>
        <item x="422"/>
        <item x="153"/>
        <item x="307"/>
        <item x="235"/>
        <item x="52"/>
        <item x="171"/>
        <item x="433"/>
        <item x="353"/>
        <item x="215"/>
        <item x="298"/>
        <item x="8"/>
        <item x="304"/>
        <item x="141"/>
        <item x="286"/>
        <item x="66"/>
        <item x="479"/>
        <item x="50"/>
        <item x="280"/>
        <item x="20"/>
        <item x="170"/>
        <item x="98"/>
        <item x="234"/>
        <item x="162"/>
        <item x="361"/>
        <item x="155"/>
        <item x="15"/>
        <item x="301"/>
        <item x="42"/>
        <item x="324"/>
        <item x="274"/>
        <item x="255"/>
        <item x="340"/>
        <item x="305"/>
        <item x="375"/>
        <item x="223"/>
        <item x="128"/>
        <item x="269"/>
        <item x="100"/>
        <item x="442"/>
        <item x="432"/>
        <item x="203"/>
        <item x="390"/>
        <item t="default"/>
      </items>
    </pivotField>
    <pivotField showAll="0" measureFilter="1" sortType="descending" maxSubtotal="1">
      <items count="494">
        <item x="71"/>
        <item x="245"/>
        <item x="452"/>
        <item x="188"/>
        <item x="82"/>
        <item x="212"/>
        <item x="51"/>
        <item x="368"/>
        <item x="348"/>
        <item x="201"/>
        <item x="179"/>
        <item x="465"/>
        <item x="233"/>
        <item x="92"/>
        <item x="133"/>
        <item x="304"/>
        <item x="24"/>
        <item x="277"/>
        <item x="378"/>
        <item x="146"/>
        <item x="52"/>
        <item x="458"/>
        <item x="204"/>
        <item x="207"/>
        <item x="140"/>
        <item x="283"/>
        <item x="466"/>
        <item x="398"/>
        <item x="249"/>
        <item x="227"/>
        <item x="291"/>
        <item x="175"/>
        <item x="171"/>
        <item x="412"/>
        <item x="81"/>
        <item x="149"/>
        <item x="117"/>
        <item x="174"/>
        <item x="19"/>
        <item x="386"/>
        <item x="41"/>
        <item x="147"/>
        <item x="470"/>
        <item x="418"/>
        <item x="178"/>
        <item x="252"/>
        <item x="109"/>
        <item x="258"/>
        <item x="261"/>
        <item x="151"/>
        <item x="9"/>
        <item x="141"/>
        <item x="237"/>
        <item x="248"/>
        <item x="410"/>
        <item x="350"/>
        <item x="112"/>
        <item x="209"/>
        <item x="390"/>
        <item x="106"/>
        <item x="417"/>
        <item x="374"/>
        <item x="18"/>
        <item x="28"/>
        <item x="73"/>
        <item x="219"/>
        <item x="380"/>
        <item x="256"/>
        <item x="136"/>
        <item x="39"/>
        <item x="72"/>
        <item x="154"/>
        <item x="260"/>
        <item x="119"/>
        <item x="187"/>
        <item x="132"/>
        <item x="345"/>
        <item x="45"/>
        <item x="262"/>
        <item x="322"/>
        <item x="163"/>
        <item x="448"/>
        <item x="309"/>
        <item x="173"/>
        <item x="36"/>
        <item x="395"/>
        <item x="446"/>
        <item x="213"/>
        <item x="319"/>
        <item x="135"/>
        <item x="55"/>
        <item x="186"/>
        <item x="68"/>
        <item x="474"/>
        <item x="23"/>
        <item x="476"/>
        <item x="469"/>
        <item x="118"/>
        <item x="336"/>
        <item x="77"/>
        <item x="269"/>
        <item x="450"/>
        <item x="313"/>
        <item x="274"/>
        <item x="61"/>
        <item x="104"/>
        <item x="447"/>
        <item x="48"/>
        <item x="114"/>
        <item x="399"/>
        <item x="196"/>
        <item x="351"/>
        <item x="471"/>
        <item x="487"/>
        <item x="167"/>
        <item x="100"/>
        <item x="10"/>
        <item x="76"/>
        <item x="143"/>
        <item x="460"/>
        <item x="330"/>
        <item x="490"/>
        <item x="370"/>
        <item x="223"/>
        <item x="232"/>
        <item x="98"/>
        <item x="328"/>
        <item x="356"/>
        <item x="66"/>
        <item x="111"/>
        <item x="215"/>
        <item x="357"/>
        <item x="449"/>
        <item x="31"/>
        <item x="429"/>
        <item x="279"/>
        <item x="238"/>
        <item x="30"/>
        <item x="168"/>
        <item x="307"/>
        <item x="403"/>
        <item x="484"/>
        <item x="206"/>
        <item x="488"/>
        <item x="311"/>
        <item x="169"/>
        <item x="441"/>
        <item x="162"/>
        <item x="91"/>
        <item x="308"/>
        <item x="365"/>
        <item x="314"/>
        <item x="382"/>
        <item x="375"/>
        <item x="445"/>
        <item x="84"/>
        <item x="96"/>
        <item x="176"/>
        <item x="145"/>
        <item x="438"/>
        <item x="363"/>
        <item x="271"/>
        <item x="78"/>
        <item x="415"/>
        <item x="318"/>
        <item x="433"/>
        <item x="473"/>
        <item x="21"/>
        <item x="268"/>
        <item x="107"/>
        <item x="292"/>
        <item x="46"/>
        <item x="113"/>
        <item x="177"/>
        <item x="340"/>
        <item x="85"/>
        <item x="373"/>
        <item x="7"/>
        <item x="142"/>
        <item x="359"/>
        <item x="211"/>
        <item x="342"/>
        <item x="317"/>
        <item x="20"/>
        <item x="265"/>
        <item x="406"/>
        <item x="294"/>
        <item x="352"/>
        <item x="353"/>
        <item x="138"/>
        <item x="293"/>
        <item x="29"/>
        <item x="22"/>
        <item x="17"/>
        <item x="26"/>
        <item x="103"/>
        <item x="303"/>
        <item x="416"/>
        <item x="253"/>
        <item x="56"/>
        <item x="409"/>
        <item x="191"/>
        <item x="93"/>
        <item x="489"/>
        <item x="231"/>
        <item x="254"/>
        <item x="234"/>
        <item x="270"/>
        <item x="229"/>
        <item x="224"/>
        <item x="419"/>
        <item x="94"/>
        <item x="35"/>
        <item x="287"/>
        <item x="400"/>
        <item x="182"/>
        <item x="25"/>
        <item x="273"/>
        <item x="159"/>
        <item x="481"/>
        <item x="197"/>
        <item x="361"/>
        <item x="3"/>
        <item x="280"/>
        <item x="393"/>
        <item x="376"/>
        <item x="33"/>
        <item x="284"/>
        <item x="462"/>
        <item x="70"/>
        <item x="214"/>
        <item x="1"/>
        <item x="362"/>
        <item x="192"/>
        <item x="64"/>
        <item x="0"/>
        <item x="325"/>
        <item x="310"/>
        <item x="198"/>
        <item x="298"/>
        <item x="385"/>
        <item x="492"/>
        <item x="247"/>
        <item x="257"/>
        <item x="134"/>
        <item x="50"/>
        <item x="242"/>
        <item x="58"/>
        <item x="288"/>
        <item x="334"/>
        <item x="454"/>
        <item x="62"/>
        <item x="54"/>
        <item x="74"/>
        <item x="65"/>
        <item x="110"/>
        <item x="183"/>
        <item x="97"/>
        <item x="300"/>
        <item x="338"/>
        <item x="80"/>
        <item x="327"/>
        <item x="432"/>
        <item x="482"/>
        <item x="358"/>
        <item x="126"/>
        <item x="86"/>
        <item x="333"/>
        <item x="436"/>
        <item x="391"/>
        <item x="468"/>
        <item x="286"/>
        <item x="401"/>
        <item x="208"/>
        <item x="371"/>
        <item x="289"/>
        <item x="267"/>
        <item x="402"/>
        <item x="40"/>
        <item x="463"/>
        <item x="139"/>
        <item x="240"/>
        <item x="392"/>
        <item x="379"/>
        <item x="332"/>
        <item x="87"/>
        <item x="53"/>
        <item x="8"/>
        <item x="27"/>
        <item x="172"/>
        <item x="296"/>
        <item x="95"/>
        <item x="49"/>
        <item x="367"/>
        <item x="364"/>
        <item x="75"/>
        <item x="130"/>
        <item x="355"/>
        <item x="339"/>
        <item x="210"/>
        <item x="67"/>
        <item x="60"/>
        <item x="121"/>
        <item x="420"/>
        <item x="360"/>
        <item x="218"/>
        <item x="435"/>
        <item x="341"/>
        <item x="165"/>
        <item x="397"/>
        <item x="442"/>
        <item x="457"/>
        <item x="421"/>
        <item x="156"/>
        <item x="194"/>
        <item x="190"/>
        <item x="444"/>
        <item x="193"/>
        <item x="299"/>
        <item x="381"/>
        <item x="57"/>
        <item x="485"/>
        <item x="127"/>
        <item x="144"/>
        <item x="15"/>
        <item x="407"/>
        <item x="430"/>
        <item x="161"/>
        <item x="475"/>
        <item x="453"/>
        <item x="123"/>
        <item x="150"/>
        <item x="102"/>
        <item x="239"/>
        <item x="290"/>
        <item x="451"/>
        <item x="405"/>
        <item x="246"/>
        <item x="79"/>
        <item x="129"/>
        <item x="388"/>
        <item x="263"/>
        <item x="411"/>
        <item x="316"/>
        <item x="108"/>
        <item x="185"/>
        <item x="422"/>
        <item x="221"/>
        <item x="396"/>
        <item x="297"/>
        <item x="312"/>
        <item x="480"/>
        <item x="202"/>
        <item x="216"/>
        <item x="90"/>
        <item x="195"/>
        <item x="152"/>
        <item x="455"/>
        <item x="331"/>
        <item x="278"/>
        <item x="437"/>
        <item x="101"/>
        <item x="222"/>
        <item x="200"/>
        <item x="281"/>
        <item x="236"/>
        <item x="158"/>
        <item x="11"/>
        <item x="427"/>
        <item x="377"/>
        <item x="347"/>
        <item x="120"/>
        <item x="461"/>
        <item x="394"/>
        <item x="83"/>
        <item x="305"/>
        <item x="38"/>
        <item x="315"/>
        <item x="326"/>
        <item x="44"/>
        <item x="99"/>
        <item x="5"/>
        <item x="301"/>
        <item x="282"/>
        <item x="329"/>
        <item x="337"/>
        <item x="295"/>
        <item x="491"/>
        <item x="42"/>
        <item x="155"/>
        <item x="276"/>
        <item x="244"/>
        <item x="302"/>
        <item x="124"/>
        <item x="425"/>
        <item x="464"/>
        <item x="6"/>
        <item x="467"/>
        <item x="89"/>
        <item x="32"/>
        <item x="225"/>
        <item x="321"/>
        <item x="335"/>
        <item x="203"/>
        <item x="431"/>
        <item x="47"/>
        <item x="483"/>
        <item x="199"/>
        <item x="255"/>
        <item x="486"/>
        <item x="166"/>
        <item x="116"/>
        <item x="456"/>
        <item x="428"/>
        <item x="266"/>
        <item x="408"/>
        <item x="12"/>
        <item x="205"/>
        <item x="137"/>
        <item x="324"/>
        <item x="414"/>
        <item x="37"/>
        <item x="220"/>
        <item x="389"/>
        <item x="285"/>
        <item x="404"/>
        <item x="69"/>
        <item x="275"/>
        <item x="230"/>
        <item x="479"/>
        <item x="323"/>
        <item x="164"/>
        <item x="184"/>
        <item x="243"/>
        <item x="14"/>
        <item x="439"/>
        <item x="180"/>
        <item x="13"/>
        <item x="387"/>
        <item x="128"/>
        <item x="320"/>
        <item x="59"/>
        <item x="189"/>
        <item x="306"/>
        <item x="477"/>
        <item x="264"/>
        <item x="259"/>
        <item x="105"/>
        <item x="241"/>
        <item x="413"/>
        <item x="43"/>
        <item x="349"/>
        <item x="346"/>
        <item x="16"/>
        <item x="472"/>
        <item x="440"/>
        <item x="443"/>
        <item x="125"/>
        <item x="217"/>
        <item x="235"/>
        <item x="344"/>
        <item x="4"/>
        <item x="181"/>
        <item x="148"/>
        <item x="251"/>
        <item x="2"/>
        <item x="366"/>
        <item x="423"/>
        <item x="226"/>
        <item x="384"/>
        <item x="157"/>
        <item x="434"/>
        <item x="459"/>
        <item x="426"/>
        <item x="170"/>
        <item x="228"/>
        <item x="153"/>
        <item x="372"/>
        <item x="250"/>
        <item x="34"/>
        <item x="383"/>
        <item x="424"/>
        <item x="272"/>
        <item x="115"/>
        <item x="63"/>
        <item x="343"/>
        <item x="478"/>
        <item x="369"/>
        <item x="131"/>
        <item x="88"/>
        <item x="354"/>
        <item x="160"/>
        <item x="122"/>
        <item t="max"/>
      </items>
      <autoSortScope>
        <pivotArea dataOnly="0" outline="0" fieldPosition="0">
          <references count="1">
            <reference field="4294967294" count="1" selected="0">
              <x v="0"/>
            </reference>
          </references>
        </pivotArea>
      </autoSortScope>
    </pivotField>
    <pivotField showAll="0">
      <items count="6">
        <item x="3"/>
        <item x="1"/>
        <item x="2"/>
        <item x="0"/>
        <item x="4"/>
        <item t="default"/>
      </items>
    </pivotField>
    <pivotField showAll="0"/>
    <pivotField showAll="0">
      <items count="14">
        <item x="12"/>
        <item x="7"/>
        <item x="9"/>
        <item x="2"/>
        <item x="1"/>
        <item x="11"/>
        <item x="6"/>
        <item x="5"/>
        <item x="0"/>
        <item x="3"/>
        <item x="10"/>
        <item x="4"/>
        <item x="8"/>
        <item t="default"/>
      </items>
    </pivotField>
    <pivotField showAll="0"/>
    <pivotField numFmtId="164" showAll="0"/>
    <pivotField numFmtId="9" showAll="0"/>
    <pivotField dataField="1" numFmtId="164" showAll="0"/>
    <pivotField numFmtId="164" showAll="0"/>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Sales " fld="11" baseField="7" baseItem="0" numFmtId="164"/>
  </dataFields>
  <formats count="2">
    <format dxfId="16">
      <pivotArea dataOnly="0" labelOnly="1" outline="0" axis="axisValues" fieldPosition="0"/>
    </format>
    <format dxfId="15">
      <pivotArea outline="0" collapsedLevelsAreSubtotals="1" fieldPosition="0"/>
    </format>
  </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Payment Method">
  <location ref="K16:K17" firstHeaderRow="1" firstDataRow="1" firstDataCol="0"/>
  <pivotFields count="17">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13">
        <item x="5"/>
        <item x="8"/>
        <item x="7"/>
        <item x="9"/>
        <item x="11"/>
        <item x="2"/>
        <item x="4"/>
        <item x="0"/>
        <item x="1"/>
        <item x="6"/>
        <item x="10"/>
        <item x="3"/>
        <item t="default"/>
      </items>
    </pivotField>
    <pivotField showAll="0">
      <items count="490">
        <item x="467"/>
        <item x="480"/>
        <item x="181"/>
        <item x="329"/>
        <item x="331"/>
        <item x="2"/>
        <item x="178"/>
        <item x="143"/>
        <item x="146"/>
        <item x="354"/>
        <item x="195"/>
        <item x="246"/>
        <item x="488"/>
        <item x="470"/>
        <item x="92"/>
        <item x="157"/>
        <item x="109"/>
        <item x="310"/>
        <item x="401"/>
        <item x="91"/>
        <item x="65"/>
        <item x="380"/>
        <item x="355"/>
        <item x="405"/>
        <item x="386"/>
        <item x="193"/>
        <item x="312"/>
        <item x="152"/>
        <item x="392"/>
        <item x="22"/>
        <item x="211"/>
        <item x="260"/>
        <item x="397"/>
        <item x="9"/>
        <item x="86"/>
        <item x="357"/>
        <item x="249"/>
        <item x="113"/>
        <item x="199"/>
        <item x="54"/>
        <item x="287"/>
        <item x="122"/>
        <item x="263"/>
        <item x="190"/>
        <item x="410"/>
        <item x="159"/>
        <item x="438"/>
        <item x="208"/>
        <item x="4"/>
        <item x="456"/>
        <item x="336"/>
        <item x="384"/>
        <item x="473"/>
        <item x="224"/>
        <item x="282"/>
        <item x="30"/>
        <item x="413"/>
        <item x="369"/>
        <item x="404"/>
        <item x="468"/>
        <item x="167"/>
        <item x="26"/>
        <item x="451"/>
        <item x="10"/>
        <item x="58"/>
        <item x="6"/>
        <item x="25"/>
        <item x="366"/>
        <item x="150"/>
        <item x="34"/>
        <item x="475"/>
        <item x="184"/>
        <item x="21"/>
        <item x="80"/>
        <item x="455"/>
        <item x="130"/>
        <item x="46"/>
        <item x="450"/>
        <item x="172"/>
        <item x="163"/>
        <item x="13"/>
        <item x="464"/>
        <item x="449"/>
        <item x="337"/>
        <item x="283"/>
        <item x="300"/>
        <item x="7"/>
        <item x="376"/>
        <item x="403"/>
        <item x="138"/>
        <item x="250"/>
        <item x="408"/>
        <item x="368"/>
        <item x="370"/>
        <item x="316"/>
        <item x="144"/>
        <item x="173"/>
        <item x="296"/>
        <item x="187"/>
        <item x="121"/>
        <item x="201"/>
        <item x="63"/>
        <item x="206"/>
        <item x="443"/>
        <item x="37"/>
        <item x="446"/>
        <item x="149"/>
        <item x="154"/>
        <item x="47"/>
        <item x="36"/>
        <item x="400"/>
        <item x="265"/>
        <item x="41"/>
        <item x="185"/>
        <item x="356"/>
        <item x="198"/>
        <item x="259"/>
        <item x="339"/>
        <item x="104"/>
        <item x="114"/>
        <item x="297"/>
        <item x="313"/>
        <item x="292"/>
        <item x="79"/>
        <item x="275"/>
        <item x="38"/>
        <item x="317"/>
        <item x="161"/>
        <item x="117"/>
        <item x="335"/>
        <item x="84"/>
        <item x="74"/>
        <item x="415"/>
        <item x="318"/>
        <item x="322"/>
        <item x="87"/>
        <item x="273"/>
        <item x="465"/>
        <item x="261"/>
        <item x="213"/>
        <item x="306"/>
        <item x="348"/>
        <item x="288"/>
        <item x="389"/>
        <item x="431"/>
        <item x="295"/>
        <item x="414"/>
        <item x="424"/>
        <item x="70"/>
        <item x="388"/>
        <item x="32"/>
        <item x="421"/>
        <item x="214"/>
        <item x="378"/>
        <item x="447"/>
        <item x="290"/>
        <item x="256"/>
        <item x="156"/>
        <item x="466"/>
        <item x="77"/>
        <item x="127"/>
        <item x="257"/>
        <item x="106"/>
        <item x="367"/>
        <item x="458"/>
        <item x="385"/>
        <item x="277"/>
        <item x="29"/>
        <item x="27"/>
        <item x="166"/>
        <item x="445"/>
        <item x="105"/>
        <item x="75"/>
        <item x="129"/>
        <item x="262"/>
        <item x="311"/>
        <item x="391"/>
        <item x="160"/>
        <item x="137"/>
        <item x="176"/>
        <item x="243"/>
        <item x="125"/>
        <item x="78"/>
        <item x="428"/>
        <item x="123"/>
        <item x="395"/>
        <item x="362"/>
        <item x="237"/>
        <item x="64"/>
        <item x="334"/>
        <item x="474"/>
        <item x="108"/>
        <item x="314"/>
        <item x="12"/>
        <item x="51"/>
        <item x="39"/>
        <item x="236"/>
        <item x="186"/>
        <item x="216"/>
        <item x="82"/>
        <item x="345"/>
        <item x="35"/>
        <item x="165"/>
        <item x="407"/>
        <item x="258"/>
        <item x="272"/>
        <item x="377"/>
        <item x="101"/>
        <item x="218"/>
        <item x="279"/>
        <item x="230"/>
        <item x="326"/>
        <item x="299"/>
        <item x="320"/>
        <item x="61"/>
        <item x="252"/>
        <item x="481"/>
        <item x="472"/>
        <item x="245"/>
        <item x="180"/>
        <item x="71"/>
        <item x="188"/>
        <item x="294"/>
        <item x="111"/>
        <item x="264"/>
        <item x="462"/>
        <item x="16"/>
        <item x="319"/>
        <item x="28"/>
        <item x="460"/>
        <item x="192"/>
        <item x="360"/>
        <item x="463"/>
        <item x="228"/>
        <item x="437"/>
        <item x="293"/>
        <item x="402"/>
        <item x="418"/>
        <item x="452"/>
        <item x="102"/>
        <item x="349"/>
        <item x="411"/>
        <item x="232"/>
        <item x="453"/>
        <item x="97"/>
        <item x="374"/>
        <item x="487"/>
        <item x="49"/>
        <item x="399"/>
        <item x="99"/>
        <item x="59"/>
        <item x="72"/>
        <item x="308"/>
        <item x="11"/>
        <item x="382"/>
        <item x="278"/>
        <item x="110"/>
        <item x="244"/>
        <item x="448"/>
        <item x="151"/>
        <item x="350"/>
        <item x="238"/>
        <item x="441"/>
        <item x="254"/>
        <item x="169"/>
        <item x="73"/>
        <item x="242"/>
        <item x="482"/>
        <item x="352"/>
        <item x="177"/>
        <item x="284"/>
        <item x="330"/>
        <item x="107"/>
        <item x="248"/>
        <item x="459"/>
        <item x="85"/>
        <item x="90"/>
        <item x="444"/>
        <item x="454"/>
        <item x="191"/>
        <item x="484"/>
        <item x="45"/>
        <item x="231"/>
        <item x="124"/>
        <item x="276"/>
        <item x="420"/>
        <item x="175"/>
        <item x="417"/>
        <item x="477"/>
        <item x="116"/>
        <item x="56"/>
        <item x="23"/>
        <item x="174"/>
        <item x="241"/>
        <item x="89"/>
        <item x="412"/>
        <item x="33"/>
        <item x="429"/>
        <item x="67"/>
        <item x="44"/>
        <item x="136"/>
        <item x="88"/>
        <item x="227"/>
        <item x="419"/>
        <item x="461"/>
        <item x="327"/>
        <item x="222"/>
        <item x="212"/>
        <item x="112"/>
        <item x="476"/>
        <item x="119"/>
        <item x="126"/>
        <item x="381"/>
        <item x="142"/>
        <item x="253"/>
        <item x="219"/>
        <item x="393"/>
        <item x="347"/>
        <item x="435"/>
        <item x="346"/>
        <item x="409"/>
        <item x="440"/>
        <item x="204"/>
        <item x="483"/>
        <item x="434"/>
        <item x="379"/>
        <item x="267"/>
        <item x="266"/>
        <item x="372"/>
        <item x="225"/>
        <item x="134"/>
        <item x="139"/>
        <item x="239"/>
        <item x="69"/>
        <item x="486"/>
        <item x="373"/>
        <item x="416"/>
        <item x="81"/>
        <item x="209"/>
        <item x="321"/>
        <item x="158"/>
        <item x="76"/>
        <item x="423"/>
        <item x="285"/>
        <item x="315"/>
        <item x="343"/>
        <item x="325"/>
        <item x="303"/>
        <item x="426"/>
        <item x="53"/>
        <item x="289"/>
        <item x="383"/>
        <item x="68"/>
        <item x="471"/>
        <item x="17"/>
        <item x="328"/>
        <item x="338"/>
        <item x="43"/>
        <item x="18"/>
        <item x="183"/>
        <item x="14"/>
        <item x="485"/>
        <item x="48"/>
        <item x="132"/>
        <item x="57"/>
        <item x="95"/>
        <item x="200"/>
        <item x="333"/>
        <item x="40"/>
        <item x="189"/>
        <item x="387"/>
        <item x="145"/>
        <item x="96"/>
        <item x="396"/>
        <item x="364"/>
        <item x="5"/>
        <item x="323"/>
        <item x="268"/>
        <item x="210"/>
        <item x="3"/>
        <item x="221"/>
        <item x="270"/>
        <item x="148"/>
        <item x="427"/>
        <item x="281"/>
        <item x="478"/>
        <item x="1"/>
        <item x="0"/>
        <item x="251"/>
        <item x="60"/>
        <item x="363"/>
        <item x="182"/>
        <item x="103"/>
        <item x="406"/>
        <item x="62"/>
        <item x="196"/>
        <item x="291"/>
        <item x="359"/>
        <item x="332"/>
        <item x="436"/>
        <item x="179"/>
        <item x="197"/>
        <item x="83"/>
        <item x="344"/>
        <item x="120"/>
        <item x="430"/>
        <item x="457"/>
        <item x="217"/>
        <item x="425"/>
        <item x="247"/>
        <item x="168"/>
        <item x="342"/>
        <item x="233"/>
        <item x="164"/>
        <item x="24"/>
        <item x="147"/>
        <item x="271"/>
        <item x="133"/>
        <item x="115"/>
        <item x="205"/>
        <item x="207"/>
        <item x="309"/>
        <item x="439"/>
        <item x="140"/>
        <item x="194"/>
        <item x="31"/>
        <item x="19"/>
        <item x="341"/>
        <item x="94"/>
        <item x="229"/>
        <item x="240"/>
        <item x="55"/>
        <item x="469"/>
        <item x="118"/>
        <item x="394"/>
        <item x="365"/>
        <item x="202"/>
        <item x="358"/>
        <item x="371"/>
        <item x="302"/>
        <item x="131"/>
        <item x="93"/>
        <item x="398"/>
        <item x="220"/>
        <item x="135"/>
        <item x="226"/>
        <item x="351"/>
        <item x="422"/>
        <item x="153"/>
        <item x="307"/>
        <item x="235"/>
        <item x="52"/>
        <item x="171"/>
        <item x="433"/>
        <item x="353"/>
        <item x="215"/>
        <item x="298"/>
        <item x="8"/>
        <item x="304"/>
        <item x="141"/>
        <item x="286"/>
        <item x="66"/>
        <item x="479"/>
        <item x="50"/>
        <item x="280"/>
        <item x="20"/>
        <item x="170"/>
        <item x="98"/>
        <item x="234"/>
        <item x="162"/>
        <item x="361"/>
        <item x="155"/>
        <item x="15"/>
        <item x="301"/>
        <item x="42"/>
        <item x="324"/>
        <item x="274"/>
        <item x="255"/>
        <item x="340"/>
        <item x="305"/>
        <item x="375"/>
        <item x="223"/>
        <item x="128"/>
        <item x="269"/>
        <item x="100"/>
        <item x="442"/>
        <item x="432"/>
        <item x="203"/>
        <item x="390"/>
        <item t="default"/>
      </items>
    </pivotField>
    <pivotField showAll="0" maxSubtotal="1">
      <items count="494">
        <item x="71"/>
        <item x="245"/>
        <item x="452"/>
        <item x="188"/>
        <item x="82"/>
        <item x="212"/>
        <item x="51"/>
        <item x="368"/>
        <item x="348"/>
        <item x="201"/>
        <item x="179"/>
        <item x="465"/>
        <item x="233"/>
        <item x="92"/>
        <item x="133"/>
        <item x="304"/>
        <item x="24"/>
        <item x="277"/>
        <item x="378"/>
        <item x="146"/>
        <item x="52"/>
        <item x="458"/>
        <item x="204"/>
        <item x="207"/>
        <item x="140"/>
        <item x="283"/>
        <item x="466"/>
        <item x="398"/>
        <item x="249"/>
        <item x="227"/>
        <item x="291"/>
        <item x="175"/>
        <item x="171"/>
        <item x="412"/>
        <item x="81"/>
        <item x="149"/>
        <item x="117"/>
        <item x="174"/>
        <item x="19"/>
        <item x="386"/>
        <item x="41"/>
        <item x="147"/>
        <item x="470"/>
        <item x="418"/>
        <item x="178"/>
        <item x="252"/>
        <item x="109"/>
        <item x="258"/>
        <item x="261"/>
        <item x="151"/>
        <item x="9"/>
        <item x="141"/>
        <item x="237"/>
        <item x="248"/>
        <item x="410"/>
        <item x="350"/>
        <item x="112"/>
        <item x="209"/>
        <item x="390"/>
        <item x="106"/>
        <item x="417"/>
        <item x="374"/>
        <item x="18"/>
        <item x="28"/>
        <item x="73"/>
        <item x="219"/>
        <item x="380"/>
        <item x="256"/>
        <item x="136"/>
        <item x="39"/>
        <item x="72"/>
        <item x="154"/>
        <item x="260"/>
        <item x="119"/>
        <item x="187"/>
        <item x="132"/>
        <item x="345"/>
        <item x="45"/>
        <item x="262"/>
        <item x="322"/>
        <item x="163"/>
        <item x="448"/>
        <item x="309"/>
        <item x="173"/>
        <item x="36"/>
        <item x="395"/>
        <item x="446"/>
        <item x="213"/>
        <item x="319"/>
        <item x="135"/>
        <item x="55"/>
        <item x="186"/>
        <item x="68"/>
        <item x="474"/>
        <item x="23"/>
        <item x="476"/>
        <item x="469"/>
        <item x="118"/>
        <item x="336"/>
        <item x="77"/>
        <item x="269"/>
        <item x="450"/>
        <item x="313"/>
        <item x="274"/>
        <item x="61"/>
        <item x="104"/>
        <item x="447"/>
        <item x="48"/>
        <item x="114"/>
        <item x="399"/>
        <item x="196"/>
        <item x="351"/>
        <item x="471"/>
        <item x="487"/>
        <item x="167"/>
        <item x="100"/>
        <item x="10"/>
        <item x="76"/>
        <item x="143"/>
        <item x="460"/>
        <item x="330"/>
        <item x="490"/>
        <item x="370"/>
        <item x="223"/>
        <item x="232"/>
        <item x="98"/>
        <item x="328"/>
        <item x="356"/>
        <item x="66"/>
        <item x="111"/>
        <item x="215"/>
        <item x="357"/>
        <item x="449"/>
        <item x="31"/>
        <item x="429"/>
        <item x="279"/>
        <item x="238"/>
        <item x="30"/>
        <item x="168"/>
        <item x="307"/>
        <item x="403"/>
        <item x="484"/>
        <item x="206"/>
        <item x="488"/>
        <item x="311"/>
        <item x="169"/>
        <item x="441"/>
        <item x="162"/>
        <item x="91"/>
        <item x="308"/>
        <item x="365"/>
        <item x="314"/>
        <item x="382"/>
        <item x="375"/>
        <item x="445"/>
        <item x="84"/>
        <item x="96"/>
        <item x="176"/>
        <item x="145"/>
        <item x="438"/>
        <item x="363"/>
        <item x="271"/>
        <item x="78"/>
        <item x="415"/>
        <item x="318"/>
        <item x="433"/>
        <item x="473"/>
        <item x="21"/>
        <item x="268"/>
        <item x="107"/>
        <item x="292"/>
        <item x="46"/>
        <item x="113"/>
        <item x="177"/>
        <item x="340"/>
        <item x="85"/>
        <item x="373"/>
        <item x="7"/>
        <item x="142"/>
        <item x="359"/>
        <item x="211"/>
        <item x="342"/>
        <item x="317"/>
        <item x="20"/>
        <item x="265"/>
        <item x="406"/>
        <item x="294"/>
        <item x="352"/>
        <item x="353"/>
        <item x="138"/>
        <item x="293"/>
        <item x="29"/>
        <item x="22"/>
        <item x="17"/>
        <item x="26"/>
        <item x="103"/>
        <item x="303"/>
        <item x="416"/>
        <item x="253"/>
        <item x="56"/>
        <item x="409"/>
        <item x="191"/>
        <item x="93"/>
        <item x="489"/>
        <item x="231"/>
        <item x="254"/>
        <item x="234"/>
        <item x="270"/>
        <item x="229"/>
        <item x="224"/>
        <item x="419"/>
        <item x="94"/>
        <item x="35"/>
        <item x="287"/>
        <item x="400"/>
        <item x="182"/>
        <item x="25"/>
        <item x="273"/>
        <item x="159"/>
        <item x="481"/>
        <item x="197"/>
        <item x="361"/>
        <item x="3"/>
        <item x="280"/>
        <item x="393"/>
        <item x="376"/>
        <item x="33"/>
        <item x="284"/>
        <item x="462"/>
        <item x="70"/>
        <item x="214"/>
        <item x="1"/>
        <item x="362"/>
        <item x="192"/>
        <item x="64"/>
        <item x="0"/>
        <item x="325"/>
        <item x="310"/>
        <item x="198"/>
        <item x="298"/>
        <item x="385"/>
        <item x="492"/>
        <item x="247"/>
        <item x="257"/>
        <item x="134"/>
        <item x="50"/>
        <item x="242"/>
        <item x="58"/>
        <item x="288"/>
        <item x="334"/>
        <item x="454"/>
        <item x="62"/>
        <item x="54"/>
        <item x="74"/>
        <item x="65"/>
        <item x="110"/>
        <item x="183"/>
        <item x="97"/>
        <item x="300"/>
        <item x="338"/>
        <item x="80"/>
        <item x="327"/>
        <item x="432"/>
        <item x="482"/>
        <item x="358"/>
        <item x="126"/>
        <item x="86"/>
        <item x="333"/>
        <item x="436"/>
        <item x="391"/>
        <item x="468"/>
        <item x="286"/>
        <item x="401"/>
        <item x="208"/>
        <item x="371"/>
        <item x="289"/>
        <item x="267"/>
        <item x="402"/>
        <item x="40"/>
        <item x="463"/>
        <item x="139"/>
        <item x="240"/>
        <item x="392"/>
        <item x="379"/>
        <item x="332"/>
        <item x="87"/>
        <item x="53"/>
        <item x="8"/>
        <item x="27"/>
        <item x="172"/>
        <item x="296"/>
        <item x="95"/>
        <item x="49"/>
        <item x="367"/>
        <item x="364"/>
        <item x="75"/>
        <item x="130"/>
        <item x="355"/>
        <item x="339"/>
        <item x="210"/>
        <item x="67"/>
        <item x="60"/>
        <item x="121"/>
        <item x="420"/>
        <item x="360"/>
        <item x="218"/>
        <item x="435"/>
        <item x="341"/>
        <item x="165"/>
        <item x="397"/>
        <item x="442"/>
        <item x="457"/>
        <item x="421"/>
        <item x="156"/>
        <item x="194"/>
        <item x="190"/>
        <item x="444"/>
        <item x="193"/>
        <item x="299"/>
        <item x="381"/>
        <item x="57"/>
        <item x="485"/>
        <item x="127"/>
        <item x="144"/>
        <item x="15"/>
        <item x="407"/>
        <item x="430"/>
        <item x="161"/>
        <item x="475"/>
        <item x="453"/>
        <item x="123"/>
        <item x="150"/>
        <item x="102"/>
        <item x="239"/>
        <item x="290"/>
        <item x="451"/>
        <item x="405"/>
        <item x="246"/>
        <item x="79"/>
        <item x="129"/>
        <item x="388"/>
        <item x="263"/>
        <item x="411"/>
        <item x="316"/>
        <item x="108"/>
        <item x="185"/>
        <item x="422"/>
        <item x="221"/>
        <item x="396"/>
        <item x="297"/>
        <item x="312"/>
        <item x="480"/>
        <item x="202"/>
        <item x="216"/>
        <item x="90"/>
        <item x="195"/>
        <item x="152"/>
        <item x="455"/>
        <item x="331"/>
        <item x="278"/>
        <item x="437"/>
        <item x="101"/>
        <item x="222"/>
        <item x="200"/>
        <item x="281"/>
        <item x="236"/>
        <item x="158"/>
        <item x="11"/>
        <item x="427"/>
        <item x="377"/>
        <item x="347"/>
        <item x="120"/>
        <item x="461"/>
        <item x="394"/>
        <item x="83"/>
        <item x="305"/>
        <item x="38"/>
        <item x="315"/>
        <item x="326"/>
        <item x="44"/>
        <item x="99"/>
        <item x="5"/>
        <item x="301"/>
        <item x="282"/>
        <item x="329"/>
        <item x="337"/>
        <item x="295"/>
        <item x="491"/>
        <item x="42"/>
        <item x="155"/>
        <item x="276"/>
        <item x="244"/>
        <item x="302"/>
        <item x="124"/>
        <item x="425"/>
        <item x="464"/>
        <item x="6"/>
        <item x="467"/>
        <item x="89"/>
        <item x="32"/>
        <item x="225"/>
        <item x="321"/>
        <item x="335"/>
        <item x="203"/>
        <item x="431"/>
        <item x="47"/>
        <item x="483"/>
        <item x="199"/>
        <item x="255"/>
        <item x="486"/>
        <item x="166"/>
        <item x="116"/>
        <item x="456"/>
        <item x="428"/>
        <item x="266"/>
        <item x="408"/>
        <item x="12"/>
        <item x="205"/>
        <item x="137"/>
        <item x="324"/>
        <item x="414"/>
        <item x="37"/>
        <item x="220"/>
        <item x="389"/>
        <item x="285"/>
        <item x="404"/>
        <item x="69"/>
        <item x="275"/>
        <item x="230"/>
        <item x="479"/>
        <item x="323"/>
        <item x="164"/>
        <item x="184"/>
        <item x="243"/>
        <item x="14"/>
        <item x="439"/>
        <item x="180"/>
        <item x="13"/>
        <item x="387"/>
        <item x="128"/>
        <item x="320"/>
        <item x="59"/>
        <item x="189"/>
        <item x="306"/>
        <item x="477"/>
        <item x="264"/>
        <item x="259"/>
        <item x="105"/>
        <item x="241"/>
        <item x="413"/>
        <item x="43"/>
        <item x="349"/>
        <item x="346"/>
        <item x="16"/>
        <item x="472"/>
        <item x="440"/>
        <item x="443"/>
        <item x="125"/>
        <item x="217"/>
        <item x="235"/>
        <item x="344"/>
        <item x="4"/>
        <item x="181"/>
        <item x="148"/>
        <item x="251"/>
        <item x="2"/>
        <item x="366"/>
        <item x="423"/>
        <item x="226"/>
        <item x="384"/>
        <item x="157"/>
        <item x="434"/>
        <item x="459"/>
        <item x="426"/>
        <item x="170"/>
        <item x="228"/>
        <item x="153"/>
        <item x="372"/>
        <item x="250"/>
        <item x="34"/>
        <item x="383"/>
        <item x="424"/>
        <item x="272"/>
        <item x="115"/>
        <item x="63"/>
        <item x="343"/>
        <item x="478"/>
        <item x="369"/>
        <item x="131"/>
        <item x="88"/>
        <item x="354"/>
        <item x="160"/>
        <item x="122"/>
        <item t="max"/>
      </items>
    </pivotField>
    <pivotField showAll="0">
      <items count="6">
        <item x="3"/>
        <item x="1"/>
        <item x="2"/>
        <item x="0"/>
        <item x="4"/>
        <item t="default"/>
      </items>
    </pivotField>
    <pivotField showAll="0"/>
    <pivotField showAll="0">
      <items count="14">
        <item x="12"/>
        <item x="7"/>
        <item x="9"/>
        <item x="2"/>
        <item x="1"/>
        <item x="11"/>
        <item x="6"/>
        <item x="5"/>
        <item x="0"/>
        <item x="3"/>
        <item x="10"/>
        <item x="4"/>
        <item x="8"/>
        <item t="default"/>
      </items>
    </pivotField>
    <pivotField showAll="0"/>
    <pivotField numFmtId="164" showAll="0"/>
    <pivotField numFmtId="9" showAll="0"/>
    <pivotField numFmtId="164" showAll="0"/>
    <pivotField numFmtId="164" showAll="0"/>
    <pivotField showAll="0">
      <items count="4">
        <item x="2"/>
        <item x="0"/>
        <item x="1"/>
        <item t="default"/>
      </items>
    </pivotField>
    <pivotField dragToRow="0" dragToCol="0" dragToPage="0" showAll="0" defaultSubtotal="0"/>
    <pivotField dragToRow="0" dragToCol="0" dragToPage="0" showAll="0" defaultSubtotal="0"/>
    <pivotField dataField="1" dragToRow="0" dragToCol="0" dragToPage="0" showAll="0" defaultSubtotal="0"/>
  </pivotFields>
  <rowItems count="1">
    <i/>
  </rowItems>
  <colItems count="1">
    <i/>
  </colItems>
  <dataFields count="1">
    <dataField name="Average Order Value " fld="16" baseField="0" baseItem="5" numFmtId="164"/>
  </dataFields>
  <formats count="2">
    <format dxfId="18">
      <pivotArea dataOnly="0" labelOnly="1" outline="0" axis="axisValues"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rowHeaderCaption="Region">
  <location ref="B19:C30" firstHeaderRow="1" firstDataRow="1" firstDataCol="1"/>
  <pivotFields count="17">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13">
        <item x="5"/>
        <item x="8"/>
        <item x="7"/>
        <item x="9"/>
        <item x="11"/>
        <item x="2"/>
        <item x="4"/>
        <item x="0"/>
        <item x="1"/>
        <item x="6"/>
        <item x="10"/>
        <item x="3"/>
        <item t="default"/>
      </items>
    </pivotField>
    <pivotField showAll="0">
      <items count="490">
        <item x="467"/>
        <item x="480"/>
        <item x="181"/>
        <item x="329"/>
        <item x="331"/>
        <item x="2"/>
        <item x="178"/>
        <item x="143"/>
        <item x="146"/>
        <item x="354"/>
        <item x="195"/>
        <item x="246"/>
        <item x="488"/>
        <item x="470"/>
        <item x="92"/>
        <item x="157"/>
        <item x="109"/>
        <item x="310"/>
        <item x="401"/>
        <item x="91"/>
        <item x="65"/>
        <item x="380"/>
        <item x="355"/>
        <item x="405"/>
        <item x="386"/>
        <item x="193"/>
        <item x="312"/>
        <item x="152"/>
        <item x="392"/>
        <item x="22"/>
        <item x="211"/>
        <item x="260"/>
        <item x="397"/>
        <item x="9"/>
        <item x="86"/>
        <item x="357"/>
        <item x="249"/>
        <item x="113"/>
        <item x="199"/>
        <item x="54"/>
        <item x="287"/>
        <item x="122"/>
        <item x="263"/>
        <item x="190"/>
        <item x="410"/>
        <item x="159"/>
        <item x="438"/>
        <item x="208"/>
        <item x="4"/>
        <item x="456"/>
        <item x="336"/>
        <item x="384"/>
        <item x="473"/>
        <item x="224"/>
        <item x="282"/>
        <item x="30"/>
        <item x="413"/>
        <item x="369"/>
        <item x="404"/>
        <item x="468"/>
        <item x="167"/>
        <item x="26"/>
        <item x="451"/>
        <item x="10"/>
        <item x="58"/>
        <item x="6"/>
        <item x="25"/>
        <item x="366"/>
        <item x="150"/>
        <item x="34"/>
        <item x="475"/>
        <item x="184"/>
        <item x="21"/>
        <item x="80"/>
        <item x="455"/>
        <item x="130"/>
        <item x="46"/>
        <item x="450"/>
        <item x="172"/>
        <item x="163"/>
        <item x="13"/>
        <item x="464"/>
        <item x="449"/>
        <item x="337"/>
        <item x="283"/>
        <item x="300"/>
        <item x="7"/>
        <item x="376"/>
        <item x="403"/>
        <item x="138"/>
        <item x="250"/>
        <item x="408"/>
        <item x="368"/>
        <item x="370"/>
        <item x="316"/>
        <item x="144"/>
        <item x="173"/>
        <item x="296"/>
        <item x="187"/>
        <item x="121"/>
        <item x="201"/>
        <item x="63"/>
        <item x="206"/>
        <item x="443"/>
        <item x="37"/>
        <item x="446"/>
        <item x="149"/>
        <item x="154"/>
        <item x="47"/>
        <item x="36"/>
        <item x="400"/>
        <item x="265"/>
        <item x="41"/>
        <item x="185"/>
        <item x="356"/>
        <item x="198"/>
        <item x="259"/>
        <item x="339"/>
        <item x="104"/>
        <item x="114"/>
        <item x="297"/>
        <item x="313"/>
        <item x="292"/>
        <item x="79"/>
        <item x="275"/>
        <item x="38"/>
        <item x="317"/>
        <item x="161"/>
        <item x="117"/>
        <item x="335"/>
        <item x="84"/>
        <item x="74"/>
        <item x="415"/>
        <item x="318"/>
        <item x="322"/>
        <item x="87"/>
        <item x="273"/>
        <item x="465"/>
        <item x="261"/>
        <item x="213"/>
        <item x="306"/>
        <item x="348"/>
        <item x="288"/>
        <item x="389"/>
        <item x="431"/>
        <item x="295"/>
        <item x="414"/>
        <item x="424"/>
        <item x="70"/>
        <item x="388"/>
        <item x="32"/>
        <item x="421"/>
        <item x="214"/>
        <item x="378"/>
        <item x="447"/>
        <item x="290"/>
        <item x="256"/>
        <item x="156"/>
        <item x="466"/>
        <item x="77"/>
        <item x="127"/>
        <item x="257"/>
        <item x="106"/>
        <item x="367"/>
        <item x="458"/>
        <item x="385"/>
        <item x="277"/>
        <item x="29"/>
        <item x="27"/>
        <item x="166"/>
        <item x="445"/>
        <item x="105"/>
        <item x="75"/>
        <item x="129"/>
        <item x="262"/>
        <item x="311"/>
        <item x="391"/>
        <item x="160"/>
        <item x="137"/>
        <item x="176"/>
        <item x="243"/>
        <item x="125"/>
        <item x="78"/>
        <item x="428"/>
        <item x="123"/>
        <item x="395"/>
        <item x="362"/>
        <item x="237"/>
        <item x="64"/>
        <item x="334"/>
        <item x="474"/>
        <item x="108"/>
        <item x="314"/>
        <item x="12"/>
        <item x="51"/>
        <item x="39"/>
        <item x="236"/>
        <item x="186"/>
        <item x="216"/>
        <item x="82"/>
        <item x="345"/>
        <item x="35"/>
        <item x="165"/>
        <item x="407"/>
        <item x="258"/>
        <item x="272"/>
        <item x="377"/>
        <item x="101"/>
        <item x="218"/>
        <item x="279"/>
        <item x="230"/>
        <item x="326"/>
        <item x="299"/>
        <item x="320"/>
        <item x="61"/>
        <item x="252"/>
        <item x="481"/>
        <item x="472"/>
        <item x="245"/>
        <item x="180"/>
        <item x="71"/>
        <item x="188"/>
        <item x="294"/>
        <item x="111"/>
        <item x="264"/>
        <item x="462"/>
        <item x="16"/>
        <item x="319"/>
        <item x="28"/>
        <item x="460"/>
        <item x="192"/>
        <item x="360"/>
        <item x="463"/>
        <item x="228"/>
        <item x="437"/>
        <item x="293"/>
        <item x="402"/>
        <item x="418"/>
        <item x="452"/>
        <item x="102"/>
        <item x="349"/>
        <item x="411"/>
        <item x="232"/>
        <item x="453"/>
        <item x="97"/>
        <item x="374"/>
        <item x="487"/>
        <item x="49"/>
        <item x="399"/>
        <item x="99"/>
        <item x="59"/>
        <item x="72"/>
        <item x="308"/>
        <item x="11"/>
        <item x="382"/>
        <item x="278"/>
        <item x="110"/>
        <item x="244"/>
        <item x="448"/>
        <item x="151"/>
        <item x="350"/>
        <item x="238"/>
        <item x="441"/>
        <item x="254"/>
        <item x="169"/>
        <item x="73"/>
        <item x="242"/>
        <item x="482"/>
        <item x="352"/>
        <item x="177"/>
        <item x="284"/>
        <item x="330"/>
        <item x="107"/>
        <item x="248"/>
        <item x="459"/>
        <item x="85"/>
        <item x="90"/>
        <item x="444"/>
        <item x="454"/>
        <item x="191"/>
        <item x="484"/>
        <item x="45"/>
        <item x="231"/>
        <item x="124"/>
        <item x="276"/>
        <item x="420"/>
        <item x="175"/>
        <item x="417"/>
        <item x="477"/>
        <item x="116"/>
        <item x="56"/>
        <item x="23"/>
        <item x="174"/>
        <item x="241"/>
        <item x="89"/>
        <item x="412"/>
        <item x="33"/>
        <item x="429"/>
        <item x="67"/>
        <item x="44"/>
        <item x="136"/>
        <item x="88"/>
        <item x="227"/>
        <item x="419"/>
        <item x="461"/>
        <item x="327"/>
        <item x="222"/>
        <item x="212"/>
        <item x="112"/>
        <item x="476"/>
        <item x="119"/>
        <item x="126"/>
        <item x="381"/>
        <item x="142"/>
        <item x="253"/>
        <item x="219"/>
        <item x="393"/>
        <item x="347"/>
        <item x="435"/>
        <item x="346"/>
        <item x="409"/>
        <item x="440"/>
        <item x="204"/>
        <item x="483"/>
        <item x="434"/>
        <item x="379"/>
        <item x="267"/>
        <item x="266"/>
        <item x="372"/>
        <item x="225"/>
        <item x="134"/>
        <item x="139"/>
        <item x="239"/>
        <item x="69"/>
        <item x="486"/>
        <item x="373"/>
        <item x="416"/>
        <item x="81"/>
        <item x="209"/>
        <item x="321"/>
        <item x="158"/>
        <item x="76"/>
        <item x="423"/>
        <item x="285"/>
        <item x="315"/>
        <item x="343"/>
        <item x="325"/>
        <item x="303"/>
        <item x="426"/>
        <item x="53"/>
        <item x="289"/>
        <item x="383"/>
        <item x="68"/>
        <item x="471"/>
        <item x="17"/>
        <item x="328"/>
        <item x="338"/>
        <item x="43"/>
        <item x="18"/>
        <item x="183"/>
        <item x="14"/>
        <item x="485"/>
        <item x="48"/>
        <item x="132"/>
        <item x="57"/>
        <item x="95"/>
        <item x="200"/>
        <item x="333"/>
        <item x="40"/>
        <item x="189"/>
        <item x="387"/>
        <item x="145"/>
        <item x="96"/>
        <item x="396"/>
        <item x="364"/>
        <item x="5"/>
        <item x="323"/>
        <item x="268"/>
        <item x="210"/>
        <item x="3"/>
        <item x="221"/>
        <item x="270"/>
        <item x="148"/>
        <item x="427"/>
        <item x="281"/>
        <item x="478"/>
        <item x="1"/>
        <item x="0"/>
        <item x="251"/>
        <item x="60"/>
        <item x="363"/>
        <item x="182"/>
        <item x="103"/>
        <item x="406"/>
        <item x="62"/>
        <item x="196"/>
        <item x="291"/>
        <item x="359"/>
        <item x="332"/>
        <item x="436"/>
        <item x="179"/>
        <item x="197"/>
        <item x="83"/>
        <item x="344"/>
        <item x="120"/>
        <item x="430"/>
        <item x="457"/>
        <item x="217"/>
        <item x="425"/>
        <item x="247"/>
        <item x="168"/>
        <item x="342"/>
        <item x="233"/>
        <item x="164"/>
        <item x="24"/>
        <item x="147"/>
        <item x="271"/>
        <item x="133"/>
        <item x="115"/>
        <item x="205"/>
        <item x="207"/>
        <item x="309"/>
        <item x="439"/>
        <item x="140"/>
        <item x="194"/>
        <item x="31"/>
        <item x="19"/>
        <item x="341"/>
        <item x="94"/>
        <item x="229"/>
        <item x="240"/>
        <item x="55"/>
        <item x="469"/>
        <item x="118"/>
        <item x="394"/>
        <item x="365"/>
        <item x="202"/>
        <item x="358"/>
        <item x="371"/>
        <item x="302"/>
        <item x="131"/>
        <item x="93"/>
        <item x="398"/>
        <item x="220"/>
        <item x="135"/>
        <item x="226"/>
        <item x="351"/>
        <item x="422"/>
        <item x="153"/>
        <item x="307"/>
        <item x="235"/>
        <item x="52"/>
        <item x="171"/>
        <item x="433"/>
        <item x="353"/>
        <item x="215"/>
        <item x="298"/>
        <item x="8"/>
        <item x="304"/>
        <item x="141"/>
        <item x="286"/>
        <item x="66"/>
        <item x="479"/>
        <item x="50"/>
        <item x="280"/>
        <item x="20"/>
        <item x="170"/>
        <item x="98"/>
        <item x="234"/>
        <item x="162"/>
        <item x="361"/>
        <item x="155"/>
        <item x="15"/>
        <item x="301"/>
        <item x="42"/>
        <item x="324"/>
        <item x="274"/>
        <item x="255"/>
        <item x="340"/>
        <item x="305"/>
        <item x="375"/>
        <item x="223"/>
        <item x="128"/>
        <item x="269"/>
        <item x="100"/>
        <item x="442"/>
        <item x="432"/>
        <item x="203"/>
        <item x="390"/>
        <item t="default"/>
      </items>
    </pivotField>
    <pivotField showAll="0" measureFilter="1" sortType="descending" maxSubtotal="1">
      <items count="494">
        <item x="71"/>
        <item x="245"/>
        <item x="452"/>
        <item x="188"/>
        <item x="82"/>
        <item x="212"/>
        <item x="51"/>
        <item x="368"/>
        <item x="348"/>
        <item x="201"/>
        <item x="179"/>
        <item x="465"/>
        <item x="233"/>
        <item x="92"/>
        <item x="133"/>
        <item x="304"/>
        <item x="24"/>
        <item x="277"/>
        <item x="378"/>
        <item x="146"/>
        <item x="52"/>
        <item x="458"/>
        <item x="204"/>
        <item x="207"/>
        <item x="140"/>
        <item x="283"/>
        <item x="466"/>
        <item x="398"/>
        <item x="249"/>
        <item x="227"/>
        <item x="291"/>
        <item x="175"/>
        <item x="171"/>
        <item x="412"/>
        <item x="81"/>
        <item x="149"/>
        <item x="117"/>
        <item x="174"/>
        <item x="19"/>
        <item x="386"/>
        <item x="41"/>
        <item x="147"/>
        <item x="470"/>
        <item x="418"/>
        <item x="178"/>
        <item x="252"/>
        <item x="109"/>
        <item x="258"/>
        <item x="261"/>
        <item x="151"/>
        <item x="9"/>
        <item x="141"/>
        <item x="237"/>
        <item x="248"/>
        <item x="410"/>
        <item x="350"/>
        <item x="112"/>
        <item x="209"/>
        <item x="390"/>
        <item x="106"/>
        <item x="417"/>
        <item x="374"/>
        <item x="18"/>
        <item x="28"/>
        <item x="73"/>
        <item x="219"/>
        <item x="380"/>
        <item x="256"/>
        <item x="136"/>
        <item x="39"/>
        <item x="72"/>
        <item x="154"/>
        <item x="260"/>
        <item x="119"/>
        <item x="187"/>
        <item x="132"/>
        <item x="345"/>
        <item x="45"/>
        <item x="262"/>
        <item x="322"/>
        <item x="163"/>
        <item x="448"/>
        <item x="309"/>
        <item x="173"/>
        <item x="36"/>
        <item x="395"/>
        <item x="446"/>
        <item x="213"/>
        <item x="319"/>
        <item x="135"/>
        <item x="55"/>
        <item x="186"/>
        <item x="68"/>
        <item x="474"/>
        <item x="23"/>
        <item x="476"/>
        <item x="469"/>
        <item x="118"/>
        <item x="336"/>
        <item x="77"/>
        <item x="269"/>
        <item x="450"/>
        <item x="313"/>
        <item x="274"/>
        <item x="61"/>
        <item x="104"/>
        <item x="447"/>
        <item x="48"/>
        <item x="114"/>
        <item x="399"/>
        <item x="196"/>
        <item x="351"/>
        <item x="471"/>
        <item x="487"/>
        <item x="167"/>
        <item x="100"/>
        <item x="10"/>
        <item x="76"/>
        <item x="143"/>
        <item x="460"/>
        <item x="330"/>
        <item x="490"/>
        <item x="370"/>
        <item x="223"/>
        <item x="232"/>
        <item x="98"/>
        <item x="328"/>
        <item x="356"/>
        <item x="66"/>
        <item x="111"/>
        <item x="215"/>
        <item x="357"/>
        <item x="449"/>
        <item x="31"/>
        <item x="429"/>
        <item x="279"/>
        <item x="238"/>
        <item x="30"/>
        <item x="168"/>
        <item x="307"/>
        <item x="403"/>
        <item x="484"/>
        <item x="206"/>
        <item x="488"/>
        <item x="311"/>
        <item x="169"/>
        <item x="441"/>
        <item x="162"/>
        <item x="91"/>
        <item x="308"/>
        <item x="365"/>
        <item x="314"/>
        <item x="382"/>
        <item x="375"/>
        <item x="445"/>
        <item x="84"/>
        <item x="96"/>
        <item x="176"/>
        <item x="145"/>
        <item x="438"/>
        <item x="363"/>
        <item x="271"/>
        <item x="78"/>
        <item x="415"/>
        <item x="318"/>
        <item x="433"/>
        <item x="473"/>
        <item x="21"/>
        <item x="268"/>
        <item x="107"/>
        <item x="292"/>
        <item x="46"/>
        <item x="113"/>
        <item x="177"/>
        <item x="340"/>
        <item x="85"/>
        <item x="373"/>
        <item x="7"/>
        <item x="142"/>
        <item x="359"/>
        <item x="211"/>
        <item x="342"/>
        <item x="317"/>
        <item x="20"/>
        <item x="265"/>
        <item x="406"/>
        <item x="294"/>
        <item x="352"/>
        <item x="353"/>
        <item x="138"/>
        <item x="293"/>
        <item x="29"/>
        <item x="22"/>
        <item x="17"/>
        <item x="26"/>
        <item x="103"/>
        <item x="303"/>
        <item x="416"/>
        <item x="253"/>
        <item x="56"/>
        <item x="409"/>
        <item x="191"/>
        <item x="93"/>
        <item x="489"/>
        <item x="231"/>
        <item x="254"/>
        <item x="234"/>
        <item x="270"/>
        <item x="229"/>
        <item x="224"/>
        <item x="419"/>
        <item x="94"/>
        <item x="35"/>
        <item x="287"/>
        <item x="400"/>
        <item x="182"/>
        <item x="25"/>
        <item x="273"/>
        <item x="159"/>
        <item x="481"/>
        <item x="197"/>
        <item x="361"/>
        <item x="3"/>
        <item x="280"/>
        <item x="393"/>
        <item x="376"/>
        <item x="33"/>
        <item x="284"/>
        <item x="462"/>
        <item x="70"/>
        <item x="214"/>
        <item x="1"/>
        <item x="362"/>
        <item x="192"/>
        <item x="64"/>
        <item x="0"/>
        <item x="325"/>
        <item x="310"/>
        <item x="198"/>
        <item x="298"/>
        <item x="385"/>
        <item x="492"/>
        <item x="247"/>
        <item x="257"/>
        <item x="134"/>
        <item x="50"/>
        <item x="242"/>
        <item x="58"/>
        <item x="288"/>
        <item x="334"/>
        <item x="454"/>
        <item x="62"/>
        <item x="54"/>
        <item x="74"/>
        <item x="65"/>
        <item x="110"/>
        <item x="183"/>
        <item x="97"/>
        <item x="300"/>
        <item x="338"/>
        <item x="80"/>
        <item x="327"/>
        <item x="432"/>
        <item x="482"/>
        <item x="358"/>
        <item x="126"/>
        <item x="86"/>
        <item x="333"/>
        <item x="436"/>
        <item x="391"/>
        <item x="468"/>
        <item x="286"/>
        <item x="401"/>
        <item x="208"/>
        <item x="371"/>
        <item x="289"/>
        <item x="267"/>
        <item x="402"/>
        <item x="40"/>
        <item x="463"/>
        <item x="139"/>
        <item x="240"/>
        <item x="392"/>
        <item x="379"/>
        <item x="332"/>
        <item x="87"/>
        <item x="53"/>
        <item x="8"/>
        <item x="27"/>
        <item x="172"/>
        <item x="296"/>
        <item x="95"/>
        <item x="49"/>
        <item x="367"/>
        <item x="364"/>
        <item x="75"/>
        <item x="130"/>
        <item x="355"/>
        <item x="339"/>
        <item x="210"/>
        <item x="67"/>
        <item x="60"/>
        <item x="121"/>
        <item x="420"/>
        <item x="360"/>
        <item x="218"/>
        <item x="435"/>
        <item x="341"/>
        <item x="165"/>
        <item x="397"/>
        <item x="442"/>
        <item x="457"/>
        <item x="421"/>
        <item x="156"/>
        <item x="194"/>
        <item x="190"/>
        <item x="444"/>
        <item x="193"/>
        <item x="299"/>
        <item x="381"/>
        <item x="57"/>
        <item x="485"/>
        <item x="127"/>
        <item x="144"/>
        <item x="15"/>
        <item x="407"/>
        <item x="430"/>
        <item x="161"/>
        <item x="475"/>
        <item x="453"/>
        <item x="123"/>
        <item x="150"/>
        <item x="102"/>
        <item x="239"/>
        <item x="290"/>
        <item x="451"/>
        <item x="405"/>
        <item x="246"/>
        <item x="79"/>
        <item x="129"/>
        <item x="388"/>
        <item x="263"/>
        <item x="411"/>
        <item x="316"/>
        <item x="108"/>
        <item x="185"/>
        <item x="422"/>
        <item x="221"/>
        <item x="396"/>
        <item x="297"/>
        <item x="312"/>
        <item x="480"/>
        <item x="202"/>
        <item x="216"/>
        <item x="90"/>
        <item x="195"/>
        <item x="152"/>
        <item x="455"/>
        <item x="331"/>
        <item x="278"/>
        <item x="437"/>
        <item x="101"/>
        <item x="222"/>
        <item x="200"/>
        <item x="281"/>
        <item x="236"/>
        <item x="158"/>
        <item x="11"/>
        <item x="427"/>
        <item x="377"/>
        <item x="347"/>
        <item x="120"/>
        <item x="461"/>
        <item x="394"/>
        <item x="83"/>
        <item x="305"/>
        <item x="38"/>
        <item x="315"/>
        <item x="326"/>
        <item x="44"/>
        <item x="99"/>
        <item x="5"/>
        <item x="301"/>
        <item x="282"/>
        <item x="329"/>
        <item x="337"/>
        <item x="295"/>
        <item x="491"/>
        <item x="42"/>
        <item x="155"/>
        <item x="276"/>
        <item x="244"/>
        <item x="302"/>
        <item x="124"/>
        <item x="425"/>
        <item x="464"/>
        <item x="6"/>
        <item x="467"/>
        <item x="89"/>
        <item x="32"/>
        <item x="225"/>
        <item x="321"/>
        <item x="335"/>
        <item x="203"/>
        <item x="431"/>
        <item x="47"/>
        <item x="483"/>
        <item x="199"/>
        <item x="255"/>
        <item x="486"/>
        <item x="166"/>
        <item x="116"/>
        <item x="456"/>
        <item x="428"/>
        <item x="266"/>
        <item x="408"/>
        <item x="12"/>
        <item x="205"/>
        <item x="137"/>
        <item x="324"/>
        <item x="414"/>
        <item x="37"/>
        <item x="220"/>
        <item x="389"/>
        <item x="285"/>
        <item x="404"/>
        <item x="69"/>
        <item x="275"/>
        <item x="230"/>
        <item x="479"/>
        <item x="323"/>
        <item x="164"/>
        <item x="184"/>
        <item x="243"/>
        <item x="14"/>
        <item x="439"/>
        <item x="180"/>
        <item x="13"/>
        <item x="387"/>
        <item x="128"/>
        <item x="320"/>
        <item x="59"/>
        <item x="189"/>
        <item x="306"/>
        <item x="477"/>
        <item x="264"/>
        <item x="259"/>
        <item x="105"/>
        <item x="241"/>
        <item x="413"/>
        <item x="43"/>
        <item x="349"/>
        <item x="346"/>
        <item x="16"/>
        <item x="472"/>
        <item x="440"/>
        <item x="443"/>
        <item x="125"/>
        <item x="217"/>
        <item x="235"/>
        <item x="344"/>
        <item x="4"/>
        <item x="181"/>
        <item x="148"/>
        <item x="251"/>
        <item x="2"/>
        <item x="366"/>
        <item x="423"/>
        <item x="226"/>
        <item x="384"/>
        <item x="157"/>
        <item x="434"/>
        <item x="459"/>
        <item x="426"/>
        <item x="170"/>
        <item x="228"/>
        <item x="153"/>
        <item x="372"/>
        <item x="250"/>
        <item x="34"/>
        <item x="383"/>
        <item x="424"/>
        <item x="272"/>
        <item x="115"/>
        <item x="63"/>
        <item x="343"/>
        <item x="478"/>
        <item x="369"/>
        <item x="131"/>
        <item x="88"/>
        <item x="354"/>
        <item x="160"/>
        <item x="122"/>
        <item t="max"/>
      </items>
      <autoSortScope>
        <pivotArea dataOnly="0" outline="0" fieldPosition="0">
          <references count="1">
            <reference field="4294967294" count="1" selected="0">
              <x v="0"/>
            </reference>
          </references>
        </pivotArea>
      </autoSortScope>
    </pivotField>
    <pivotField showAll="0" sortType="descending">
      <items count="6">
        <item x="3"/>
        <item x="1"/>
        <item x="2"/>
        <item x="0"/>
        <item x="4"/>
        <item t="default"/>
      </items>
      <autoSortScope>
        <pivotArea dataOnly="0" outline="0" fieldPosition="0">
          <references count="1">
            <reference field="4294967294" count="1" selected="0">
              <x v="0"/>
            </reference>
          </references>
        </pivotArea>
      </autoSortScope>
    </pivotField>
    <pivotField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axis="axisRow" showAll="0" measureFilter="1" sortType="ascending">
      <items count="14">
        <item x="12"/>
        <item x="7"/>
        <item x="9"/>
        <item x="2"/>
        <item x="1"/>
        <item x="11"/>
        <item x="6"/>
        <item x="5"/>
        <item x="0"/>
        <item x="3"/>
        <item x="10"/>
        <item x="4"/>
        <item x="8"/>
        <item t="default"/>
      </items>
      <autoSortScope>
        <pivotArea dataOnly="0" outline="0" fieldPosition="0">
          <references count="1">
            <reference field="4294967294" count="1" selected="0">
              <x v="0"/>
            </reference>
          </references>
        </pivotArea>
      </autoSortScope>
    </pivotField>
    <pivotField showAll="0"/>
    <pivotField numFmtId="164" showAll="0"/>
    <pivotField numFmtId="9" showAll="0"/>
    <pivotField dataField="1" numFmtId="164" showAll="0"/>
    <pivotField numFmtId="164" showAll="0"/>
    <pivotField showAll="0">
      <items count="4">
        <item x="2"/>
        <item x="0"/>
        <item x="1"/>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11">
    <i>
      <x v="1"/>
    </i>
    <i>
      <x v="5"/>
    </i>
    <i>
      <x v="11"/>
    </i>
    <i>
      <x v="8"/>
    </i>
    <i>
      <x v="10"/>
    </i>
    <i>
      <x/>
    </i>
    <i>
      <x v="9"/>
    </i>
    <i>
      <x v="2"/>
    </i>
    <i>
      <x v="12"/>
    </i>
    <i>
      <x v="4"/>
    </i>
    <i t="grand">
      <x/>
    </i>
  </rowItems>
  <colItems count="1">
    <i/>
  </colItems>
  <dataFields count="1">
    <dataField name="Total Sales " fld="11" baseField="7" baseItem="0"/>
  </dataFields>
  <formats count="4">
    <format dxfId="22">
      <pivotArea dataOnly="0" labelOnly="1" outline="0" axis="axisValues" fieldPosition="0"/>
    </format>
    <format dxfId="21">
      <pivotArea outline="0" collapsedLevelsAreSubtotals="1" fieldPosition="0"/>
    </format>
    <format dxfId="20">
      <pivotArea dataOnly="0" grandRow="1" fieldPosition="0"/>
    </format>
    <format dxfId="19">
      <pivotArea field="5" type="button" dataOnly="0" labelOnly="1" outline="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10" filterVal="10"/>
        </filterColumn>
      </autoFilter>
    </filter>
    <filter fld="7"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3:C4" firstHeaderRow="1" firstDataRow="1" firstDataCol="0"/>
  <pivotFields count="17">
    <pivotField showAll="0"/>
    <pivotField showAll="0"/>
    <pivotField showAll="0">
      <items count="13">
        <item x="5"/>
        <item x="8"/>
        <item x="7"/>
        <item x="9"/>
        <item x="11"/>
        <item x="2"/>
        <item x="4"/>
        <item x="0"/>
        <item x="1"/>
        <item x="6"/>
        <item x="10"/>
        <item x="3"/>
        <item t="default"/>
      </items>
    </pivotField>
    <pivotField showAll="0"/>
    <pivotField showAll="0"/>
    <pivotField showAll="0">
      <items count="6">
        <item x="3"/>
        <item x="1"/>
        <item x="2"/>
        <item x="0"/>
        <item x="4"/>
        <item t="default"/>
      </items>
    </pivotField>
    <pivotField showAll="0"/>
    <pivotField showAll="0">
      <items count="14">
        <item x="12"/>
        <item x="7"/>
        <item x="9"/>
        <item x="2"/>
        <item x="1"/>
        <item x="11"/>
        <item x="6"/>
        <item x="5"/>
        <item x="0"/>
        <item x="3"/>
        <item x="10"/>
        <item x="4"/>
        <item x="8"/>
        <item t="default"/>
      </items>
    </pivotField>
    <pivotField showAll="0"/>
    <pivotField numFmtId="164" showAll="0"/>
    <pivotField numFmtId="9" showAll="0"/>
    <pivotField numFmtId="164" showAll="0"/>
    <pivotField dataField="1" numFmtId="164" showAll="0"/>
    <pivotField showAll="0">
      <items count="4">
        <item x="2"/>
        <item x="0"/>
        <item x="1"/>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Profit" fld="12" baseField="0" baseItem="5" numFmtId="164"/>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A3:A4" firstHeaderRow="1" firstDataRow="1" firstDataCol="0"/>
  <pivotFields count="17">
    <pivotField showAll="0"/>
    <pivotField showAll="0"/>
    <pivotField showAll="0">
      <items count="13">
        <item x="5"/>
        <item x="8"/>
        <item x="7"/>
        <item x="9"/>
        <item x="11"/>
        <item x="2"/>
        <item x="4"/>
        <item x="0"/>
        <item x="1"/>
        <item x="6"/>
        <item x="10"/>
        <item x="3"/>
        <item t="default"/>
      </items>
    </pivotField>
    <pivotField showAll="0"/>
    <pivotField showAll="0"/>
    <pivotField showAll="0">
      <items count="6">
        <item x="3"/>
        <item x="1"/>
        <item x="2"/>
        <item x="0"/>
        <item x="4"/>
        <item t="default"/>
      </items>
    </pivotField>
    <pivotField showAll="0"/>
    <pivotField showAll="0">
      <items count="14">
        <item x="12"/>
        <item x="7"/>
        <item x="9"/>
        <item x="2"/>
        <item x="1"/>
        <item x="11"/>
        <item x="6"/>
        <item x="5"/>
        <item x="0"/>
        <item x="3"/>
        <item x="10"/>
        <item x="4"/>
        <item x="8"/>
        <item t="default"/>
      </items>
    </pivotField>
    <pivotField showAll="0"/>
    <pivotField numFmtId="164" showAll="0"/>
    <pivotField numFmtId="9" showAll="0"/>
    <pivotField dataField="1" numFmtId="164" showAll="0"/>
    <pivotField numFmtId="164" showAll="0"/>
    <pivotField showAll="0">
      <items count="4">
        <item x="2"/>
        <item x="0"/>
        <item x="1"/>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Sales" fld="11" baseField="0" baseItem="5" numFmtId="164"/>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Products">
  <location ref="B14:B15" firstHeaderRow="1" firstDataRow="1" firstDataCol="0"/>
  <pivotFields count="17">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13">
        <item x="5"/>
        <item x="8"/>
        <item x="7"/>
        <item x="9"/>
        <item x="11"/>
        <item x="2"/>
        <item x="4"/>
        <item x="0"/>
        <item x="1"/>
        <item x="6"/>
        <item x="10"/>
        <item x="3"/>
        <item t="default"/>
      </items>
    </pivotField>
    <pivotField showAll="0">
      <items count="490">
        <item x="467"/>
        <item x="480"/>
        <item x="181"/>
        <item x="329"/>
        <item x="331"/>
        <item x="2"/>
        <item x="178"/>
        <item x="143"/>
        <item x="146"/>
        <item x="354"/>
        <item x="195"/>
        <item x="246"/>
        <item x="488"/>
        <item x="470"/>
        <item x="92"/>
        <item x="157"/>
        <item x="109"/>
        <item x="310"/>
        <item x="401"/>
        <item x="91"/>
        <item x="65"/>
        <item x="380"/>
        <item x="355"/>
        <item x="405"/>
        <item x="386"/>
        <item x="193"/>
        <item x="312"/>
        <item x="152"/>
        <item x="392"/>
        <item x="22"/>
        <item x="211"/>
        <item x="260"/>
        <item x="397"/>
        <item x="9"/>
        <item x="86"/>
        <item x="357"/>
        <item x="249"/>
        <item x="113"/>
        <item x="199"/>
        <item x="54"/>
        <item x="287"/>
        <item x="122"/>
        <item x="263"/>
        <item x="190"/>
        <item x="410"/>
        <item x="159"/>
        <item x="438"/>
        <item x="208"/>
        <item x="4"/>
        <item x="456"/>
        <item x="336"/>
        <item x="384"/>
        <item x="473"/>
        <item x="224"/>
        <item x="282"/>
        <item x="30"/>
        <item x="413"/>
        <item x="369"/>
        <item x="404"/>
        <item x="468"/>
        <item x="167"/>
        <item x="26"/>
        <item x="451"/>
        <item x="10"/>
        <item x="58"/>
        <item x="6"/>
        <item x="25"/>
        <item x="366"/>
        <item x="150"/>
        <item x="34"/>
        <item x="475"/>
        <item x="184"/>
        <item x="21"/>
        <item x="80"/>
        <item x="455"/>
        <item x="130"/>
        <item x="46"/>
        <item x="450"/>
        <item x="172"/>
        <item x="163"/>
        <item x="13"/>
        <item x="464"/>
        <item x="449"/>
        <item x="337"/>
        <item x="283"/>
        <item x="300"/>
        <item x="7"/>
        <item x="376"/>
        <item x="403"/>
        <item x="138"/>
        <item x="250"/>
        <item x="408"/>
        <item x="368"/>
        <item x="370"/>
        <item x="316"/>
        <item x="144"/>
        <item x="173"/>
        <item x="296"/>
        <item x="187"/>
        <item x="121"/>
        <item x="201"/>
        <item x="63"/>
        <item x="206"/>
        <item x="443"/>
        <item x="37"/>
        <item x="446"/>
        <item x="149"/>
        <item x="154"/>
        <item x="47"/>
        <item x="36"/>
        <item x="400"/>
        <item x="265"/>
        <item x="41"/>
        <item x="185"/>
        <item x="356"/>
        <item x="198"/>
        <item x="259"/>
        <item x="339"/>
        <item x="104"/>
        <item x="114"/>
        <item x="297"/>
        <item x="313"/>
        <item x="292"/>
        <item x="79"/>
        <item x="275"/>
        <item x="38"/>
        <item x="317"/>
        <item x="161"/>
        <item x="117"/>
        <item x="335"/>
        <item x="84"/>
        <item x="74"/>
        <item x="415"/>
        <item x="318"/>
        <item x="322"/>
        <item x="87"/>
        <item x="273"/>
        <item x="465"/>
        <item x="261"/>
        <item x="213"/>
        <item x="306"/>
        <item x="348"/>
        <item x="288"/>
        <item x="389"/>
        <item x="431"/>
        <item x="295"/>
        <item x="414"/>
        <item x="424"/>
        <item x="70"/>
        <item x="388"/>
        <item x="32"/>
        <item x="421"/>
        <item x="214"/>
        <item x="378"/>
        <item x="447"/>
        <item x="290"/>
        <item x="256"/>
        <item x="156"/>
        <item x="466"/>
        <item x="77"/>
        <item x="127"/>
        <item x="257"/>
        <item x="106"/>
        <item x="367"/>
        <item x="458"/>
        <item x="385"/>
        <item x="277"/>
        <item x="29"/>
        <item x="27"/>
        <item x="166"/>
        <item x="445"/>
        <item x="105"/>
        <item x="75"/>
        <item x="129"/>
        <item x="262"/>
        <item x="311"/>
        <item x="391"/>
        <item x="160"/>
        <item x="137"/>
        <item x="176"/>
        <item x="243"/>
        <item x="125"/>
        <item x="78"/>
        <item x="428"/>
        <item x="123"/>
        <item x="395"/>
        <item x="362"/>
        <item x="237"/>
        <item x="64"/>
        <item x="334"/>
        <item x="474"/>
        <item x="108"/>
        <item x="314"/>
        <item x="12"/>
        <item x="51"/>
        <item x="39"/>
        <item x="236"/>
        <item x="186"/>
        <item x="216"/>
        <item x="82"/>
        <item x="345"/>
        <item x="35"/>
        <item x="165"/>
        <item x="407"/>
        <item x="258"/>
        <item x="272"/>
        <item x="377"/>
        <item x="101"/>
        <item x="218"/>
        <item x="279"/>
        <item x="230"/>
        <item x="326"/>
        <item x="299"/>
        <item x="320"/>
        <item x="61"/>
        <item x="252"/>
        <item x="481"/>
        <item x="472"/>
        <item x="245"/>
        <item x="180"/>
        <item x="71"/>
        <item x="188"/>
        <item x="294"/>
        <item x="111"/>
        <item x="264"/>
        <item x="462"/>
        <item x="16"/>
        <item x="319"/>
        <item x="28"/>
        <item x="460"/>
        <item x="192"/>
        <item x="360"/>
        <item x="463"/>
        <item x="228"/>
        <item x="437"/>
        <item x="293"/>
        <item x="402"/>
        <item x="418"/>
        <item x="452"/>
        <item x="102"/>
        <item x="349"/>
        <item x="411"/>
        <item x="232"/>
        <item x="453"/>
        <item x="97"/>
        <item x="374"/>
        <item x="487"/>
        <item x="49"/>
        <item x="399"/>
        <item x="99"/>
        <item x="59"/>
        <item x="72"/>
        <item x="308"/>
        <item x="11"/>
        <item x="382"/>
        <item x="278"/>
        <item x="110"/>
        <item x="244"/>
        <item x="448"/>
        <item x="151"/>
        <item x="350"/>
        <item x="238"/>
        <item x="441"/>
        <item x="254"/>
        <item x="169"/>
        <item x="73"/>
        <item x="242"/>
        <item x="482"/>
        <item x="352"/>
        <item x="177"/>
        <item x="284"/>
        <item x="330"/>
        <item x="107"/>
        <item x="248"/>
        <item x="459"/>
        <item x="85"/>
        <item x="90"/>
        <item x="444"/>
        <item x="454"/>
        <item x="191"/>
        <item x="484"/>
        <item x="45"/>
        <item x="231"/>
        <item x="124"/>
        <item x="276"/>
        <item x="420"/>
        <item x="175"/>
        <item x="417"/>
        <item x="477"/>
        <item x="116"/>
        <item x="56"/>
        <item x="23"/>
        <item x="174"/>
        <item x="241"/>
        <item x="89"/>
        <item x="412"/>
        <item x="33"/>
        <item x="429"/>
        <item x="67"/>
        <item x="44"/>
        <item x="136"/>
        <item x="88"/>
        <item x="227"/>
        <item x="419"/>
        <item x="461"/>
        <item x="327"/>
        <item x="222"/>
        <item x="212"/>
        <item x="112"/>
        <item x="476"/>
        <item x="119"/>
        <item x="126"/>
        <item x="381"/>
        <item x="142"/>
        <item x="253"/>
        <item x="219"/>
        <item x="393"/>
        <item x="347"/>
        <item x="435"/>
        <item x="346"/>
        <item x="409"/>
        <item x="440"/>
        <item x="204"/>
        <item x="483"/>
        <item x="434"/>
        <item x="379"/>
        <item x="267"/>
        <item x="266"/>
        <item x="372"/>
        <item x="225"/>
        <item x="134"/>
        <item x="139"/>
        <item x="239"/>
        <item x="69"/>
        <item x="486"/>
        <item x="373"/>
        <item x="416"/>
        <item x="81"/>
        <item x="209"/>
        <item x="321"/>
        <item x="158"/>
        <item x="76"/>
        <item x="423"/>
        <item x="285"/>
        <item x="315"/>
        <item x="343"/>
        <item x="325"/>
        <item x="303"/>
        <item x="426"/>
        <item x="53"/>
        <item x="289"/>
        <item x="383"/>
        <item x="68"/>
        <item x="471"/>
        <item x="17"/>
        <item x="328"/>
        <item x="338"/>
        <item x="43"/>
        <item x="18"/>
        <item x="183"/>
        <item x="14"/>
        <item x="485"/>
        <item x="48"/>
        <item x="132"/>
        <item x="57"/>
        <item x="95"/>
        <item x="200"/>
        <item x="333"/>
        <item x="40"/>
        <item x="189"/>
        <item x="387"/>
        <item x="145"/>
        <item x="96"/>
        <item x="396"/>
        <item x="364"/>
        <item x="5"/>
        <item x="323"/>
        <item x="268"/>
        <item x="210"/>
        <item x="3"/>
        <item x="221"/>
        <item x="270"/>
        <item x="148"/>
        <item x="427"/>
        <item x="281"/>
        <item x="478"/>
        <item x="1"/>
        <item x="0"/>
        <item x="251"/>
        <item x="60"/>
        <item x="363"/>
        <item x="182"/>
        <item x="103"/>
        <item x="406"/>
        <item x="62"/>
        <item x="196"/>
        <item x="291"/>
        <item x="359"/>
        <item x="332"/>
        <item x="436"/>
        <item x="179"/>
        <item x="197"/>
        <item x="83"/>
        <item x="344"/>
        <item x="120"/>
        <item x="430"/>
        <item x="457"/>
        <item x="217"/>
        <item x="425"/>
        <item x="247"/>
        <item x="168"/>
        <item x="342"/>
        <item x="233"/>
        <item x="164"/>
        <item x="24"/>
        <item x="147"/>
        <item x="271"/>
        <item x="133"/>
        <item x="115"/>
        <item x="205"/>
        <item x="207"/>
        <item x="309"/>
        <item x="439"/>
        <item x="140"/>
        <item x="194"/>
        <item x="31"/>
        <item x="19"/>
        <item x="341"/>
        <item x="94"/>
        <item x="229"/>
        <item x="240"/>
        <item x="55"/>
        <item x="469"/>
        <item x="118"/>
        <item x="394"/>
        <item x="365"/>
        <item x="202"/>
        <item x="358"/>
        <item x="371"/>
        <item x="302"/>
        <item x="131"/>
        <item x="93"/>
        <item x="398"/>
        <item x="220"/>
        <item x="135"/>
        <item x="226"/>
        <item x="351"/>
        <item x="422"/>
        <item x="153"/>
        <item x="307"/>
        <item x="235"/>
        <item x="52"/>
        <item x="171"/>
        <item x="433"/>
        <item x="353"/>
        <item x="215"/>
        <item x="298"/>
        <item x="8"/>
        <item x="304"/>
        <item x="141"/>
        <item x="286"/>
        <item x="66"/>
        <item x="479"/>
        <item x="50"/>
        <item x="280"/>
        <item x="20"/>
        <item x="170"/>
        <item x="98"/>
        <item x="234"/>
        <item x="162"/>
        <item x="361"/>
        <item x="155"/>
        <item x="15"/>
        <item x="301"/>
        <item x="42"/>
        <item x="324"/>
        <item x="274"/>
        <item x="255"/>
        <item x="340"/>
        <item x="305"/>
        <item x="375"/>
        <item x="223"/>
        <item x="128"/>
        <item x="269"/>
        <item x="100"/>
        <item x="442"/>
        <item x="432"/>
        <item x="203"/>
        <item x="390"/>
        <item t="default"/>
      </items>
    </pivotField>
    <pivotField showAll="0" measureFilter="1" sortType="descending" maxSubtotal="1">
      <items count="494">
        <item x="71"/>
        <item x="245"/>
        <item x="452"/>
        <item x="188"/>
        <item x="82"/>
        <item x="212"/>
        <item x="51"/>
        <item x="368"/>
        <item x="348"/>
        <item x="201"/>
        <item x="179"/>
        <item x="465"/>
        <item x="233"/>
        <item x="92"/>
        <item x="133"/>
        <item x="304"/>
        <item x="24"/>
        <item x="277"/>
        <item x="378"/>
        <item x="146"/>
        <item x="52"/>
        <item x="458"/>
        <item x="204"/>
        <item x="207"/>
        <item x="140"/>
        <item x="283"/>
        <item x="466"/>
        <item x="398"/>
        <item x="249"/>
        <item x="227"/>
        <item x="291"/>
        <item x="175"/>
        <item x="171"/>
        <item x="412"/>
        <item x="81"/>
        <item x="149"/>
        <item x="117"/>
        <item x="174"/>
        <item x="19"/>
        <item x="386"/>
        <item x="41"/>
        <item x="147"/>
        <item x="470"/>
        <item x="418"/>
        <item x="178"/>
        <item x="252"/>
        <item x="109"/>
        <item x="258"/>
        <item x="261"/>
        <item x="151"/>
        <item x="9"/>
        <item x="141"/>
        <item x="237"/>
        <item x="248"/>
        <item x="410"/>
        <item x="350"/>
        <item x="112"/>
        <item x="209"/>
        <item x="390"/>
        <item x="106"/>
        <item x="417"/>
        <item x="374"/>
        <item x="18"/>
        <item x="28"/>
        <item x="73"/>
        <item x="219"/>
        <item x="380"/>
        <item x="256"/>
        <item x="136"/>
        <item x="39"/>
        <item x="72"/>
        <item x="154"/>
        <item x="260"/>
        <item x="119"/>
        <item x="187"/>
        <item x="132"/>
        <item x="345"/>
        <item x="45"/>
        <item x="262"/>
        <item x="322"/>
        <item x="163"/>
        <item x="448"/>
        <item x="309"/>
        <item x="173"/>
        <item x="36"/>
        <item x="395"/>
        <item x="446"/>
        <item x="213"/>
        <item x="319"/>
        <item x="135"/>
        <item x="55"/>
        <item x="186"/>
        <item x="68"/>
        <item x="474"/>
        <item x="23"/>
        <item x="476"/>
        <item x="469"/>
        <item x="118"/>
        <item x="336"/>
        <item x="77"/>
        <item x="269"/>
        <item x="450"/>
        <item x="313"/>
        <item x="274"/>
        <item x="61"/>
        <item x="104"/>
        <item x="447"/>
        <item x="48"/>
        <item x="114"/>
        <item x="399"/>
        <item x="196"/>
        <item x="351"/>
        <item x="471"/>
        <item x="487"/>
        <item x="167"/>
        <item x="100"/>
        <item x="10"/>
        <item x="76"/>
        <item x="143"/>
        <item x="460"/>
        <item x="330"/>
        <item x="490"/>
        <item x="370"/>
        <item x="223"/>
        <item x="232"/>
        <item x="98"/>
        <item x="328"/>
        <item x="356"/>
        <item x="66"/>
        <item x="111"/>
        <item x="215"/>
        <item x="357"/>
        <item x="449"/>
        <item x="31"/>
        <item x="429"/>
        <item x="279"/>
        <item x="238"/>
        <item x="30"/>
        <item x="168"/>
        <item x="307"/>
        <item x="403"/>
        <item x="484"/>
        <item x="206"/>
        <item x="488"/>
        <item x="311"/>
        <item x="169"/>
        <item x="441"/>
        <item x="162"/>
        <item x="91"/>
        <item x="308"/>
        <item x="365"/>
        <item x="314"/>
        <item x="382"/>
        <item x="375"/>
        <item x="445"/>
        <item x="84"/>
        <item x="96"/>
        <item x="176"/>
        <item x="145"/>
        <item x="438"/>
        <item x="363"/>
        <item x="271"/>
        <item x="78"/>
        <item x="415"/>
        <item x="318"/>
        <item x="433"/>
        <item x="473"/>
        <item x="21"/>
        <item x="268"/>
        <item x="107"/>
        <item x="292"/>
        <item x="46"/>
        <item x="113"/>
        <item x="177"/>
        <item x="340"/>
        <item x="85"/>
        <item x="373"/>
        <item x="7"/>
        <item x="142"/>
        <item x="359"/>
        <item x="211"/>
        <item x="342"/>
        <item x="317"/>
        <item x="20"/>
        <item x="265"/>
        <item x="406"/>
        <item x="294"/>
        <item x="352"/>
        <item x="353"/>
        <item x="138"/>
        <item x="293"/>
        <item x="29"/>
        <item x="22"/>
        <item x="17"/>
        <item x="26"/>
        <item x="103"/>
        <item x="303"/>
        <item x="416"/>
        <item x="253"/>
        <item x="56"/>
        <item x="409"/>
        <item x="191"/>
        <item x="93"/>
        <item x="489"/>
        <item x="231"/>
        <item x="254"/>
        <item x="234"/>
        <item x="270"/>
        <item x="229"/>
        <item x="224"/>
        <item x="419"/>
        <item x="94"/>
        <item x="35"/>
        <item x="287"/>
        <item x="400"/>
        <item x="182"/>
        <item x="25"/>
        <item x="273"/>
        <item x="159"/>
        <item x="481"/>
        <item x="197"/>
        <item x="361"/>
        <item x="3"/>
        <item x="280"/>
        <item x="393"/>
        <item x="376"/>
        <item x="33"/>
        <item x="284"/>
        <item x="462"/>
        <item x="70"/>
        <item x="214"/>
        <item x="1"/>
        <item x="362"/>
        <item x="192"/>
        <item x="64"/>
        <item x="0"/>
        <item x="325"/>
        <item x="310"/>
        <item x="198"/>
        <item x="298"/>
        <item x="385"/>
        <item x="492"/>
        <item x="247"/>
        <item x="257"/>
        <item x="134"/>
        <item x="50"/>
        <item x="242"/>
        <item x="58"/>
        <item x="288"/>
        <item x="334"/>
        <item x="454"/>
        <item x="62"/>
        <item x="54"/>
        <item x="74"/>
        <item x="65"/>
        <item x="110"/>
        <item x="183"/>
        <item x="97"/>
        <item x="300"/>
        <item x="338"/>
        <item x="80"/>
        <item x="327"/>
        <item x="432"/>
        <item x="482"/>
        <item x="358"/>
        <item x="126"/>
        <item x="86"/>
        <item x="333"/>
        <item x="436"/>
        <item x="391"/>
        <item x="468"/>
        <item x="286"/>
        <item x="401"/>
        <item x="208"/>
        <item x="371"/>
        <item x="289"/>
        <item x="267"/>
        <item x="402"/>
        <item x="40"/>
        <item x="463"/>
        <item x="139"/>
        <item x="240"/>
        <item x="392"/>
        <item x="379"/>
        <item x="332"/>
        <item x="87"/>
        <item x="53"/>
        <item x="8"/>
        <item x="27"/>
        <item x="172"/>
        <item x="296"/>
        <item x="95"/>
        <item x="49"/>
        <item x="367"/>
        <item x="364"/>
        <item x="75"/>
        <item x="130"/>
        <item x="355"/>
        <item x="339"/>
        <item x="210"/>
        <item x="67"/>
        <item x="60"/>
        <item x="121"/>
        <item x="420"/>
        <item x="360"/>
        <item x="218"/>
        <item x="435"/>
        <item x="341"/>
        <item x="165"/>
        <item x="397"/>
        <item x="442"/>
        <item x="457"/>
        <item x="421"/>
        <item x="156"/>
        <item x="194"/>
        <item x="190"/>
        <item x="444"/>
        <item x="193"/>
        <item x="299"/>
        <item x="381"/>
        <item x="57"/>
        <item x="485"/>
        <item x="127"/>
        <item x="144"/>
        <item x="15"/>
        <item x="407"/>
        <item x="430"/>
        <item x="161"/>
        <item x="475"/>
        <item x="453"/>
        <item x="123"/>
        <item x="150"/>
        <item x="102"/>
        <item x="239"/>
        <item x="290"/>
        <item x="451"/>
        <item x="405"/>
        <item x="246"/>
        <item x="79"/>
        <item x="129"/>
        <item x="388"/>
        <item x="263"/>
        <item x="411"/>
        <item x="316"/>
        <item x="108"/>
        <item x="185"/>
        <item x="422"/>
        <item x="221"/>
        <item x="396"/>
        <item x="297"/>
        <item x="312"/>
        <item x="480"/>
        <item x="202"/>
        <item x="216"/>
        <item x="90"/>
        <item x="195"/>
        <item x="152"/>
        <item x="455"/>
        <item x="331"/>
        <item x="278"/>
        <item x="437"/>
        <item x="101"/>
        <item x="222"/>
        <item x="200"/>
        <item x="281"/>
        <item x="236"/>
        <item x="158"/>
        <item x="11"/>
        <item x="427"/>
        <item x="377"/>
        <item x="347"/>
        <item x="120"/>
        <item x="461"/>
        <item x="394"/>
        <item x="83"/>
        <item x="305"/>
        <item x="38"/>
        <item x="315"/>
        <item x="326"/>
        <item x="44"/>
        <item x="99"/>
        <item x="5"/>
        <item x="301"/>
        <item x="282"/>
        <item x="329"/>
        <item x="337"/>
        <item x="295"/>
        <item x="491"/>
        <item x="42"/>
        <item x="155"/>
        <item x="276"/>
        <item x="244"/>
        <item x="302"/>
        <item x="124"/>
        <item x="425"/>
        <item x="464"/>
        <item x="6"/>
        <item x="467"/>
        <item x="89"/>
        <item x="32"/>
        <item x="225"/>
        <item x="321"/>
        <item x="335"/>
        <item x="203"/>
        <item x="431"/>
        <item x="47"/>
        <item x="483"/>
        <item x="199"/>
        <item x="255"/>
        <item x="486"/>
        <item x="166"/>
        <item x="116"/>
        <item x="456"/>
        <item x="428"/>
        <item x="266"/>
        <item x="408"/>
        <item x="12"/>
        <item x="205"/>
        <item x="137"/>
        <item x="324"/>
        <item x="414"/>
        <item x="37"/>
        <item x="220"/>
        <item x="389"/>
        <item x="285"/>
        <item x="404"/>
        <item x="69"/>
        <item x="275"/>
        <item x="230"/>
        <item x="479"/>
        <item x="323"/>
        <item x="164"/>
        <item x="184"/>
        <item x="243"/>
        <item x="14"/>
        <item x="439"/>
        <item x="180"/>
        <item x="13"/>
        <item x="387"/>
        <item x="128"/>
        <item x="320"/>
        <item x="59"/>
        <item x="189"/>
        <item x="306"/>
        <item x="477"/>
        <item x="264"/>
        <item x="259"/>
        <item x="105"/>
        <item x="241"/>
        <item x="413"/>
        <item x="43"/>
        <item x="349"/>
        <item x="346"/>
        <item x="16"/>
        <item x="472"/>
        <item x="440"/>
        <item x="443"/>
        <item x="125"/>
        <item x="217"/>
        <item x="235"/>
        <item x="344"/>
        <item x="4"/>
        <item x="181"/>
        <item x="148"/>
        <item x="251"/>
        <item x="2"/>
        <item x="366"/>
        <item x="423"/>
        <item x="226"/>
        <item x="384"/>
        <item x="157"/>
        <item x="434"/>
        <item x="459"/>
        <item x="426"/>
        <item x="170"/>
        <item x="228"/>
        <item x="153"/>
        <item x="372"/>
        <item x="250"/>
        <item x="34"/>
        <item x="383"/>
        <item x="424"/>
        <item x="272"/>
        <item x="115"/>
        <item x="63"/>
        <item x="343"/>
        <item x="478"/>
        <item x="369"/>
        <item x="131"/>
        <item x="88"/>
        <item x="354"/>
        <item x="160"/>
        <item x="122"/>
        <item t="max"/>
      </items>
      <autoSortScope>
        <pivotArea dataOnly="0" outline="0" fieldPosition="0">
          <references count="1">
            <reference field="4294967294" count="1" selected="0">
              <x v="0"/>
            </reference>
          </references>
        </pivotArea>
      </autoSortScope>
    </pivotField>
    <pivotField showAll="0">
      <items count="6">
        <item x="3"/>
        <item x="1"/>
        <item x="2"/>
        <item x="0"/>
        <item x="4"/>
        <item t="default"/>
      </items>
    </pivotField>
    <pivotField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sortType="ascending">
      <items count="14">
        <item x="12"/>
        <item x="7"/>
        <item x="9"/>
        <item x="2"/>
        <item x="1"/>
        <item x="11"/>
        <item x="6"/>
        <item x="5"/>
        <item x="0"/>
        <item x="3"/>
        <item x="10"/>
        <item x="4"/>
        <item x="8"/>
        <item t="default"/>
      </items>
      <autoSortScope>
        <pivotArea dataOnly="0" outline="0" fieldPosition="0">
          <references count="1">
            <reference field="4294967294" count="1" selected="0">
              <x v="0"/>
            </reference>
          </references>
        </pivotArea>
      </autoSortScope>
    </pivotField>
    <pivotField showAll="0"/>
    <pivotField numFmtId="164" showAll="0"/>
    <pivotField numFmtId="9" showAll="0"/>
    <pivotField dataField="1" numFmtId="164" showAll="0"/>
    <pivotField numFmtId="164" showAll="0"/>
    <pivotField showAll="0">
      <items count="4">
        <item x="2"/>
        <item x="0"/>
        <item x="1"/>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Sales " fld="11" baseField="7" baseItem="0"/>
  </dataFields>
  <formats count="3">
    <format dxfId="27">
      <pivotArea dataOnly="0" labelOnly="1" outline="0" axis="axisValues" fieldPosition="0"/>
    </format>
    <format dxfId="26">
      <pivotArea outline="0" collapsedLevelsAreSubtotals="1" fieldPosition="0"/>
    </format>
    <format dxfId="25">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3:E4" firstHeaderRow="1" firstDataRow="1" firstDataCol="0"/>
  <pivotFields count="17">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13">
        <item x="5"/>
        <item x="8"/>
        <item x="7"/>
        <item x="9"/>
        <item x="11"/>
        <item x="2"/>
        <item x="4"/>
        <item x="0"/>
        <item x="1"/>
        <item x="6"/>
        <item x="10"/>
        <item x="3"/>
        <item t="default"/>
      </items>
    </pivotField>
    <pivotField dataField="1" showAll="0">
      <items count="490">
        <item x="467"/>
        <item x="480"/>
        <item x="181"/>
        <item x="329"/>
        <item x="331"/>
        <item x="2"/>
        <item x="178"/>
        <item x="143"/>
        <item x="146"/>
        <item x="354"/>
        <item x="195"/>
        <item x="246"/>
        <item x="488"/>
        <item x="470"/>
        <item x="92"/>
        <item x="157"/>
        <item x="109"/>
        <item x="310"/>
        <item x="401"/>
        <item x="91"/>
        <item x="65"/>
        <item x="380"/>
        <item x="355"/>
        <item x="405"/>
        <item x="386"/>
        <item x="193"/>
        <item x="312"/>
        <item x="152"/>
        <item x="392"/>
        <item x="22"/>
        <item x="211"/>
        <item x="260"/>
        <item x="397"/>
        <item x="9"/>
        <item x="86"/>
        <item x="357"/>
        <item x="249"/>
        <item x="113"/>
        <item x="199"/>
        <item x="54"/>
        <item x="287"/>
        <item x="122"/>
        <item x="263"/>
        <item x="190"/>
        <item x="410"/>
        <item x="159"/>
        <item x="438"/>
        <item x="208"/>
        <item x="4"/>
        <item x="456"/>
        <item x="336"/>
        <item x="384"/>
        <item x="473"/>
        <item x="224"/>
        <item x="282"/>
        <item x="30"/>
        <item x="413"/>
        <item x="369"/>
        <item x="404"/>
        <item x="468"/>
        <item x="167"/>
        <item x="26"/>
        <item x="451"/>
        <item x="10"/>
        <item x="58"/>
        <item x="6"/>
        <item x="25"/>
        <item x="366"/>
        <item x="150"/>
        <item x="34"/>
        <item x="475"/>
        <item x="184"/>
        <item x="21"/>
        <item x="80"/>
        <item x="455"/>
        <item x="130"/>
        <item x="46"/>
        <item x="450"/>
        <item x="172"/>
        <item x="163"/>
        <item x="13"/>
        <item x="464"/>
        <item x="449"/>
        <item x="337"/>
        <item x="283"/>
        <item x="300"/>
        <item x="7"/>
        <item x="376"/>
        <item x="403"/>
        <item x="138"/>
        <item x="250"/>
        <item x="408"/>
        <item x="368"/>
        <item x="370"/>
        <item x="316"/>
        <item x="144"/>
        <item x="173"/>
        <item x="296"/>
        <item x="187"/>
        <item x="121"/>
        <item x="201"/>
        <item x="63"/>
        <item x="206"/>
        <item x="443"/>
        <item x="37"/>
        <item x="446"/>
        <item x="149"/>
        <item x="154"/>
        <item x="47"/>
        <item x="36"/>
        <item x="400"/>
        <item x="265"/>
        <item x="41"/>
        <item x="185"/>
        <item x="356"/>
        <item x="198"/>
        <item x="259"/>
        <item x="339"/>
        <item x="104"/>
        <item x="114"/>
        <item x="297"/>
        <item x="313"/>
        <item x="292"/>
        <item x="79"/>
        <item x="275"/>
        <item x="38"/>
        <item x="317"/>
        <item x="161"/>
        <item x="117"/>
        <item x="335"/>
        <item x="84"/>
        <item x="74"/>
        <item x="415"/>
        <item x="318"/>
        <item x="322"/>
        <item x="87"/>
        <item x="273"/>
        <item x="465"/>
        <item x="261"/>
        <item x="213"/>
        <item x="306"/>
        <item x="348"/>
        <item x="288"/>
        <item x="389"/>
        <item x="431"/>
        <item x="295"/>
        <item x="414"/>
        <item x="424"/>
        <item x="70"/>
        <item x="388"/>
        <item x="32"/>
        <item x="421"/>
        <item x="214"/>
        <item x="378"/>
        <item x="447"/>
        <item x="290"/>
        <item x="256"/>
        <item x="156"/>
        <item x="466"/>
        <item x="77"/>
        <item x="127"/>
        <item x="257"/>
        <item x="106"/>
        <item x="367"/>
        <item x="458"/>
        <item x="385"/>
        <item x="277"/>
        <item x="29"/>
        <item x="27"/>
        <item x="166"/>
        <item x="445"/>
        <item x="105"/>
        <item x="75"/>
        <item x="129"/>
        <item x="262"/>
        <item x="311"/>
        <item x="391"/>
        <item x="160"/>
        <item x="137"/>
        <item x="176"/>
        <item x="243"/>
        <item x="125"/>
        <item x="78"/>
        <item x="428"/>
        <item x="123"/>
        <item x="395"/>
        <item x="362"/>
        <item x="237"/>
        <item x="64"/>
        <item x="334"/>
        <item x="474"/>
        <item x="108"/>
        <item x="314"/>
        <item x="12"/>
        <item x="51"/>
        <item x="39"/>
        <item x="236"/>
        <item x="186"/>
        <item x="216"/>
        <item x="82"/>
        <item x="345"/>
        <item x="35"/>
        <item x="165"/>
        <item x="407"/>
        <item x="258"/>
        <item x="272"/>
        <item x="377"/>
        <item x="101"/>
        <item x="218"/>
        <item x="279"/>
        <item x="230"/>
        <item x="326"/>
        <item x="299"/>
        <item x="320"/>
        <item x="61"/>
        <item x="252"/>
        <item x="481"/>
        <item x="472"/>
        <item x="245"/>
        <item x="180"/>
        <item x="71"/>
        <item x="188"/>
        <item x="294"/>
        <item x="111"/>
        <item x="264"/>
        <item x="462"/>
        <item x="16"/>
        <item x="319"/>
        <item x="28"/>
        <item x="460"/>
        <item x="192"/>
        <item x="360"/>
        <item x="463"/>
        <item x="228"/>
        <item x="437"/>
        <item x="293"/>
        <item x="402"/>
        <item x="418"/>
        <item x="452"/>
        <item x="102"/>
        <item x="349"/>
        <item x="411"/>
        <item x="232"/>
        <item x="453"/>
        <item x="97"/>
        <item x="374"/>
        <item x="487"/>
        <item x="49"/>
        <item x="399"/>
        <item x="99"/>
        <item x="59"/>
        <item x="72"/>
        <item x="308"/>
        <item x="11"/>
        <item x="382"/>
        <item x="278"/>
        <item x="110"/>
        <item x="244"/>
        <item x="448"/>
        <item x="151"/>
        <item x="350"/>
        <item x="238"/>
        <item x="441"/>
        <item x="254"/>
        <item x="169"/>
        <item x="73"/>
        <item x="242"/>
        <item x="482"/>
        <item x="352"/>
        <item x="177"/>
        <item x="284"/>
        <item x="330"/>
        <item x="107"/>
        <item x="248"/>
        <item x="459"/>
        <item x="85"/>
        <item x="90"/>
        <item x="444"/>
        <item x="454"/>
        <item x="191"/>
        <item x="484"/>
        <item x="45"/>
        <item x="231"/>
        <item x="124"/>
        <item x="276"/>
        <item x="420"/>
        <item x="175"/>
        <item x="417"/>
        <item x="477"/>
        <item x="116"/>
        <item x="56"/>
        <item x="23"/>
        <item x="174"/>
        <item x="241"/>
        <item x="89"/>
        <item x="412"/>
        <item x="33"/>
        <item x="429"/>
        <item x="67"/>
        <item x="44"/>
        <item x="136"/>
        <item x="88"/>
        <item x="227"/>
        <item x="419"/>
        <item x="461"/>
        <item x="327"/>
        <item x="222"/>
        <item x="212"/>
        <item x="112"/>
        <item x="476"/>
        <item x="119"/>
        <item x="126"/>
        <item x="381"/>
        <item x="142"/>
        <item x="253"/>
        <item x="219"/>
        <item x="393"/>
        <item x="347"/>
        <item x="435"/>
        <item x="346"/>
        <item x="409"/>
        <item x="440"/>
        <item x="204"/>
        <item x="483"/>
        <item x="434"/>
        <item x="379"/>
        <item x="267"/>
        <item x="266"/>
        <item x="372"/>
        <item x="225"/>
        <item x="134"/>
        <item x="139"/>
        <item x="239"/>
        <item x="69"/>
        <item x="486"/>
        <item x="373"/>
        <item x="416"/>
        <item x="81"/>
        <item x="209"/>
        <item x="321"/>
        <item x="158"/>
        <item x="76"/>
        <item x="423"/>
        <item x="285"/>
        <item x="315"/>
        <item x="343"/>
        <item x="325"/>
        <item x="303"/>
        <item x="426"/>
        <item x="53"/>
        <item x="289"/>
        <item x="383"/>
        <item x="68"/>
        <item x="471"/>
        <item x="17"/>
        <item x="328"/>
        <item x="338"/>
        <item x="43"/>
        <item x="18"/>
        <item x="183"/>
        <item x="14"/>
        <item x="485"/>
        <item x="48"/>
        <item x="132"/>
        <item x="57"/>
        <item x="95"/>
        <item x="200"/>
        <item x="333"/>
        <item x="40"/>
        <item x="189"/>
        <item x="387"/>
        <item x="145"/>
        <item x="96"/>
        <item x="396"/>
        <item x="364"/>
        <item x="5"/>
        <item x="323"/>
        <item x="268"/>
        <item x="210"/>
        <item x="3"/>
        <item x="221"/>
        <item x="270"/>
        <item x="148"/>
        <item x="427"/>
        <item x="281"/>
        <item x="478"/>
        <item x="1"/>
        <item x="0"/>
        <item x="251"/>
        <item x="60"/>
        <item x="363"/>
        <item x="182"/>
        <item x="103"/>
        <item x="406"/>
        <item x="62"/>
        <item x="196"/>
        <item x="291"/>
        <item x="359"/>
        <item x="332"/>
        <item x="436"/>
        <item x="179"/>
        <item x="197"/>
        <item x="83"/>
        <item x="344"/>
        <item x="120"/>
        <item x="430"/>
        <item x="457"/>
        <item x="217"/>
        <item x="425"/>
        <item x="247"/>
        <item x="168"/>
        <item x="342"/>
        <item x="233"/>
        <item x="164"/>
        <item x="24"/>
        <item x="147"/>
        <item x="271"/>
        <item x="133"/>
        <item x="115"/>
        <item x="205"/>
        <item x="207"/>
        <item x="309"/>
        <item x="439"/>
        <item x="140"/>
        <item x="194"/>
        <item x="31"/>
        <item x="19"/>
        <item x="341"/>
        <item x="94"/>
        <item x="229"/>
        <item x="240"/>
        <item x="55"/>
        <item x="469"/>
        <item x="118"/>
        <item x="394"/>
        <item x="365"/>
        <item x="202"/>
        <item x="358"/>
        <item x="371"/>
        <item x="302"/>
        <item x="131"/>
        <item x="93"/>
        <item x="398"/>
        <item x="220"/>
        <item x="135"/>
        <item x="226"/>
        <item x="351"/>
        <item x="422"/>
        <item x="153"/>
        <item x="307"/>
        <item x="235"/>
        <item x="52"/>
        <item x="171"/>
        <item x="433"/>
        <item x="353"/>
        <item x="215"/>
        <item x="298"/>
        <item x="8"/>
        <item x="304"/>
        <item x="141"/>
        <item x="286"/>
        <item x="66"/>
        <item x="479"/>
        <item x="50"/>
        <item x="280"/>
        <item x="20"/>
        <item x="170"/>
        <item x="98"/>
        <item x="234"/>
        <item x="162"/>
        <item x="361"/>
        <item x="155"/>
        <item x="15"/>
        <item x="301"/>
        <item x="42"/>
        <item x="324"/>
        <item x="274"/>
        <item x="255"/>
        <item x="340"/>
        <item x="305"/>
        <item x="375"/>
        <item x="223"/>
        <item x="128"/>
        <item x="269"/>
        <item x="100"/>
        <item x="442"/>
        <item x="432"/>
        <item x="203"/>
        <item x="390"/>
        <item t="default"/>
      </items>
    </pivotField>
    <pivotField showAll="0" maxSubtotal="1">
      <items count="494">
        <item x="71"/>
        <item x="245"/>
        <item x="452"/>
        <item x="188"/>
        <item x="82"/>
        <item x="212"/>
        <item x="51"/>
        <item x="368"/>
        <item x="348"/>
        <item x="201"/>
        <item x="179"/>
        <item x="465"/>
        <item x="233"/>
        <item x="92"/>
        <item x="133"/>
        <item x="304"/>
        <item x="24"/>
        <item x="277"/>
        <item x="378"/>
        <item x="146"/>
        <item x="52"/>
        <item x="458"/>
        <item x="204"/>
        <item x="207"/>
        <item x="140"/>
        <item x="283"/>
        <item x="466"/>
        <item x="398"/>
        <item x="249"/>
        <item x="227"/>
        <item x="291"/>
        <item x="175"/>
        <item x="171"/>
        <item x="412"/>
        <item x="81"/>
        <item x="149"/>
        <item x="117"/>
        <item x="174"/>
        <item x="19"/>
        <item x="386"/>
        <item x="41"/>
        <item x="147"/>
        <item x="470"/>
        <item x="418"/>
        <item x="178"/>
        <item x="252"/>
        <item x="109"/>
        <item x="258"/>
        <item x="261"/>
        <item x="151"/>
        <item x="9"/>
        <item x="141"/>
        <item x="237"/>
        <item x="248"/>
        <item x="410"/>
        <item x="350"/>
        <item x="112"/>
        <item x="209"/>
        <item x="390"/>
        <item x="106"/>
        <item x="417"/>
        <item x="374"/>
        <item x="18"/>
        <item x="28"/>
        <item x="73"/>
        <item x="219"/>
        <item x="380"/>
        <item x="256"/>
        <item x="136"/>
        <item x="39"/>
        <item x="72"/>
        <item x="154"/>
        <item x="260"/>
        <item x="119"/>
        <item x="187"/>
        <item x="132"/>
        <item x="345"/>
        <item x="45"/>
        <item x="262"/>
        <item x="322"/>
        <item x="163"/>
        <item x="448"/>
        <item x="309"/>
        <item x="173"/>
        <item x="36"/>
        <item x="395"/>
        <item x="446"/>
        <item x="213"/>
        <item x="319"/>
        <item x="135"/>
        <item x="55"/>
        <item x="186"/>
        <item x="68"/>
        <item x="474"/>
        <item x="23"/>
        <item x="476"/>
        <item x="469"/>
        <item x="118"/>
        <item x="336"/>
        <item x="77"/>
        <item x="269"/>
        <item x="450"/>
        <item x="313"/>
        <item x="274"/>
        <item x="61"/>
        <item x="104"/>
        <item x="447"/>
        <item x="48"/>
        <item x="114"/>
        <item x="399"/>
        <item x="196"/>
        <item x="351"/>
        <item x="471"/>
        <item x="487"/>
        <item x="167"/>
        <item x="100"/>
        <item x="10"/>
        <item x="76"/>
        <item x="143"/>
        <item x="460"/>
        <item x="330"/>
        <item x="490"/>
        <item x="370"/>
        <item x="223"/>
        <item x="232"/>
        <item x="98"/>
        <item x="328"/>
        <item x="356"/>
        <item x="66"/>
        <item x="111"/>
        <item x="215"/>
        <item x="357"/>
        <item x="449"/>
        <item x="31"/>
        <item x="429"/>
        <item x="279"/>
        <item x="238"/>
        <item x="30"/>
        <item x="168"/>
        <item x="307"/>
        <item x="403"/>
        <item x="484"/>
        <item x="206"/>
        <item x="488"/>
        <item x="311"/>
        <item x="169"/>
        <item x="441"/>
        <item x="162"/>
        <item x="91"/>
        <item x="308"/>
        <item x="365"/>
        <item x="314"/>
        <item x="382"/>
        <item x="375"/>
        <item x="445"/>
        <item x="84"/>
        <item x="96"/>
        <item x="176"/>
        <item x="145"/>
        <item x="438"/>
        <item x="363"/>
        <item x="271"/>
        <item x="78"/>
        <item x="415"/>
        <item x="318"/>
        <item x="433"/>
        <item x="473"/>
        <item x="21"/>
        <item x="268"/>
        <item x="107"/>
        <item x="292"/>
        <item x="46"/>
        <item x="113"/>
        <item x="177"/>
        <item x="340"/>
        <item x="85"/>
        <item x="373"/>
        <item x="7"/>
        <item x="142"/>
        <item x="359"/>
        <item x="211"/>
        <item x="342"/>
        <item x="317"/>
        <item x="20"/>
        <item x="265"/>
        <item x="406"/>
        <item x="294"/>
        <item x="352"/>
        <item x="353"/>
        <item x="138"/>
        <item x="293"/>
        <item x="29"/>
        <item x="22"/>
        <item x="17"/>
        <item x="26"/>
        <item x="103"/>
        <item x="303"/>
        <item x="416"/>
        <item x="253"/>
        <item x="56"/>
        <item x="409"/>
        <item x="191"/>
        <item x="93"/>
        <item x="489"/>
        <item x="231"/>
        <item x="254"/>
        <item x="234"/>
        <item x="270"/>
        <item x="229"/>
        <item x="224"/>
        <item x="419"/>
        <item x="94"/>
        <item x="35"/>
        <item x="287"/>
        <item x="400"/>
        <item x="182"/>
        <item x="25"/>
        <item x="273"/>
        <item x="159"/>
        <item x="481"/>
        <item x="197"/>
        <item x="361"/>
        <item x="3"/>
        <item x="280"/>
        <item x="393"/>
        <item x="376"/>
        <item x="33"/>
        <item x="284"/>
        <item x="462"/>
        <item x="70"/>
        <item x="214"/>
        <item x="1"/>
        <item x="362"/>
        <item x="192"/>
        <item x="64"/>
        <item x="0"/>
        <item x="325"/>
        <item x="310"/>
        <item x="198"/>
        <item x="298"/>
        <item x="385"/>
        <item x="492"/>
        <item x="247"/>
        <item x="257"/>
        <item x="134"/>
        <item x="50"/>
        <item x="242"/>
        <item x="58"/>
        <item x="288"/>
        <item x="334"/>
        <item x="454"/>
        <item x="62"/>
        <item x="54"/>
        <item x="74"/>
        <item x="65"/>
        <item x="110"/>
        <item x="183"/>
        <item x="97"/>
        <item x="300"/>
        <item x="338"/>
        <item x="80"/>
        <item x="327"/>
        <item x="432"/>
        <item x="482"/>
        <item x="358"/>
        <item x="126"/>
        <item x="86"/>
        <item x="333"/>
        <item x="436"/>
        <item x="391"/>
        <item x="468"/>
        <item x="286"/>
        <item x="401"/>
        <item x="208"/>
        <item x="371"/>
        <item x="289"/>
        <item x="267"/>
        <item x="402"/>
        <item x="40"/>
        <item x="463"/>
        <item x="139"/>
        <item x="240"/>
        <item x="392"/>
        <item x="379"/>
        <item x="332"/>
        <item x="87"/>
        <item x="53"/>
        <item x="8"/>
        <item x="27"/>
        <item x="172"/>
        <item x="296"/>
        <item x="95"/>
        <item x="49"/>
        <item x="367"/>
        <item x="364"/>
        <item x="75"/>
        <item x="130"/>
        <item x="355"/>
        <item x="339"/>
        <item x="210"/>
        <item x="67"/>
        <item x="60"/>
        <item x="121"/>
        <item x="420"/>
        <item x="360"/>
        <item x="218"/>
        <item x="435"/>
        <item x="341"/>
        <item x="165"/>
        <item x="397"/>
        <item x="442"/>
        <item x="457"/>
        <item x="421"/>
        <item x="156"/>
        <item x="194"/>
        <item x="190"/>
        <item x="444"/>
        <item x="193"/>
        <item x="299"/>
        <item x="381"/>
        <item x="57"/>
        <item x="485"/>
        <item x="127"/>
        <item x="144"/>
        <item x="15"/>
        <item x="407"/>
        <item x="430"/>
        <item x="161"/>
        <item x="475"/>
        <item x="453"/>
        <item x="123"/>
        <item x="150"/>
        <item x="102"/>
        <item x="239"/>
        <item x="290"/>
        <item x="451"/>
        <item x="405"/>
        <item x="246"/>
        <item x="79"/>
        <item x="129"/>
        <item x="388"/>
        <item x="263"/>
        <item x="411"/>
        <item x="316"/>
        <item x="108"/>
        <item x="185"/>
        <item x="422"/>
        <item x="221"/>
        <item x="396"/>
        <item x="297"/>
        <item x="312"/>
        <item x="480"/>
        <item x="202"/>
        <item x="216"/>
        <item x="90"/>
        <item x="195"/>
        <item x="152"/>
        <item x="455"/>
        <item x="331"/>
        <item x="278"/>
        <item x="437"/>
        <item x="101"/>
        <item x="222"/>
        <item x="200"/>
        <item x="281"/>
        <item x="236"/>
        <item x="158"/>
        <item x="11"/>
        <item x="427"/>
        <item x="377"/>
        <item x="347"/>
        <item x="120"/>
        <item x="461"/>
        <item x="394"/>
        <item x="83"/>
        <item x="305"/>
        <item x="38"/>
        <item x="315"/>
        <item x="326"/>
        <item x="44"/>
        <item x="99"/>
        <item x="5"/>
        <item x="301"/>
        <item x="282"/>
        <item x="329"/>
        <item x="337"/>
        <item x="295"/>
        <item x="491"/>
        <item x="42"/>
        <item x="155"/>
        <item x="276"/>
        <item x="244"/>
        <item x="302"/>
        <item x="124"/>
        <item x="425"/>
        <item x="464"/>
        <item x="6"/>
        <item x="467"/>
        <item x="89"/>
        <item x="32"/>
        <item x="225"/>
        <item x="321"/>
        <item x="335"/>
        <item x="203"/>
        <item x="431"/>
        <item x="47"/>
        <item x="483"/>
        <item x="199"/>
        <item x="255"/>
        <item x="486"/>
        <item x="166"/>
        <item x="116"/>
        <item x="456"/>
        <item x="428"/>
        <item x="266"/>
        <item x="408"/>
        <item x="12"/>
        <item x="205"/>
        <item x="137"/>
        <item x="324"/>
        <item x="414"/>
        <item x="37"/>
        <item x="220"/>
        <item x="389"/>
        <item x="285"/>
        <item x="404"/>
        <item x="69"/>
        <item x="275"/>
        <item x="230"/>
        <item x="479"/>
        <item x="323"/>
        <item x="164"/>
        <item x="184"/>
        <item x="243"/>
        <item x="14"/>
        <item x="439"/>
        <item x="180"/>
        <item x="13"/>
        <item x="387"/>
        <item x="128"/>
        <item x="320"/>
        <item x="59"/>
        <item x="189"/>
        <item x="306"/>
        <item x="477"/>
        <item x="264"/>
        <item x="259"/>
        <item x="105"/>
        <item x="241"/>
        <item x="413"/>
        <item x="43"/>
        <item x="349"/>
        <item x="346"/>
        <item x="16"/>
        <item x="472"/>
        <item x="440"/>
        <item x="443"/>
        <item x="125"/>
        <item x="217"/>
        <item x="235"/>
        <item x="344"/>
        <item x="4"/>
        <item x="181"/>
        <item x="148"/>
        <item x="251"/>
        <item x="2"/>
        <item x="366"/>
        <item x="423"/>
        <item x="226"/>
        <item x="384"/>
        <item x="157"/>
        <item x="434"/>
        <item x="459"/>
        <item x="426"/>
        <item x="170"/>
        <item x="228"/>
        <item x="153"/>
        <item x="372"/>
        <item x="250"/>
        <item x="34"/>
        <item x="383"/>
        <item x="424"/>
        <item x="272"/>
        <item x="115"/>
        <item x="63"/>
        <item x="343"/>
        <item x="478"/>
        <item x="369"/>
        <item x="131"/>
        <item x="88"/>
        <item x="354"/>
        <item x="160"/>
        <item x="122"/>
        <item t="max"/>
      </items>
    </pivotField>
    <pivotField showAll="0">
      <items count="6">
        <item x="3"/>
        <item x="1"/>
        <item x="2"/>
        <item x="0"/>
        <item x="4"/>
        <item t="default"/>
      </items>
    </pivotField>
    <pivotField showAll="0"/>
    <pivotField showAll="0">
      <items count="14">
        <item x="12"/>
        <item x="7"/>
        <item x="9"/>
        <item x="2"/>
        <item x="1"/>
        <item x="11"/>
        <item x="6"/>
        <item x="5"/>
        <item x="0"/>
        <item x="3"/>
        <item x="10"/>
        <item x="4"/>
        <item x="8"/>
        <item t="default"/>
      </items>
    </pivotField>
    <pivotField showAll="0"/>
    <pivotField numFmtId="164" showAll="0"/>
    <pivotField numFmtId="9" showAll="0"/>
    <pivotField numFmtId="164" showAll="0"/>
    <pivotField numFmtId="164" showAll="0"/>
    <pivotField showAll="0">
      <items count="4">
        <item x="2"/>
        <item x="0"/>
        <item x="1"/>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ount of Customer ID" fld="3" subtotal="count" baseField="0" baseItem="0" numFmtId="2"/>
  </dataFields>
  <formats count="2">
    <format dxfId="29">
      <pivotArea outline="0" collapsedLevelsAreSubtotals="1" fieldPosition="0"/>
    </format>
    <format dxfId="2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6"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Payment Method">
  <location ref="K19:K20" firstHeaderRow="1" firstDataRow="1" firstDataCol="0"/>
  <pivotFields count="17">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13">
        <item x="5"/>
        <item x="8"/>
        <item x="7"/>
        <item x="9"/>
        <item x="11"/>
        <item x="2"/>
        <item x="4"/>
        <item x="0"/>
        <item x="1"/>
        <item x="6"/>
        <item x="10"/>
        <item x="3"/>
        <item t="default"/>
      </items>
    </pivotField>
    <pivotField showAll="0">
      <items count="490">
        <item x="467"/>
        <item x="480"/>
        <item x="181"/>
        <item x="329"/>
        <item x="331"/>
        <item x="2"/>
        <item x="178"/>
        <item x="143"/>
        <item x="146"/>
        <item x="354"/>
        <item x="195"/>
        <item x="246"/>
        <item x="488"/>
        <item x="470"/>
        <item x="92"/>
        <item x="157"/>
        <item x="109"/>
        <item x="310"/>
        <item x="401"/>
        <item x="91"/>
        <item x="65"/>
        <item x="380"/>
        <item x="355"/>
        <item x="405"/>
        <item x="386"/>
        <item x="193"/>
        <item x="312"/>
        <item x="152"/>
        <item x="392"/>
        <item x="22"/>
        <item x="211"/>
        <item x="260"/>
        <item x="397"/>
        <item x="9"/>
        <item x="86"/>
        <item x="357"/>
        <item x="249"/>
        <item x="113"/>
        <item x="199"/>
        <item x="54"/>
        <item x="287"/>
        <item x="122"/>
        <item x="263"/>
        <item x="190"/>
        <item x="410"/>
        <item x="159"/>
        <item x="438"/>
        <item x="208"/>
        <item x="4"/>
        <item x="456"/>
        <item x="336"/>
        <item x="384"/>
        <item x="473"/>
        <item x="224"/>
        <item x="282"/>
        <item x="30"/>
        <item x="413"/>
        <item x="369"/>
        <item x="404"/>
        <item x="468"/>
        <item x="167"/>
        <item x="26"/>
        <item x="451"/>
        <item x="10"/>
        <item x="58"/>
        <item x="6"/>
        <item x="25"/>
        <item x="366"/>
        <item x="150"/>
        <item x="34"/>
        <item x="475"/>
        <item x="184"/>
        <item x="21"/>
        <item x="80"/>
        <item x="455"/>
        <item x="130"/>
        <item x="46"/>
        <item x="450"/>
        <item x="172"/>
        <item x="163"/>
        <item x="13"/>
        <item x="464"/>
        <item x="449"/>
        <item x="337"/>
        <item x="283"/>
        <item x="300"/>
        <item x="7"/>
        <item x="376"/>
        <item x="403"/>
        <item x="138"/>
        <item x="250"/>
        <item x="408"/>
        <item x="368"/>
        <item x="370"/>
        <item x="316"/>
        <item x="144"/>
        <item x="173"/>
        <item x="296"/>
        <item x="187"/>
        <item x="121"/>
        <item x="201"/>
        <item x="63"/>
        <item x="206"/>
        <item x="443"/>
        <item x="37"/>
        <item x="446"/>
        <item x="149"/>
        <item x="154"/>
        <item x="47"/>
        <item x="36"/>
        <item x="400"/>
        <item x="265"/>
        <item x="41"/>
        <item x="185"/>
        <item x="356"/>
        <item x="198"/>
        <item x="259"/>
        <item x="339"/>
        <item x="104"/>
        <item x="114"/>
        <item x="297"/>
        <item x="313"/>
        <item x="292"/>
        <item x="79"/>
        <item x="275"/>
        <item x="38"/>
        <item x="317"/>
        <item x="161"/>
        <item x="117"/>
        <item x="335"/>
        <item x="84"/>
        <item x="74"/>
        <item x="415"/>
        <item x="318"/>
        <item x="322"/>
        <item x="87"/>
        <item x="273"/>
        <item x="465"/>
        <item x="261"/>
        <item x="213"/>
        <item x="306"/>
        <item x="348"/>
        <item x="288"/>
        <item x="389"/>
        <item x="431"/>
        <item x="295"/>
        <item x="414"/>
        <item x="424"/>
        <item x="70"/>
        <item x="388"/>
        <item x="32"/>
        <item x="421"/>
        <item x="214"/>
        <item x="378"/>
        <item x="447"/>
        <item x="290"/>
        <item x="256"/>
        <item x="156"/>
        <item x="466"/>
        <item x="77"/>
        <item x="127"/>
        <item x="257"/>
        <item x="106"/>
        <item x="367"/>
        <item x="458"/>
        <item x="385"/>
        <item x="277"/>
        <item x="29"/>
        <item x="27"/>
        <item x="166"/>
        <item x="445"/>
        <item x="105"/>
        <item x="75"/>
        <item x="129"/>
        <item x="262"/>
        <item x="311"/>
        <item x="391"/>
        <item x="160"/>
        <item x="137"/>
        <item x="176"/>
        <item x="243"/>
        <item x="125"/>
        <item x="78"/>
        <item x="428"/>
        <item x="123"/>
        <item x="395"/>
        <item x="362"/>
        <item x="237"/>
        <item x="64"/>
        <item x="334"/>
        <item x="474"/>
        <item x="108"/>
        <item x="314"/>
        <item x="12"/>
        <item x="51"/>
        <item x="39"/>
        <item x="236"/>
        <item x="186"/>
        <item x="216"/>
        <item x="82"/>
        <item x="345"/>
        <item x="35"/>
        <item x="165"/>
        <item x="407"/>
        <item x="258"/>
        <item x="272"/>
        <item x="377"/>
        <item x="101"/>
        <item x="218"/>
        <item x="279"/>
        <item x="230"/>
        <item x="326"/>
        <item x="299"/>
        <item x="320"/>
        <item x="61"/>
        <item x="252"/>
        <item x="481"/>
        <item x="472"/>
        <item x="245"/>
        <item x="180"/>
        <item x="71"/>
        <item x="188"/>
        <item x="294"/>
        <item x="111"/>
        <item x="264"/>
        <item x="462"/>
        <item x="16"/>
        <item x="319"/>
        <item x="28"/>
        <item x="460"/>
        <item x="192"/>
        <item x="360"/>
        <item x="463"/>
        <item x="228"/>
        <item x="437"/>
        <item x="293"/>
        <item x="402"/>
        <item x="418"/>
        <item x="452"/>
        <item x="102"/>
        <item x="349"/>
        <item x="411"/>
        <item x="232"/>
        <item x="453"/>
        <item x="97"/>
        <item x="374"/>
        <item x="487"/>
        <item x="49"/>
        <item x="399"/>
        <item x="99"/>
        <item x="59"/>
        <item x="72"/>
        <item x="308"/>
        <item x="11"/>
        <item x="382"/>
        <item x="278"/>
        <item x="110"/>
        <item x="244"/>
        <item x="448"/>
        <item x="151"/>
        <item x="350"/>
        <item x="238"/>
        <item x="441"/>
        <item x="254"/>
        <item x="169"/>
        <item x="73"/>
        <item x="242"/>
        <item x="482"/>
        <item x="352"/>
        <item x="177"/>
        <item x="284"/>
        <item x="330"/>
        <item x="107"/>
        <item x="248"/>
        <item x="459"/>
        <item x="85"/>
        <item x="90"/>
        <item x="444"/>
        <item x="454"/>
        <item x="191"/>
        <item x="484"/>
        <item x="45"/>
        <item x="231"/>
        <item x="124"/>
        <item x="276"/>
        <item x="420"/>
        <item x="175"/>
        <item x="417"/>
        <item x="477"/>
        <item x="116"/>
        <item x="56"/>
        <item x="23"/>
        <item x="174"/>
        <item x="241"/>
        <item x="89"/>
        <item x="412"/>
        <item x="33"/>
        <item x="429"/>
        <item x="67"/>
        <item x="44"/>
        <item x="136"/>
        <item x="88"/>
        <item x="227"/>
        <item x="419"/>
        <item x="461"/>
        <item x="327"/>
        <item x="222"/>
        <item x="212"/>
        <item x="112"/>
        <item x="476"/>
        <item x="119"/>
        <item x="126"/>
        <item x="381"/>
        <item x="142"/>
        <item x="253"/>
        <item x="219"/>
        <item x="393"/>
        <item x="347"/>
        <item x="435"/>
        <item x="346"/>
        <item x="409"/>
        <item x="440"/>
        <item x="204"/>
        <item x="483"/>
        <item x="434"/>
        <item x="379"/>
        <item x="267"/>
        <item x="266"/>
        <item x="372"/>
        <item x="225"/>
        <item x="134"/>
        <item x="139"/>
        <item x="239"/>
        <item x="69"/>
        <item x="486"/>
        <item x="373"/>
        <item x="416"/>
        <item x="81"/>
        <item x="209"/>
        <item x="321"/>
        <item x="158"/>
        <item x="76"/>
        <item x="423"/>
        <item x="285"/>
        <item x="315"/>
        <item x="343"/>
        <item x="325"/>
        <item x="303"/>
        <item x="426"/>
        <item x="53"/>
        <item x="289"/>
        <item x="383"/>
        <item x="68"/>
        <item x="471"/>
        <item x="17"/>
        <item x="328"/>
        <item x="338"/>
        <item x="43"/>
        <item x="18"/>
        <item x="183"/>
        <item x="14"/>
        <item x="485"/>
        <item x="48"/>
        <item x="132"/>
        <item x="57"/>
        <item x="95"/>
        <item x="200"/>
        <item x="333"/>
        <item x="40"/>
        <item x="189"/>
        <item x="387"/>
        <item x="145"/>
        <item x="96"/>
        <item x="396"/>
        <item x="364"/>
        <item x="5"/>
        <item x="323"/>
        <item x="268"/>
        <item x="210"/>
        <item x="3"/>
        <item x="221"/>
        <item x="270"/>
        <item x="148"/>
        <item x="427"/>
        <item x="281"/>
        <item x="478"/>
        <item x="1"/>
        <item x="0"/>
        <item x="251"/>
        <item x="60"/>
        <item x="363"/>
        <item x="182"/>
        <item x="103"/>
        <item x="406"/>
        <item x="62"/>
        <item x="196"/>
        <item x="291"/>
        <item x="359"/>
        <item x="332"/>
        <item x="436"/>
        <item x="179"/>
        <item x="197"/>
        <item x="83"/>
        <item x="344"/>
        <item x="120"/>
        <item x="430"/>
        <item x="457"/>
        <item x="217"/>
        <item x="425"/>
        <item x="247"/>
        <item x="168"/>
        <item x="342"/>
        <item x="233"/>
        <item x="164"/>
        <item x="24"/>
        <item x="147"/>
        <item x="271"/>
        <item x="133"/>
        <item x="115"/>
        <item x="205"/>
        <item x="207"/>
        <item x="309"/>
        <item x="439"/>
        <item x="140"/>
        <item x="194"/>
        <item x="31"/>
        <item x="19"/>
        <item x="341"/>
        <item x="94"/>
        <item x="229"/>
        <item x="240"/>
        <item x="55"/>
        <item x="469"/>
        <item x="118"/>
        <item x="394"/>
        <item x="365"/>
        <item x="202"/>
        <item x="358"/>
        <item x="371"/>
        <item x="302"/>
        <item x="131"/>
        <item x="93"/>
        <item x="398"/>
        <item x="220"/>
        <item x="135"/>
        <item x="226"/>
        <item x="351"/>
        <item x="422"/>
        <item x="153"/>
        <item x="307"/>
        <item x="235"/>
        <item x="52"/>
        <item x="171"/>
        <item x="433"/>
        <item x="353"/>
        <item x="215"/>
        <item x="298"/>
        <item x="8"/>
        <item x="304"/>
        <item x="141"/>
        <item x="286"/>
        <item x="66"/>
        <item x="479"/>
        <item x="50"/>
        <item x="280"/>
        <item x="20"/>
        <item x="170"/>
        <item x="98"/>
        <item x="234"/>
        <item x="162"/>
        <item x="361"/>
        <item x="155"/>
        <item x="15"/>
        <item x="301"/>
        <item x="42"/>
        <item x="324"/>
        <item x="274"/>
        <item x="255"/>
        <item x="340"/>
        <item x="305"/>
        <item x="375"/>
        <item x="223"/>
        <item x="128"/>
        <item x="269"/>
        <item x="100"/>
        <item x="442"/>
        <item x="432"/>
        <item x="203"/>
        <item x="390"/>
        <item t="default"/>
      </items>
    </pivotField>
    <pivotField showAll="0" maxSubtotal="1">
      <items count="494">
        <item x="71"/>
        <item x="245"/>
        <item x="452"/>
        <item x="188"/>
        <item x="82"/>
        <item x="212"/>
        <item x="51"/>
        <item x="368"/>
        <item x="348"/>
        <item x="201"/>
        <item x="179"/>
        <item x="465"/>
        <item x="233"/>
        <item x="92"/>
        <item x="133"/>
        <item x="304"/>
        <item x="24"/>
        <item x="277"/>
        <item x="378"/>
        <item x="146"/>
        <item x="52"/>
        <item x="458"/>
        <item x="204"/>
        <item x="207"/>
        <item x="140"/>
        <item x="283"/>
        <item x="466"/>
        <item x="398"/>
        <item x="249"/>
        <item x="227"/>
        <item x="291"/>
        <item x="175"/>
        <item x="171"/>
        <item x="412"/>
        <item x="81"/>
        <item x="149"/>
        <item x="117"/>
        <item x="174"/>
        <item x="19"/>
        <item x="386"/>
        <item x="41"/>
        <item x="147"/>
        <item x="470"/>
        <item x="418"/>
        <item x="178"/>
        <item x="252"/>
        <item x="109"/>
        <item x="258"/>
        <item x="261"/>
        <item x="151"/>
        <item x="9"/>
        <item x="141"/>
        <item x="237"/>
        <item x="248"/>
        <item x="410"/>
        <item x="350"/>
        <item x="112"/>
        <item x="209"/>
        <item x="390"/>
        <item x="106"/>
        <item x="417"/>
        <item x="374"/>
        <item x="18"/>
        <item x="28"/>
        <item x="73"/>
        <item x="219"/>
        <item x="380"/>
        <item x="256"/>
        <item x="136"/>
        <item x="39"/>
        <item x="72"/>
        <item x="154"/>
        <item x="260"/>
        <item x="119"/>
        <item x="187"/>
        <item x="132"/>
        <item x="345"/>
        <item x="45"/>
        <item x="262"/>
        <item x="322"/>
        <item x="163"/>
        <item x="448"/>
        <item x="309"/>
        <item x="173"/>
        <item x="36"/>
        <item x="395"/>
        <item x="446"/>
        <item x="213"/>
        <item x="319"/>
        <item x="135"/>
        <item x="55"/>
        <item x="186"/>
        <item x="68"/>
        <item x="474"/>
        <item x="23"/>
        <item x="476"/>
        <item x="469"/>
        <item x="118"/>
        <item x="336"/>
        <item x="77"/>
        <item x="269"/>
        <item x="450"/>
        <item x="313"/>
        <item x="274"/>
        <item x="61"/>
        <item x="104"/>
        <item x="447"/>
        <item x="48"/>
        <item x="114"/>
        <item x="399"/>
        <item x="196"/>
        <item x="351"/>
        <item x="471"/>
        <item x="487"/>
        <item x="167"/>
        <item x="100"/>
        <item x="10"/>
        <item x="76"/>
        <item x="143"/>
        <item x="460"/>
        <item x="330"/>
        <item x="490"/>
        <item x="370"/>
        <item x="223"/>
        <item x="232"/>
        <item x="98"/>
        <item x="328"/>
        <item x="356"/>
        <item x="66"/>
        <item x="111"/>
        <item x="215"/>
        <item x="357"/>
        <item x="449"/>
        <item x="31"/>
        <item x="429"/>
        <item x="279"/>
        <item x="238"/>
        <item x="30"/>
        <item x="168"/>
        <item x="307"/>
        <item x="403"/>
        <item x="484"/>
        <item x="206"/>
        <item x="488"/>
        <item x="311"/>
        <item x="169"/>
        <item x="441"/>
        <item x="162"/>
        <item x="91"/>
        <item x="308"/>
        <item x="365"/>
        <item x="314"/>
        <item x="382"/>
        <item x="375"/>
        <item x="445"/>
        <item x="84"/>
        <item x="96"/>
        <item x="176"/>
        <item x="145"/>
        <item x="438"/>
        <item x="363"/>
        <item x="271"/>
        <item x="78"/>
        <item x="415"/>
        <item x="318"/>
        <item x="433"/>
        <item x="473"/>
        <item x="21"/>
        <item x="268"/>
        <item x="107"/>
        <item x="292"/>
        <item x="46"/>
        <item x="113"/>
        <item x="177"/>
        <item x="340"/>
        <item x="85"/>
        <item x="373"/>
        <item x="7"/>
        <item x="142"/>
        <item x="359"/>
        <item x="211"/>
        <item x="342"/>
        <item x="317"/>
        <item x="20"/>
        <item x="265"/>
        <item x="406"/>
        <item x="294"/>
        <item x="352"/>
        <item x="353"/>
        <item x="138"/>
        <item x="293"/>
        <item x="29"/>
        <item x="22"/>
        <item x="17"/>
        <item x="26"/>
        <item x="103"/>
        <item x="303"/>
        <item x="416"/>
        <item x="253"/>
        <item x="56"/>
        <item x="409"/>
        <item x="191"/>
        <item x="93"/>
        <item x="489"/>
        <item x="231"/>
        <item x="254"/>
        <item x="234"/>
        <item x="270"/>
        <item x="229"/>
        <item x="224"/>
        <item x="419"/>
        <item x="94"/>
        <item x="35"/>
        <item x="287"/>
        <item x="400"/>
        <item x="182"/>
        <item x="25"/>
        <item x="273"/>
        <item x="159"/>
        <item x="481"/>
        <item x="197"/>
        <item x="361"/>
        <item x="3"/>
        <item x="280"/>
        <item x="393"/>
        <item x="376"/>
        <item x="33"/>
        <item x="284"/>
        <item x="462"/>
        <item x="70"/>
        <item x="214"/>
        <item x="1"/>
        <item x="362"/>
        <item x="192"/>
        <item x="64"/>
        <item x="0"/>
        <item x="325"/>
        <item x="310"/>
        <item x="198"/>
        <item x="298"/>
        <item x="385"/>
        <item x="492"/>
        <item x="247"/>
        <item x="257"/>
        <item x="134"/>
        <item x="50"/>
        <item x="242"/>
        <item x="58"/>
        <item x="288"/>
        <item x="334"/>
        <item x="454"/>
        <item x="62"/>
        <item x="54"/>
        <item x="74"/>
        <item x="65"/>
        <item x="110"/>
        <item x="183"/>
        <item x="97"/>
        <item x="300"/>
        <item x="338"/>
        <item x="80"/>
        <item x="327"/>
        <item x="432"/>
        <item x="482"/>
        <item x="358"/>
        <item x="126"/>
        <item x="86"/>
        <item x="333"/>
        <item x="436"/>
        <item x="391"/>
        <item x="468"/>
        <item x="286"/>
        <item x="401"/>
        <item x="208"/>
        <item x="371"/>
        <item x="289"/>
        <item x="267"/>
        <item x="402"/>
        <item x="40"/>
        <item x="463"/>
        <item x="139"/>
        <item x="240"/>
        <item x="392"/>
        <item x="379"/>
        <item x="332"/>
        <item x="87"/>
        <item x="53"/>
        <item x="8"/>
        <item x="27"/>
        <item x="172"/>
        <item x="296"/>
        <item x="95"/>
        <item x="49"/>
        <item x="367"/>
        <item x="364"/>
        <item x="75"/>
        <item x="130"/>
        <item x="355"/>
        <item x="339"/>
        <item x="210"/>
        <item x="67"/>
        <item x="60"/>
        <item x="121"/>
        <item x="420"/>
        <item x="360"/>
        <item x="218"/>
        <item x="435"/>
        <item x="341"/>
        <item x="165"/>
        <item x="397"/>
        <item x="442"/>
        <item x="457"/>
        <item x="421"/>
        <item x="156"/>
        <item x="194"/>
        <item x="190"/>
        <item x="444"/>
        <item x="193"/>
        <item x="299"/>
        <item x="381"/>
        <item x="57"/>
        <item x="485"/>
        <item x="127"/>
        <item x="144"/>
        <item x="15"/>
        <item x="407"/>
        <item x="430"/>
        <item x="161"/>
        <item x="475"/>
        <item x="453"/>
        <item x="123"/>
        <item x="150"/>
        <item x="102"/>
        <item x="239"/>
        <item x="290"/>
        <item x="451"/>
        <item x="405"/>
        <item x="246"/>
        <item x="79"/>
        <item x="129"/>
        <item x="388"/>
        <item x="263"/>
        <item x="411"/>
        <item x="316"/>
        <item x="108"/>
        <item x="185"/>
        <item x="422"/>
        <item x="221"/>
        <item x="396"/>
        <item x="297"/>
        <item x="312"/>
        <item x="480"/>
        <item x="202"/>
        <item x="216"/>
        <item x="90"/>
        <item x="195"/>
        <item x="152"/>
        <item x="455"/>
        <item x="331"/>
        <item x="278"/>
        <item x="437"/>
        <item x="101"/>
        <item x="222"/>
        <item x="200"/>
        <item x="281"/>
        <item x="236"/>
        <item x="158"/>
        <item x="11"/>
        <item x="427"/>
        <item x="377"/>
        <item x="347"/>
        <item x="120"/>
        <item x="461"/>
        <item x="394"/>
        <item x="83"/>
        <item x="305"/>
        <item x="38"/>
        <item x="315"/>
        <item x="326"/>
        <item x="44"/>
        <item x="99"/>
        <item x="5"/>
        <item x="301"/>
        <item x="282"/>
        <item x="329"/>
        <item x="337"/>
        <item x="295"/>
        <item x="491"/>
        <item x="42"/>
        <item x="155"/>
        <item x="276"/>
        <item x="244"/>
        <item x="302"/>
        <item x="124"/>
        <item x="425"/>
        <item x="464"/>
        <item x="6"/>
        <item x="467"/>
        <item x="89"/>
        <item x="32"/>
        <item x="225"/>
        <item x="321"/>
        <item x="335"/>
        <item x="203"/>
        <item x="431"/>
        <item x="47"/>
        <item x="483"/>
        <item x="199"/>
        <item x="255"/>
        <item x="486"/>
        <item x="166"/>
        <item x="116"/>
        <item x="456"/>
        <item x="428"/>
        <item x="266"/>
        <item x="408"/>
        <item x="12"/>
        <item x="205"/>
        <item x="137"/>
        <item x="324"/>
        <item x="414"/>
        <item x="37"/>
        <item x="220"/>
        <item x="389"/>
        <item x="285"/>
        <item x="404"/>
        <item x="69"/>
        <item x="275"/>
        <item x="230"/>
        <item x="479"/>
        <item x="323"/>
        <item x="164"/>
        <item x="184"/>
        <item x="243"/>
        <item x="14"/>
        <item x="439"/>
        <item x="180"/>
        <item x="13"/>
        <item x="387"/>
        <item x="128"/>
        <item x="320"/>
        <item x="59"/>
        <item x="189"/>
        <item x="306"/>
        <item x="477"/>
        <item x="264"/>
        <item x="259"/>
        <item x="105"/>
        <item x="241"/>
        <item x="413"/>
        <item x="43"/>
        <item x="349"/>
        <item x="346"/>
        <item x="16"/>
        <item x="472"/>
        <item x="440"/>
        <item x="443"/>
        <item x="125"/>
        <item x="217"/>
        <item x="235"/>
        <item x="344"/>
        <item x="4"/>
        <item x="181"/>
        <item x="148"/>
        <item x="251"/>
        <item x="2"/>
        <item x="366"/>
        <item x="423"/>
        <item x="226"/>
        <item x="384"/>
        <item x="157"/>
        <item x="434"/>
        <item x="459"/>
        <item x="426"/>
        <item x="170"/>
        <item x="228"/>
        <item x="153"/>
        <item x="372"/>
        <item x="250"/>
        <item x="34"/>
        <item x="383"/>
        <item x="424"/>
        <item x="272"/>
        <item x="115"/>
        <item x="63"/>
        <item x="343"/>
        <item x="478"/>
        <item x="369"/>
        <item x="131"/>
        <item x="88"/>
        <item x="354"/>
        <item x="160"/>
        <item x="122"/>
        <item t="max"/>
      </items>
    </pivotField>
    <pivotField showAll="0">
      <items count="6">
        <item x="3"/>
        <item x="1"/>
        <item x="2"/>
        <item x="0"/>
        <item x="4"/>
        <item t="default"/>
      </items>
    </pivotField>
    <pivotField showAll="0"/>
    <pivotField showAll="0">
      <items count="14">
        <item x="12"/>
        <item x="7"/>
        <item x="9"/>
        <item x="2"/>
        <item x="1"/>
        <item x="11"/>
        <item x="6"/>
        <item x="5"/>
        <item x="0"/>
        <item x="3"/>
        <item x="10"/>
        <item x="4"/>
        <item x="8"/>
        <item t="default"/>
      </items>
    </pivotField>
    <pivotField showAll="0"/>
    <pivotField numFmtId="164" showAll="0"/>
    <pivotField numFmtId="9" showAll="0"/>
    <pivotField numFmtId="164" showAll="0"/>
    <pivotField dataField="1" numFmtId="164" showAll="0"/>
    <pivotField showAll="0">
      <items count="4">
        <item x="2"/>
        <item x="0"/>
        <item x="1"/>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Profit" fld="12" baseField="0" baseItem="5" numFmtId="164"/>
  </dataFields>
  <formats count="2">
    <format dxfId="31">
      <pivotArea dataOnly="0" labelOnly="1" outline="0" axis="axisValues" fieldPosition="0"/>
    </format>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3:G4" firstHeaderRow="1" firstDataRow="1" firstDataCol="0"/>
  <pivotFields count="17">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13">
        <item x="5"/>
        <item x="8"/>
        <item x="7"/>
        <item x="9"/>
        <item x="11"/>
        <item x="2"/>
        <item x="4"/>
        <item x="0"/>
        <item x="1"/>
        <item x="6"/>
        <item x="10"/>
        <item x="3"/>
        <item t="default"/>
      </items>
    </pivotField>
    <pivotField showAll="0">
      <items count="490">
        <item x="467"/>
        <item x="480"/>
        <item x="181"/>
        <item x="329"/>
        <item x="331"/>
        <item x="2"/>
        <item x="178"/>
        <item x="143"/>
        <item x="146"/>
        <item x="354"/>
        <item x="195"/>
        <item x="246"/>
        <item x="488"/>
        <item x="470"/>
        <item x="92"/>
        <item x="157"/>
        <item x="109"/>
        <item x="310"/>
        <item x="401"/>
        <item x="91"/>
        <item x="65"/>
        <item x="380"/>
        <item x="355"/>
        <item x="405"/>
        <item x="386"/>
        <item x="193"/>
        <item x="312"/>
        <item x="152"/>
        <item x="392"/>
        <item x="22"/>
        <item x="211"/>
        <item x="260"/>
        <item x="397"/>
        <item x="9"/>
        <item x="86"/>
        <item x="357"/>
        <item x="249"/>
        <item x="113"/>
        <item x="199"/>
        <item x="54"/>
        <item x="287"/>
        <item x="122"/>
        <item x="263"/>
        <item x="190"/>
        <item x="410"/>
        <item x="159"/>
        <item x="438"/>
        <item x="208"/>
        <item x="4"/>
        <item x="456"/>
        <item x="336"/>
        <item x="384"/>
        <item x="473"/>
        <item x="224"/>
        <item x="282"/>
        <item x="30"/>
        <item x="413"/>
        <item x="369"/>
        <item x="404"/>
        <item x="468"/>
        <item x="167"/>
        <item x="26"/>
        <item x="451"/>
        <item x="10"/>
        <item x="58"/>
        <item x="6"/>
        <item x="25"/>
        <item x="366"/>
        <item x="150"/>
        <item x="34"/>
        <item x="475"/>
        <item x="184"/>
        <item x="21"/>
        <item x="80"/>
        <item x="455"/>
        <item x="130"/>
        <item x="46"/>
        <item x="450"/>
        <item x="172"/>
        <item x="163"/>
        <item x="13"/>
        <item x="464"/>
        <item x="449"/>
        <item x="337"/>
        <item x="283"/>
        <item x="300"/>
        <item x="7"/>
        <item x="376"/>
        <item x="403"/>
        <item x="138"/>
        <item x="250"/>
        <item x="408"/>
        <item x="368"/>
        <item x="370"/>
        <item x="316"/>
        <item x="144"/>
        <item x="173"/>
        <item x="296"/>
        <item x="187"/>
        <item x="121"/>
        <item x="201"/>
        <item x="63"/>
        <item x="206"/>
        <item x="443"/>
        <item x="37"/>
        <item x="446"/>
        <item x="149"/>
        <item x="154"/>
        <item x="47"/>
        <item x="36"/>
        <item x="400"/>
        <item x="265"/>
        <item x="41"/>
        <item x="185"/>
        <item x="356"/>
        <item x="198"/>
        <item x="259"/>
        <item x="339"/>
        <item x="104"/>
        <item x="114"/>
        <item x="297"/>
        <item x="313"/>
        <item x="292"/>
        <item x="79"/>
        <item x="275"/>
        <item x="38"/>
        <item x="317"/>
        <item x="161"/>
        <item x="117"/>
        <item x="335"/>
        <item x="84"/>
        <item x="74"/>
        <item x="415"/>
        <item x="318"/>
        <item x="322"/>
        <item x="87"/>
        <item x="273"/>
        <item x="465"/>
        <item x="261"/>
        <item x="213"/>
        <item x="306"/>
        <item x="348"/>
        <item x="288"/>
        <item x="389"/>
        <item x="431"/>
        <item x="295"/>
        <item x="414"/>
        <item x="424"/>
        <item x="70"/>
        <item x="388"/>
        <item x="32"/>
        <item x="421"/>
        <item x="214"/>
        <item x="378"/>
        <item x="447"/>
        <item x="290"/>
        <item x="256"/>
        <item x="156"/>
        <item x="466"/>
        <item x="77"/>
        <item x="127"/>
        <item x="257"/>
        <item x="106"/>
        <item x="367"/>
        <item x="458"/>
        <item x="385"/>
        <item x="277"/>
        <item x="29"/>
        <item x="27"/>
        <item x="166"/>
        <item x="445"/>
        <item x="105"/>
        <item x="75"/>
        <item x="129"/>
        <item x="262"/>
        <item x="311"/>
        <item x="391"/>
        <item x="160"/>
        <item x="137"/>
        <item x="176"/>
        <item x="243"/>
        <item x="125"/>
        <item x="78"/>
        <item x="428"/>
        <item x="123"/>
        <item x="395"/>
        <item x="362"/>
        <item x="237"/>
        <item x="64"/>
        <item x="334"/>
        <item x="474"/>
        <item x="108"/>
        <item x="314"/>
        <item x="12"/>
        <item x="51"/>
        <item x="39"/>
        <item x="236"/>
        <item x="186"/>
        <item x="216"/>
        <item x="82"/>
        <item x="345"/>
        <item x="35"/>
        <item x="165"/>
        <item x="407"/>
        <item x="258"/>
        <item x="272"/>
        <item x="377"/>
        <item x="101"/>
        <item x="218"/>
        <item x="279"/>
        <item x="230"/>
        <item x="326"/>
        <item x="299"/>
        <item x="320"/>
        <item x="61"/>
        <item x="252"/>
        <item x="481"/>
        <item x="472"/>
        <item x="245"/>
        <item x="180"/>
        <item x="71"/>
        <item x="188"/>
        <item x="294"/>
        <item x="111"/>
        <item x="264"/>
        <item x="462"/>
        <item x="16"/>
        <item x="319"/>
        <item x="28"/>
        <item x="460"/>
        <item x="192"/>
        <item x="360"/>
        <item x="463"/>
        <item x="228"/>
        <item x="437"/>
        <item x="293"/>
        <item x="402"/>
        <item x="418"/>
        <item x="452"/>
        <item x="102"/>
        <item x="349"/>
        <item x="411"/>
        <item x="232"/>
        <item x="453"/>
        <item x="97"/>
        <item x="374"/>
        <item x="487"/>
        <item x="49"/>
        <item x="399"/>
        <item x="99"/>
        <item x="59"/>
        <item x="72"/>
        <item x="308"/>
        <item x="11"/>
        <item x="382"/>
        <item x="278"/>
        <item x="110"/>
        <item x="244"/>
        <item x="448"/>
        <item x="151"/>
        <item x="350"/>
        <item x="238"/>
        <item x="441"/>
        <item x="254"/>
        <item x="169"/>
        <item x="73"/>
        <item x="242"/>
        <item x="482"/>
        <item x="352"/>
        <item x="177"/>
        <item x="284"/>
        <item x="330"/>
        <item x="107"/>
        <item x="248"/>
        <item x="459"/>
        <item x="85"/>
        <item x="90"/>
        <item x="444"/>
        <item x="454"/>
        <item x="191"/>
        <item x="484"/>
        <item x="45"/>
        <item x="231"/>
        <item x="124"/>
        <item x="276"/>
        <item x="420"/>
        <item x="175"/>
        <item x="417"/>
        <item x="477"/>
        <item x="116"/>
        <item x="56"/>
        <item x="23"/>
        <item x="174"/>
        <item x="241"/>
        <item x="89"/>
        <item x="412"/>
        <item x="33"/>
        <item x="429"/>
        <item x="67"/>
        <item x="44"/>
        <item x="136"/>
        <item x="88"/>
        <item x="227"/>
        <item x="419"/>
        <item x="461"/>
        <item x="327"/>
        <item x="222"/>
        <item x="212"/>
        <item x="112"/>
        <item x="476"/>
        <item x="119"/>
        <item x="126"/>
        <item x="381"/>
        <item x="142"/>
        <item x="253"/>
        <item x="219"/>
        <item x="393"/>
        <item x="347"/>
        <item x="435"/>
        <item x="346"/>
        <item x="409"/>
        <item x="440"/>
        <item x="204"/>
        <item x="483"/>
        <item x="434"/>
        <item x="379"/>
        <item x="267"/>
        <item x="266"/>
        <item x="372"/>
        <item x="225"/>
        <item x="134"/>
        <item x="139"/>
        <item x="239"/>
        <item x="69"/>
        <item x="486"/>
        <item x="373"/>
        <item x="416"/>
        <item x="81"/>
        <item x="209"/>
        <item x="321"/>
        <item x="158"/>
        <item x="76"/>
        <item x="423"/>
        <item x="285"/>
        <item x="315"/>
        <item x="343"/>
        <item x="325"/>
        <item x="303"/>
        <item x="426"/>
        <item x="53"/>
        <item x="289"/>
        <item x="383"/>
        <item x="68"/>
        <item x="471"/>
        <item x="17"/>
        <item x="328"/>
        <item x="338"/>
        <item x="43"/>
        <item x="18"/>
        <item x="183"/>
        <item x="14"/>
        <item x="485"/>
        <item x="48"/>
        <item x="132"/>
        <item x="57"/>
        <item x="95"/>
        <item x="200"/>
        <item x="333"/>
        <item x="40"/>
        <item x="189"/>
        <item x="387"/>
        <item x="145"/>
        <item x="96"/>
        <item x="396"/>
        <item x="364"/>
        <item x="5"/>
        <item x="323"/>
        <item x="268"/>
        <item x="210"/>
        <item x="3"/>
        <item x="221"/>
        <item x="270"/>
        <item x="148"/>
        <item x="427"/>
        <item x="281"/>
        <item x="478"/>
        <item x="1"/>
        <item x="0"/>
        <item x="251"/>
        <item x="60"/>
        <item x="363"/>
        <item x="182"/>
        <item x="103"/>
        <item x="406"/>
        <item x="62"/>
        <item x="196"/>
        <item x="291"/>
        <item x="359"/>
        <item x="332"/>
        <item x="436"/>
        <item x="179"/>
        <item x="197"/>
        <item x="83"/>
        <item x="344"/>
        <item x="120"/>
        <item x="430"/>
        <item x="457"/>
        <item x="217"/>
        <item x="425"/>
        <item x="247"/>
        <item x="168"/>
        <item x="342"/>
        <item x="233"/>
        <item x="164"/>
        <item x="24"/>
        <item x="147"/>
        <item x="271"/>
        <item x="133"/>
        <item x="115"/>
        <item x="205"/>
        <item x="207"/>
        <item x="309"/>
        <item x="439"/>
        <item x="140"/>
        <item x="194"/>
        <item x="31"/>
        <item x="19"/>
        <item x="341"/>
        <item x="94"/>
        <item x="229"/>
        <item x="240"/>
        <item x="55"/>
        <item x="469"/>
        <item x="118"/>
        <item x="394"/>
        <item x="365"/>
        <item x="202"/>
        <item x="358"/>
        <item x="371"/>
        <item x="302"/>
        <item x="131"/>
        <item x="93"/>
        <item x="398"/>
        <item x="220"/>
        <item x="135"/>
        <item x="226"/>
        <item x="351"/>
        <item x="422"/>
        <item x="153"/>
        <item x="307"/>
        <item x="235"/>
        <item x="52"/>
        <item x="171"/>
        <item x="433"/>
        <item x="353"/>
        <item x="215"/>
        <item x="298"/>
        <item x="8"/>
        <item x="304"/>
        <item x="141"/>
        <item x="286"/>
        <item x="66"/>
        <item x="479"/>
        <item x="50"/>
        <item x="280"/>
        <item x="20"/>
        <item x="170"/>
        <item x="98"/>
        <item x="234"/>
        <item x="162"/>
        <item x="361"/>
        <item x="155"/>
        <item x="15"/>
        <item x="301"/>
        <item x="42"/>
        <item x="324"/>
        <item x="274"/>
        <item x="255"/>
        <item x="340"/>
        <item x="305"/>
        <item x="375"/>
        <item x="223"/>
        <item x="128"/>
        <item x="269"/>
        <item x="100"/>
        <item x="442"/>
        <item x="432"/>
        <item x="203"/>
        <item x="390"/>
        <item t="default"/>
      </items>
    </pivotField>
    <pivotField showAll="0" maxSubtotal="1">
      <items count="494">
        <item x="71"/>
        <item x="245"/>
        <item x="452"/>
        <item x="188"/>
        <item x="82"/>
        <item x="212"/>
        <item x="51"/>
        <item x="368"/>
        <item x="348"/>
        <item x="201"/>
        <item x="179"/>
        <item x="465"/>
        <item x="233"/>
        <item x="92"/>
        <item x="133"/>
        <item x="304"/>
        <item x="24"/>
        <item x="277"/>
        <item x="378"/>
        <item x="146"/>
        <item x="52"/>
        <item x="458"/>
        <item x="204"/>
        <item x="207"/>
        <item x="140"/>
        <item x="283"/>
        <item x="466"/>
        <item x="398"/>
        <item x="249"/>
        <item x="227"/>
        <item x="291"/>
        <item x="175"/>
        <item x="171"/>
        <item x="412"/>
        <item x="81"/>
        <item x="149"/>
        <item x="117"/>
        <item x="174"/>
        <item x="19"/>
        <item x="386"/>
        <item x="41"/>
        <item x="147"/>
        <item x="470"/>
        <item x="418"/>
        <item x="178"/>
        <item x="252"/>
        <item x="109"/>
        <item x="258"/>
        <item x="261"/>
        <item x="151"/>
        <item x="9"/>
        <item x="141"/>
        <item x="237"/>
        <item x="248"/>
        <item x="410"/>
        <item x="350"/>
        <item x="112"/>
        <item x="209"/>
        <item x="390"/>
        <item x="106"/>
        <item x="417"/>
        <item x="374"/>
        <item x="18"/>
        <item x="28"/>
        <item x="73"/>
        <item x="219"/>
        <item x="380"/>
        <item x="256"/>
        <item x="136"/>
        <item x="39"/>
        <item x="72"/>
        <item x="154"/>
        <item x="260"/>
        <item x="119"/>
        <item x="187"/>
        <item x="132"/>
        <item x="345"/>
        <item x="45"/>
        <item x="262"/>
        <item x="322"/>
        <item x="163"/>
        <item x="448"/>
        <item x="309"/>
        <item x="173"/>
        <item x="36"/>
        <item x="395"/>
        <item x="446"/>
        <item x="213"/>
        <item x="319"/>
        <item x="135"/>
        <item x="55"/>
        <item x="186"/>
        <item x="68"/>
        <item x="474"/>
        <item x="23"/>
        <item x="476"/>
        <item x="469"/>
        <item x="118"/>
        <item x="336"/>
        <item x="77"/>
        <item x="269"/>
        <item x="450"/>
        <item x="313"/>
        <item x="274"/>
        <item x="61"/>
        <item x="104"/>
        <item x="447"/>
        <item x="48"/>
        <item x="114"/>
        <item x="399"/>
        <item x="196"/>
        <item x="351"/>
        <item x="471"/>
        <item x="487"/>
        <item x="167"/>
        <item x="100"/>
        <item x="10"/>
        <item x="76"/>
        <item x="143"/>
        <item x="460"/>
        <item x="330"/>
        <item x="490"/>
        <item x="370"/>
        <item x="223"/>
        <item x="232"/>
        <item x="98"/>
        <item x="328"/>
        <item x="356"/>
        <item x="66"/>
        <item x="111"/>
        <item x="215"/>
        <item x="357"/>
        <item x="449"/>
        <item x="31"/>
        <item x="429"/>
        <item x="279"/>
        <item x="238"/>
        <item x="30"/>
        <item x="168"/>
        <item x="307"/>
        <item x="403"/>
        <item x="484"/>
        <item x="206"/>
        <item x="488"/>
        <item x="311"/>
        <item x="169"/>
        <item x="441"/>
        <item x="162"/>
        <item x="91"/>
        <item x="308"/>
        <item x="365"/>
        <item x="314"/>
        <item x="382"/>
        <item x="375"/>
        <item x="445"/>
        <item x="84"/>
        <item x="96"/>
        <item x="176"/>
        <item x="145"/>
        <item x="438"/>
        <item x="363"/>
        <item x="271"/>
        <item x="78"/>
        <item x="415"/>
        <item x="318"/>
        <item x="433"/>
        <item x="473"/>
        <item x="21"/>
        <item x="268"/>
        <item x="107"/>
        <item x="292"/>
        <item x="46"/>
        <item x="113"/>
        <item x="177"/>
        <item x="340"/>
        <item x="85"/>
        <item x="373"/>
        <item x="7"/>
        <item x="142"/>
        <item x="359"/>
        <item x="211"/>
        <item x="342"/>
        <item x="317"/>
        <item x="20"/>
        <item x="265"/>
        <item x="406"/>
        <item x="294"/>
        <item x="352"/>
        <item x="353"/>
        <item x="138"/>
        <item x="293"/>
        <item x="29"/>
        <item x="22"/>
        <item x="17"/>
        <item x="26"/>
        <item x="103"/>
        <item x="303"/>
        <item x="416"/>
        <item x="253"/>
        <item x="56"/>
        <item x="409"/>
        <item x="191"/>
        <item x="93"/>
        <item x="489"/>
        <item x="231"/>
        <item x="254"/>
        <item x="234"/>
        <item x="270"/>
        <item x="229"/>
        <item x="224"/>
        <item x="419"/>
        <item x="94"/>
        <item x="35"/>
        <item x="287"/>
        <item x="400"/>
        <item x="182"/>
        <item x="25"/>
        <item x="273"/>
        <item x="159"/>
        <item x="481"/>
        <item x="197"/>
        <item x="361"/>
        <item x="3"/>
        <item x="280"/>
        <item x="393"/>
        <item x="376"/>
        <item x="33"/>
        <item x="284"/>
        <item x="462"/>
        <item x="70"/>
        <item x="214"/>
        <item x="1"/>
        <item x="362"/>
        <item x="192"/>
        <item x="64"/>
        <item x="0"/>
        <item x="325"/>
        <item x="310"/>
        <item x="198"/>
        <item x="298"/>
        <item x="385"/>
        <item x="492"/>
        <item x="247"/>
        <item x="257"/>
        <item x="134"/>
        <item x="50"/>
        <item x="242"/>
        <item x="58"/>
        <item x="288"/>
        <item x="334"/>
        <item x="454"/>
        <item x="62"/>
        <item x="54"/>
        <item x="74"/>
        <item x="65"/>
        <item x="110"/>
        <item x="183"/>
        <item x="97"/>
        <item x="300"/>
        <item x="338"/>
        <item x="80"/>
        <item x="327"/>
        <item x="432"/>
        <item x="482"/>
        <item x="358"/>
        <item x="126"/>
        <item x="86"/>
        <item x="333"/>
        <item x="436"/>
        <item x="391"/>
        <item x="468"/>
        <item x="286"/>
        <item x="401"/>
        <item x="208"/>
        <item x="371"/>
        <item x="289"/>
        <item x="267"/>
        <item x="402"/>
        <item x="40"/>
        <item x="463"/>
        <item x="139"/>
        <item x="240"/>
        <item x="392"/>
        <item x="379"/>
        <item x="332"/>
        <item x="87"/>
        <item x="53"/>
        <item x="8"/>
        <item x="27"/>
        <item x="172"/>
        <item x="296"/>
        <item x="95"/>
        <item x="49"/>
        <item x="367"/>
        <item x="364"/>
        <item x="75"/>
        <item x="130"/>
        <item x="355"/>
        <item x="339"/>
        <item x="210"/>
        <item x="67"/>
        <item x="60"/>
        <item x="121"/>
        <item x="420"/>
        <item x="360"/>
        <item x="218"/>
        <item x="435"/>
        <item x="341"/>
        <item x="165"/>
        <item x="397"/>
        <item x="442"/>
        <item x="457"/>
        <item x="421"/>
        <item x="156"/>
        <item x="194"/>
        <item x="190"/>
        <item x="444"/>
        <item x="193"/>
        <item x="299"/>
        <item x="381"/>
        <item x="57"/>
        <item x="485"/>
        <item x="127"/>
        <item x="144"/>
        <item x="15"/>
        <item x="407"/>
        <item x="430"/>
        <item x="161"/>
        <item x="475"/>
        <item x="453"/>
        <item x="123"/>
        <item x="150"/>
        <item x="102"/>
        <item x="239"/>
        <item x="290"/>
        <item x="451"/>
        <item x="405"/>
        <item x="246"/>
        <item x="79"/>
        <item x="129"/>
        <item x="388"/>
        <item x="263"/>
        <item x="411"/>
        <item x="316"/>
        <item x="108"/>
        <item x="185"/>
        <item x="422"/>
        <item x="221"/>
        <item x="396"/>
        <item x="297"/>
        <item x="312"/>
        <item x="480"/>
        <item x="202"/>
        <item x="216"/>
        <item x="90"/>
        <item x="195"/>
        <item x="152"/>
        <item x="455"/>
        <item x="331"/>
        <item x="278"/>
        <item x="437"/>
        <item x="101"/>
        <item x="222"/>
        <item x="200"/>
        <item x="281"/>
        <item x="236"/>
        <item x="158"/>
        <item x="11"/>
        <item x="427"/>
        <item x="377"/>
        <item x="347"/>
        <item x="120"/>
        <item x="461"/>
        <item x="394"/>
        <item x="83"/>
        <item x="305"/>
        <item x="38"/>
        <item x="315"/>
        <item x="326"/>
        <item x="44"/>
        <item x="99"/>
        <item x="5"/>
        <item x="301"/>
        <item x="282"/>
        <item x="329"/>
        <item x="337"/>
        <item x="295"/>
        <item x="491"/>
        <item x="42"/>
        <item x="155"/>
        <item x="276"/>
        <item x="244"/>
        <item x="302"/>
        <item x="124"/>
        <item x="425"/>
        <item x="464"/>
        <item x="6"/>
        <item x="467"/>
        <item x="89"/>
        <item x="32"/>
        <item x="225"/>
        <item x="321"/>
        <item x="335"/>
        <item x="203"/>
        <item x="431"/>
        <item x="47"/>
        <item x="483"/>
        <item x="199"/>
        <item x="255"/>
        <item x="486"/>
        <item x="166"/>
        <item x="116"/>
        <item x="456"/>
        <item x="428"/>
        <item x="266"/>
        <item x="408"/>
        <item x="12"/>
        <item x="205"/>
        <item x="137"/>
        <item x="324"/>
        <item x="414"/>
        <item x="37"/>
        <item x="220"/>
        <item x="389"/>
        <item x="285"/>
        <item x="404"/>
        <item x="69"/>
        <item x="275"/>
        <item x="230"/>
        <item x="479"/>
        <item x="323"/>
        <item x="164"/>
        <item x="184"/>
        <item x="243"/>
        <item x="14"/>
        <item x="439"/>
        <item x="180"/>
        <item x="13"/>
        <item x="387"/>
        <item x="128"/>
        <item x="320"/>
        <item x="59"/>
        <item x="189"/>
        <item x="306"/>
        <item x="477"/>
        <item x="264"/>
        <item x="259"/>
        <item x="105"/>
        <item x="241"/>
        <item x="413"/>
        <item x="43"/>
        <item x="349"/>
        <item x="346"/>
        <item x="16"/>
        <item x="472"/>
        <item x="440"/>
        <item x="443"/>
        <item x="125"/>
        <item x="217"/>
        <item x="235"/>
        <item x="344"/>
        <item x="4"/>
        <item x="181"/>
        <item x="148"/>
        <item x="251"/>
        <item x="2"/>
        <item x="366"/>
        <item x="423"/>
        <item x="226"/>
        <item x="384"/>
        <item x="157"/>
        <item x="434"/>
        <item x="459"/>
        <item x="426"/>
        <item x="170"/>
        <item x="228"/>
        <item x="153"/>
        <item x="372"/>
        <item x="250"/>
        <item x="34"/>
        <item x="383"/>
        <item x="424"/>
        <item x="272"/>
        <item x="115"/>
        <item x="63"/>
        <item x="343"/>
        <item x="478"/>
        <item x="369"/>
        <item x="131"/>
        <item x="88"/>
        <item x="354"/>
        <item x="160"/>
        <item x="122"/>
        <item t="max"/>
      </items>
    </pivotField>
    <pivotField showAll="0">
      <items count="6">
        <item x="3"/>
        <item x="1"/>
        <item x="2"/>
        <item x="0"/>
        <item x="4"/>
        <item t="default"/>
      </items>
    </pivotField>
    <pivotField showAll="0"/>
    <pivotField showAll="0">
      <items count="14">
        <item x="12"/>
        <item x="7"/>
        <item x="9"/>
        <item x="2"/>
        <item x="1"/>
        <item x="11"/>
        <item x="6"/>
        <item x="5"/>
        <item x="0"/>
        <item x="3"/>
        <item x="10"/>
        <item x="4"/>
        <item x="8"/>
        <item t="default"/>
      </items>
    </pivotField>
    <pivotField showAll="0"/>
    <pivotField numFmtId="164" showAll="0"/>
    <pivotField numFmtId="9" showAll="0"/>
    <pivotField numFmtId="164" showAll="0"/>
    <pivotField numFmtId="164" showAll="0"/>
    <pivotField showAll="0">
      <items count="4">
        <item x="2"/>
        <item x="0"/>
        <item x="1"/>
        <item t="default"/>
      </items>
    </pivotField>
    <pivotField dragToRow="0" dragToCol="0" dragToPage="0" showAll="0" defaultSubtotal="0"/>
    <pivotField dragToRow="0" dragToCol="0" dragToPage="0" showAll="0" defaultSubtotal="0"/>
    <pivotField dataField="1" dragToRow="0" dragToCol="0" dragToPage="0" showAll="0" defaultSubtotal="0"/>
  </pivotFields>
  <rowItems count="1">
    <i/>
  </rowItems>
  <colItems count="1">
    <i/>
  </colItems>
  <dataFields count="1">
    <dataField name="Average Order Value " fld="16" baseField="0" baseItem="5" numFmtId="37"/>
  </dataFields>
  <formats count="2">
    <format dxfId="33">
      <pivotArea dataOnly="0" labelOnly="1" outline="0" axis="axisValues"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1" rowHeaderCaption="Payment Method">
  <location ref="K6:L10" firstHeaderRow="1" firstDataRow="1" firstDataCol="1"/>
  <pivotFields count="17">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13">
        <item x="5"/>
        <item x="8"/>
        <item x="7"/>
        <item x="9"/>
        <item x="11"/>
        <item x="2"/>
        <item x="4"/>
        <item x="0"/>
        <item x="1"/>
        <item x="6"/>
        <item x="10"/>
        <item x="3"/>
        <item t="default"/>
      </items>
    </pivotField>
    <pivotField showAll="0">
      <items count="490">
        <item x="467"/>
        <item x="480"/>
        <item x="181"/>
        <item x="329"/>
        <item x="331"/>
        <item x="2"/>
        <item x="178"/>
        <item x="143"/>
        <item x="146"/>
        <item x="354"/>
        <item x="195"/>
        <item x="246"/>
        <item x="488"/>
        <item x="470"/>
        <item x="92"/>
        <item x="157"/>
        <item x="109"/>
        <item x="310"/>
        <item x="401"/>
        <item x="91"/>
        <item x="65"/>
        <item x="380"/>
        <item x="355"/>
        <item x="405"/>
        <item x="386"/>
        <item x="193"/>
        <item x="312"/>
        <item x="152"/>
        <item x="392"/>
        <item x="22"/>
        <item x="211"/>
        <item x="260"/>
        <item x="397"/>
        <item x="9"/>
        <item x="86"/>
        <item x="357"/>
        <item x="249"/>
        <item x="113"/>
        <item x="199"/>
        <item x="54"/>
        <item x="287"/>
        <item x="122"/>
        <item x="263"/>
        <item x="190"/>
        <item x="410"/>
        <item x="159"/>
        <item x="438"/>
        <item x="208"/>
        <item x="4"/>
        <item x="456"/>
        <item x="336"/>
        <item x="384"/>
        <item x="473"/>
        <item x="224"/>
        <item x="282"/>
        <item x="30"/>
        <item x="413"/>
        <item x="369"/>
        <item x="404"/>
        <item x="468"/>
        <item x="167"/>
        <item x="26"/>
        <item x="451"/>
        <item x="10"/>
        <item x="58"/>
        <item x="6"/>
        <item x="25"/>
        <item x="366"/>
        <item x="150"/>
        <item x="34"/>
        <item x="475"/>
        <item x="184"/>
        <item x="21"/>
        <item x="80"/>
        <item x="455"/>
        <item x="130"/>
        <item x="46"/>
        <item x="450"/>
        <item x="172"/>
        <item x="163"/>
        <item x="13"/>
        <item x="464"/>
        <item x="449"/>
        <item x="337"/>
        <item x="283"/>
        <item x="300"/>
        <item x="7"/>
        <item x="376"/>
        <item x="403"/>
        <item x="138"/>
        <item x="250"/>
        <item x="408"/>
        <item x="368"/>
        <item x="370"/>
        <item x="316"/>
        <item x="144"/>
        <item x="173"/>
        <item x="296"/>
        <item x="187"/>
        <item x="121"/>
        <item x="201"/>
        <item x="63"/>
        <item x="206"/>
        <item x="443"/>
        <item x="37"/>
        <item x="446"/>
        <item x="149"/>
        <item x="154"/>
        <item x="47"/>
        <item x="36"/>
        <item x="400"/>
        <item x="265"/>
        <item x="41"/>
        <item x="185"/>
        <item x="356"/>
        <item x="198"/>
        <item x="259"/>
        <item x="339"/>
        <item x="104"/>
        <item x="114"/>
        <item x="297"/>
        <item x="313"/>
        <item x="292"/>
        <item x="79"/>
        <item x="275"/>
        <item x="38"/>
        <item x="317"/>
        <item x="161"/>
        <item x="117"/>
        <item x="335"/>
        <item x="84"/>
        <item x="74"/>
        <item x="415"/>
        <item x="318"/>
        <item x="322"/>
        <item x="87"/>
        <item x="273"/>
        <item x="465"/>
        <item x="261"/>
        <item x="213"/>
        <item x="306"/>
        <item x="348"/>
        <item x="288"/>
        <item x="389"/>
        <item x="431"/>
        <item x="295"/>
        <item x="414"/>
        <item x="424"/>
        <item x="70"/>
        <item x="388"/>
        <item x="32"/>
        <item x="421"/>
        <item x="214"/>
        <item x="378"/>
        <item x="447"/>
        <item x="290"/>
        <item x="256"/>
        <item x="156"/>
        <item x="466"/>
        <item x="77"/>
        <item x="127"/>
        <item x="257"/>
        <item x="106"/>
        <item x="367"/>
        <item x="458"/>
        <item x="385"/>
        <item x="277"/>
        <item x="29"/>
        <item x="27"/>
        <item x="166"/>
        <item x="445"/>
        <item x="105"/>
        <item x="75"/>
        <item x="129"/>
        <item x="262"/>
        <item x="311"/>
        <item x="391"/>
        <item x="160"/>
        <item x="137"/>
        <item x="176"/>
        <item x="243"/>
        <item x="125"/>
        <item x="78"/>
        <item x="428"/>
        <item x="123"/>
        <item x="395"/>
        <item x="362"/>
        <item x="237"/>
        <item x="64"/>
        <item x="334"/>
        <item x="474"/>
        <item x="108"/>
        <item x="314"/>
        <item x="12"/>
        <item x="51"/>
        <item x="39"/>
        <item x="236"/>
        <item x="186"/>
        <item x="216"/>
        <item x="82"/>
        <item x="345"/>
        <item x="35"/>
        <item x="165"/>
        <item x="407"/>
        <item x="258"/>
        <item x="272"/>
        <item x="377"/>
        <item x="101"/>
        <item x="218"/>
        <item x="279"/>
        <item x="230"/>
        <item x="326"/>
        <item x="299"/>
        <item x="320"/>
        <item x="61"/>
        <item x="252"/>
        <item x="481"/>
        <item x="472"/>
        <item x="245"/>
        <item x="180"/>
        <item x="71"/>
        <item x="188"/>
        <item x="294"/>
        <item x="111"/>
        <item x="264"/>
        <item x="462"/>
        <item x="16"/>
        <item x="319"/>
        <item x="28"/>
        <item x="460"/>
        <item x="192"/>
        <item x="360"/>
        <item x="463"/>
        <item x="228"/>
        <item x="437"/>
        <item x="293"/>
        <item x="402"/>
        <item x="418"/>
        <item x="452"/>
        <item x="102"/>
        <item x="349"/>
        <item x="411"/>
        <item x="232"/>
        <item x="453"/>
        <item x="97"/>
        <item x="374"/>
        <item x="487"/>
        <item x="49"/>
        <item x="399"/>
        <item x="99"/>
        <item x="59"/>
        <item x="72"/>
        <item x="308"/>
        <item x="11"/>
        <item x="382"/>
        <item x="278"/>
        <item x="110"/>
        <item x="244"/>
        <item x="448"/>
        <item x="151"/>
        <item x="350"/>
        <item x="238"/>
        <item x="441"/>
        <item x="254"/>
        <item x="169"/>
        <item x="73"/>
        <item x="242"/>
        <item x="482"/>
        <item x="352"/>
        <item x="177"/>
        <item x="284"/>
        <item x="330"/>
        <item x="107"/>
        <item x="248"/>
        <item x="459"/>
        <item x="85"/>
        <item x="90"/>
        <item x="444"/>
        <item x="454"/>
        <item x="191"/>
        <item x="484"/>
        <item x="45"/>
        <item x="231"/>
        <item x="124"/>
        <item x="276"/>
        <item x="420"/>
        <item x="175"/>
        <item x="417"/>
        <item x="477"/>
        <item x="116"/>
        <item x="56"/>
        <item x="23"/>
        <item x="174"/>
        <item x="241"/>
        <item x="89"/>
        <item x="412"/>
        <item x="33"/>
        <item x="429"/>
        <item x="67"/>
        <item x="44"/>
        <item x="136"/>
        <item x="88"/>
        <item x="227"/>
        <item x="419"/>
        <item x="461"/>
        <item x="327"/>
        <item x="222"/>
        <item x="212"/>
        <item x="112"/>
        <item x="476"/>
        <item x="119"/>
        <item x="126"/>
        <item x="381"/>
        <item x="142"/>
        <item x="253"/>
        <item x="219"/>
        <item x="393"/>
        <item x="347"/>
        <item x="435"/>
        <item x="346"/>
        <item x="409"/>
        <item x="440"/>
        <item x="204"/>
        <item x="483"/>
        <item x="434"/>
        <item x="379"/>
        <item x="267"/>
        <item x="266"/>
        <item x="372"/>
        <item x="225"/>
        <item x="134"/>
        <item x="139"/>
        <item x="239"/>
        <item x="69"/>
        <item x="486"/>
        <item x="373"/>
        <item x="416"/>
        <item x="81"/>
        <item x="209"/>
        <item x="321"/>
        <item x="158"/>
        <item x="76"/>
        <item x="423"/>
        <item x="285"/>
        <item x="315"/>
        <item x="343"/>
        <item x="325"/>
        <item x="303"/>
        <item x="426"/>
        <item x="53"/>
        <item x="289"/>
        <item x="383"/>
        <item x="68"/>
        <item x="471"/>
        <item x="17"/>
        <item x="328"/>
        <item x="338"/>
        <item x="43"/>
        <item x="18"/>
        <item x="183"/>
        <item x="14"/>
        <item x="485"/>
        <item x="48"/>
        <item x="132"/>
        <item x="57"/>
        <item x="95"/>
        <item x="200"/>
        <item x="333"/>
        <item x="40"/>
        <item x="189"/>
        <item x="387"/>
        <item x="145"/>
        <item x="96"/>
        <item x="396"/>
        <item x="364"/>
        <item x="5"/>
        <item x="323"/>
        <item x="268"/>
        <item x="210"/>
        <item x="3"/>
        <item x="221"/>
        <item x="270"/>
        <item x="148"/>
        <item x="427"/>
        <item x="281"/>
        <item x="478"/>
        <item x="1"/>
        <item x="0"/>
        <item x="251"/>
        <item x="60"/>
        <item x="363"/>
        <item x="182"/>
        <item x="103"/>
        <item x="406"/>
        <item x="62"/>
        <item x="196"/>
        <item x="291"/>
        <item x="359"/>
        <item x="332"/>
        <item x="436"/>
        <item x="179"/>
        <item x="197"/>
        <item x="83"/>
        <item x="344"/>
        <item x="120"/>
        <item x="430"/>
        <item x="457"/>
        <item x="217"/>
        <item x="425"/>
        <item x="247"/>
        <item x="168"/>
        <item x="342"/>
        <item x="233"/>
        <item x="164"/>
        <item x="24"/>
        <item x="147"/>
        <item x="271"/>
        <item x="133"/>
        <item x="115"/>
        <item x="205"/>
        <item x="207"/>
        <item x="309"/>
        <item x="439"/>
        <item x="140"/>
        <item x="194"/>
        <item x="31"/>
        <item x="19"/>
        <item x="341"/>
        <item x="94"/>
        <item x="229"/>
        <item x="240"/>
        <item x="55"/>
        <item x="469"/>
        <item x="118"/>
        <item x="394"/>
        <item x="365"/>
        <item x="202"/>
        <item x="358"/>
        <item x="371"/>
        <item x="302"/>
        <item x="131"/>
        <item x="93"/>
        <item x="398"/>
        <item x="220"/>
        <item x="135"/>
        <item x="226"/>
        <item x="351"/>
        <item x="422"/>
        <item x="153"/>
        <item x="307"/>
        <item x="235"/>
        <item x="52"/>
        <item x="171"/>
        <item x="433"/>
        <item x="353"/>
        <item x="215"/>
        <item x="298"/>
        <item x="8"/>
        <item x="304"/>
        <item x="141"/>
        <item x="286"/>
        <item x="66"/>
        <item x="479"/>
        <item x="50"/>
        <item x="280"/>
        <item x="20"/>
        <item x="170"/>
        <item x="98"/>
        <item x="234"/>
        <item x="162"/>
        <item x="361"/>
        <item x="155"/>
        <item x="15"/>
        <item x="301"/>
        <item x="42"/>
        <item x="324"/>
        <item x="274"/>
        <item x="255"/>
        <item x="340"/>
        <item x="305"/>
        <item x="375"/>
        <item x="223"/>
        <item x="128"/>
        <item x="269"/>
        <item x="100"/>
        <item x="442"/>
        <item x="432"/>
        <item x="203"/>
        <item x="390"/>
        <item t="default"/>
      </items>
    </pivotField>
    <pivotField showAll="0" maxSubtotal="1">
      <items count="494">
        <item x="71"/>
        <item x="245"/>
        <item x="452"/>
        <item x="188"/>
        <item x="82"/>
        <item x="212"/>
        <item x="51"/>
        <item x="368"/>
        <item x="348"/>
        <item x="201"/>
        <item x="179"/>
        <item x="465"/>
        <item x="233"/>
        <item x="92"/>
        <item x="133"/>
        <item x="304"/>
        <item x="24"/>
        <item x="277"/>
        <item x="378"/>
        <item x="146"/>
        <item x="52"/>
        <item x="458"/>
        <item x="204"/>
        <item x="207"/>
        <item x="140"/>
        <item x="283"/>
        <item x="466"/>
        <item x="398"/>
        <item x="249"/>
        <item x="227"/>
        <item x="291"/>
        <item x="175"/>
        <item x="171"/>
        <item x="412"/>
        <item x="81"/>
        <item x="149"/>
        <item x="117"/>
        <item x="174"/>
        <item x="19"/>
        <item x="386"/>
        <item x="41"/>
        <item x="147"/>
        <item x="470"/>
        <item x="418"/>
        <item x="178"/>
        <item x="252"/>
        <item x="109"/>
        <item x="258"/>
        <item x="261"/>
        <item x="151"/>
        <item x="9"/>
        <item x="141"/>
        <item x="237"/>
        <item x="248"/>
        <item x="410"/>
        <item x="350"/>
        <item x="112"/>
        <item x="209"/>
        <item x="390"/>
        <item x="106"/>
        <item x="417"/>
        <item x="374"/>
        <item x="18"/>
        <item x="28"/>
        <item x="73"/>
        <item x="219"/>
        <item x="380"/>
        <item x="256"/>
        <item x="136"/>
        <item x="39"/>
        <item x="72"/>
        <item x="154"/>
        <item x="260"/>
        <item x="119"/>
        <item x="187"/>
        <item x="132"/>
        <item x="345"/>
        <item x="45"/>
        <item x="262"/>
        <item x="322"/>
        <item x="163"/>
        <item x="448"/>
        <item x="309"/>
        <item x="173"/>
        <item x="36"/>
        <item x="395"/>
        <item x="446"/>
        <item x="213"/>
        <item x="319"/>
        <item x="135"/>
        <item x="55"/>
        <item x="186"/>
        <item x="68"/>
        <item x="474"/>
        <item x="23"/>
        <item x="476"/>
        <item x="469"/>
        <item x="118"/>
        <item x="336"/>
        <item x="77"/>
        <item x="269"/>
        <item x="450"/>
        <item x="313"/>
        <item x="274"/>
        <item x="61"/>
        <item x="104"/>
        <item x="447"/>
        <item x="48"/>
        <item x="114"/>
        <item x="399"/>
        <item x="196"/>
        <item x="351"/>
        <item x="471"/>
        <item x="487"/>
        <item x="167"/>
        <item x="100"/>
        <item x="10"/>
        <item x="76"/>
        <item x="143"/>
        <item x="460"/>
        <item x="330"/>
        <item x="490"/>
        <item x="370"/>
        <item x="223"/>
        <item x="232"/>
        <item x="98"/>
        <item x="328"/>
        <item x="356"/>
        <item x="66"/>
        <item x="111"/>
        <item x="215"/>
        <item x="357"/>
        <item x="449"/>
        <item x="31"/>
        <item x="429"/>
        <item x="279"/>
        <item x="238"/>
        <item x="30"/>
        <item x="168"/>
        <item x="307"/>
        <item x="403"/>
        <item x="484"/>
        <item x="206"/>
        <item x="488"/>
        <item x="311"/>
        <item x="169"/>
        <item x="441"/>
        <item x="162"/>
        <item x="91"/>
        <item x="308"/>
        <item x="365"/>
        <item x="314"/>
        <item x="382"/>
        <item x="375"/>
        <item x="445"/>
        <item x="84"/>
        <item x="96"/>
        <item x="176"/>
        <item x="145"/>
        <item x="438"/>
        <item x="363"/>
        <item x="271"/>
        <item x="78"/>
        <item x="415"/>
        <item x="318"/>
        <item x="433"/>
        <item x="473"/>
        <item x="21"/>
        <item x="268"/>
        <item x="107"/>
        <item x="292"/>
        <item x="46"/>
        <item x="113"/>
        <item x="177"/>
        <item x="340"/>
        <item x="85"/>
        <item x="373"/>
        <item x="7"/>
        <item x="142"/>
        <item x="359"/>
        <item x="211"/>
        <item x="342"/>
        <item x="317"/>
        <item x="20"/>
        <item x="265"/>
        <item x="406"/>
        <item x="294"/>
        <item x="352"/>
        <item x="353"/>
        <item x="138"/>
        <item x="293"/>
        <item x="29"/>
        <item x="22"/>
        <item x="17"/>
        <item x="26"/>
        <item x="103"/>
        <item x="303"/>
        <item x="416"/>
        <item x="253"/>
        <item x="56"/>
        <item x="409"/>
        <item x="191"/>
        <item x="93"/>
        <item x="489"/>
        <item x="231"/>
        <item x="254"/>
        <item x="234"/>
        <item x="270"/>
        <item x="229"/>
        <item x="224"/>
        <item x="419"/>
        <item x="94"/>
        <item x="35"/>
        <item x="287"/>
        <item x="400"/>
        <item x="182"/>
        <item x="25"/>
        <item x="273"/>
        <item x="159"/>
        <item x="481"/>
        <item x="197"/>
        <item x="361"/>
        <item x="3"/>
        <item x="280"/>
        <item x="393"/>
        <item x="376"/>
        <item x="33"/>
        <item x="284"/>
        <item x="462"/>
        <item x="70"/>
        <item x="214"/>
        <item x="1"/>
        <item x="362"/>
        <item x="192"/>
        <item x="64"/>
        <item x="0"/>
        <item x="325"/>
        <item x="310"/>
        <item x="198"/>
        <item x="298"/>
        <item x="385"/>
        <item x="492"/>
        <item x="247"/>
        <item x="257"/>
        <item x="134"/>
        <item x="50"/>
        <item x="242"/>
        <item x="58"/>
        <item x="288"/>
        <item x="334"/>
        <item x="454"/>
        <item x="62"/>
        <item x="54"/>
        <item x="74"/>
        <item x="65"/>
        <item x="110"/>
        <item x="183"/>
        <item x="97"/>
        <item x="300"/>
        <item x="338"/>
        <item x="80"/>
        <item x="327"/>
        <item x="432"/>
        <item x="482"/>
        <item x="358"/>
        <item x="126"/>
        <item x="86"/>
        <item x="333"/>
        <item x="436"/>
        <item x="391"/>
        <item x="468"/>
        <item x="286"/>
        <item x="401"/>
        <item x="208"/>
        <item x="371"/>
        <item x="289"/>
        <item x="267"/>
        <item x="402"/>
        <item x="40"/>
        <item x="463"/>
        <item x="139"/>
        <item x="240"/>
        <item x="392"/>
        <item x="379"/>
        <item x="332"/>
        <item x="87"/>
        <item x="53"/>
        <item x="8"/>
        <item x="27"/>
        <item x="172"/>
        <item x="296"/>
        <item x="95"/>
        <item x="49"/>
        <item x="367"/>
        <item x="364"/>
        <item x="75"/>
        <item x="130"/>
        <item x="355"/>
        <item x="339"/>
        <item x="210"/>
        <item x="67"/>
        <item x="60"/>
        <item x="121"/>
        <item x="420"/>
        <item x="360"/>
        <item x="218"/>
        <item x="435"/>
        <item x="341"/>
        <item x="165"/>
        <item x="397"/>
        <item x="442"/>
        <item x="457"/>
        <item x="421"/>
        <item x="156"/>
        <item x="194"/>
        <item x="190"/>
        <item x="444"/>
        <item x="193"/>
        <item x="299"/>
        <item x="381"/>
        <item x="57"/>
        <item x="485"/>
        <item x="127"/>
        <item x="144"/>
        <item x="15"/>
        <item x="407"/>
        <item x="430"/>
        <item x="161"/>
        <item x="475"/>
        <item x="453"/>
        <item x="123"/>
        <item x="150"/>
        <item x="102"/>
        <item x="239"/>
        <item x="290"/>
        <item x="451"/>
        <item x="405"/>
        <item x="246"/>
        <item x="79"/>
        <item x="129"/>
        <item x="388"/>
        <item x="263"/>
        <item x="411"/>
        <item x="316"/>
        <item x="108"/>
        <item x="185"/>
        <item x="422"/>
        <item x="221"/>
        <item x="396"/>
        <item x="297"/>
        <item x="312"/>
        <item x="480"/>
        <item x="202"/>
        <item x="216"/>
        <item x="90"/>
        <item x="195"/>
        <item x="152"/>
        <item x="455"/>
        <item x="331"/>
        <item x="278"/>
        <item x="437"/>
        <item x="101"/>
        <item x="222"/>
        <item x="200"/>
        <item x="281"/>
        <item x="236"/>
        <item x="158"/>
        <item x="11"/>
        <item x="427"/>
        <item x="377"/>
        <item x="347"/>
        <item x="120"/>
        <item x="461"/>
        <item x="394"/>
        <item x="83"/>
        <item x="305"/>
        <item x="38"/>
        <item x="315"/>
        <item x="326"/>
        <item x="44"/>
        <item x="99"/>
        <item x="5"/>
        <item x="301"/>
        <item x="282"/>
        <item x="329"/>
        <item x="337"/>
        <item x="295"/>
        <item x="491"/>
        <item x="42"/>
        <item x="155"/>
        <item x="276"/>
        <item x="244"/>
        <item x="302"/>
        <item x="124"/>
        <item x="425"/>
        <item x="464"/>
        <item x="6"/>
        <item x="467"/>
        <item x="89"/>
        <item x="32"/>
        <item x="225"/>
        <item x="321"/>
        <item x="335"/>
        <item x="203"/>
        <item x="431"/>
        <item x="47"/>
        <item x="483"/>
        <item x="199"/>
        <item x="255"/>
        <item x="486"/>
        <item x="166"/>
        <item x="116"/>
        <item x="456"/>
        <item x="428"/>
        <item x="266"/>
        <item x="408"/>
        <item x="12"/>
        <item x="205"/>
        <item x="137"/>
        <item x="324"/>
        <item x="414"/>
        <item x="37"/>
        <item x="220"/>
        <item x="389"/>
        <item x="285"/>
        <item x="404"/>
        <item x="69"/>
        <item x="275"/>
        <item x="230"/>
        <item x="479"/>
        <item x="323"/>
        <item x="164"/>
        <item x="184"/>
        <item x="243"/>
        <item x="14"/>
        <item x="439"/>
        <item x="180"/>
        <item x="13"/>
        <item x="387"/>
        <item x="128"/>
        <item x="320"/>
        <item x="59"/>
        <item x="189"/>
        <item x="306"/>
        <item x="477"/>
        <item x="264"/>
        <item x="259"/>
        <item x="105"/>
        <item x="241"/>
        <item x="413"/>
        <item x="43"/>
        <item x="349"/>
        <item x="346"/>
        <item x="16"/>
        <item x="472"/>
        <item x="440"/>
        <item x="443"/>
        <item x="125"/>
        <item x="217"/>
        <item x="235"/>
        <item x="344"/>
        <item x="4"/>
        <item x="181"/>
        <item x="148"/>
        <item x="251"/>
        <item x="2"/>
        <item x="366"/>
        <item x="423"/>
        <item x="226"/>
        <item x="384"/>
        <item x="157"/>
        <item x="434"/>
        <item x="459"/>
        <item x="426"/>
        <item x="170"/>
        <item x="228"/>
        <item x="153"/>
        <item x="372"/>
        <item x="250"/>
        <item x="34"/>
        <item x="383"/>
        <item x="424"/>
        <item x="272"/>
        <item x="115"/>
        <item x="63"/>
        <item x="343"/>
        <item x="478"/>
        <item x="369"/>
        <item x="131"/>
        <item x="88"/>
        <item x="354"/>
        <item x="160"/>
        <item x="122"/>
        <item t="max"/>
      </items>
    </pivotField>
    <pivotField showAll="0">
      <items count="6">
        <item x="3"/>
        <item x="1"/>
        <item x="2"/>
        <item x="0"/>
        <item x="4"/>
        <item t="default"/>
      </items>
    </pivotField>
    <pivotField showAll="0"/>
    <pivotField showAll="0">
      <items count="14">
        <item x="12"/>
        <item x="7"/>
        <item x="9"/>
        <item x="2"/>
        <item x="1"/>
        <item x="11"/>
        <item x="6"/>
        <item x="5"/>
        <item x="0"/>
        <item x="3"/>
        <item x="10"/>
        <item x="4"/>
        <item x="8"/>
        <item t="default"/>
      </items>
    </pivotField>
    <pivotField showAll="0"/>
    <pivotField numFmtId="164" showAll="0"/>
    <pivotField numFmtId="9" showAll="0"/>
    <pivotField numFmtId="164" showAll="0"/>
    <pivotField numFmtId="164"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4">
    <i>
      <x v="2"/>
    </i>
    <i>
      <x v="1"/>
    </i>
    <i>
      <x/>
    </i>
    <i t="grand">
      <x/>
    </i>
  </rowItems>
  <colItems count="1">
    <i/>
  </colItems>
  <dataFields count="1">
    <dataField name="Count of Order ID" fld="0" subtotal="count" showDataAs="percentOfCol" baseField="0" baseItem="0" numFmtId="9"/>
  </dataFields>
  <formats count="4">
    <format dxfId="37">
      <pivotArea dataOnly="0" labelOnly="1" outline="0" axis="axisValues" fieldPosition="0"/>
    </format>
    <format dxfId="36">
      <pivotArea collapsedLevelsAreSubtotals="1" fieldPosition="0">
        <references count="1">
          <reference field="13" count="0"/>
        </references>
      </pivotArea>
    </format>
    <format dxfId="35">
      <pivotArea outline="0" fieldPosition="0">
        <references count="1">
          <reference field="4294967294" count="1">
            <x v="0"/>
          </reference>
        </references>
      </pivotArea>
    </format>
    <format dxfId="34">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13" count="1" selected="0">
            <x v="2"/>
          </reference>
        </references>
      </pivotArea>
    </chartFormat>
    <chartFormat chart="23" format="7">
      <pivotArea type="data" outline="0" fieldPosition="0">
        <references count="2">
          <reference field="4294967294" count="1" selected="0">
            <x v="0"/>
          </reference>
          <reference field="13" count="1" selected="0">
            <x v="1"/>
          </reference>
        </references>
      </pivotArea>
    </chartFormat>
    <chartFormat chart="23" format="8">
      <pivotArea type="data" outline="0" fieldPosition="0">
        <references count="2">
          <reference field="4294967294" count="1" selected="0">
            <x v="0"/>
          </reference>
          <reference field="13"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Month">
  <location ref="E6:F19" firstHeaderRow="1" firstDataRow="1" firstDataCol="1"/>
  <pivotFields count="17">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axis="axisRow" showAll="0" sortType="ascending">
      <items count="13">
        <item n="Jan" x="5"/>
        <item n="Feb" x="8"/>
        <item n="Mar" x="7"/>
        <item n="Apr" x="9"/>
        <item x="11"/>
        <item n="Jun" x="2"/>
        <item n="Jul" x="4"/>
        <item n="Aug" x="0"/>
        <item n="Sep" x="1"/>
        <item n="Oct" x="6"/>
        <item n="Nov" x="10"/>
        <item n="Dec" x="3"/>
        <item t="default"/>
      </items>
    </pivotField>
    <pivotField showAll="0">
      <items count="490">
        <item x="467"/>
        <item x="480"/>
        <item x="181"/>
        <item x="329"/>
        <item x="331"/>
        <item x="2"/>
        <item x="178"/>
        <item x="143"/>
        <item x="146"/>
        <item x="354"/>
        <item x="195"/>
        <item x="246"/>
        <item x="488"/>
        <item x="470"/>
        <item x="92"/>
        <item x="157"/>
        <item x="109"/>
        <item x="310"/>
        <item x="401"/>
        <item x="91"/>
        <item x="65"/>
        <item x="380"/>
        <item x="355"/>
        <item x="405"/>
        <item x="386"/>
        <item x="193"/>
        <item x="312"/>
        <item x="152"/>
        <item x="392"/>
        <item x="22"/>
        <item x="211"/>
        <item x="260"/>
        <item x="397"/>
        <item x="9"/>
        <item x="86"/>
        <item x="357"/>
        <item x="249"/>
        <item x="113"/>
        <item x="199"/>
        <item x="54"/>
        <item x="287"/>
        <item x="122"/>
        <item x="263"/>
        <item x="190"/>
        <item x="410"/>
        <item x="159"/>
        <item x="438"/>
        <item x="208"/>
        <item x="4"/>
        <item x="456"/>
        <item x="336"/>
        <item x="384"/>
        <item x="473"/>
        <item x="224"/>
        <item x="282"/>
        <item x="30"/>
        <item x="413"/>
        <item x="369"/>
        <item x="404"/>
        <item x="468"/>
        <item x="167"/>
        <item x="26"/>
        <item x="451"/>
        <item x="10"/>
        <item x="58"/>
        <item x="6"/>
        <item x="25"/>
        <item x="366"/>
        <item x="150"/>
        <item x="34"/>
        <item x="475"/>
        <item x="184"/>
        <item x="21"/>
        <item x="80"/>
        <item x="455"/>
        <item x="130"/>
        <item x="46"/>
        <item x="450"/>
        <item x="172"/>
        <item x="163"/>
        <item x="13"/>
        <item x="464"/>
        <item x="449"/>
        <item x="337"/>
        <item x="283"/>
        <item x="300"/>
        <item x="7"/>
        <item x="376"/>
        <item x="403"/>
        <item x="138"/>
        <item x="250"/>
        <item x="408"/>
        <item x="368"/>
        <item x="370"/>
        <item x="316"/>
        <item x="144"/>
        <item x="173"/>
        <item x="296"/>
        <item x="187"/>
        <item x="121"/>
        <item x="201"/>
        <item x="63"/>
        <item x="206"/>
        <item x="443"/>
        <item x="37"/>
        <item x="446"/>
        <item x="149"/>
        <item x="154"/>
        <item x="47"/>
        <item x="36"/>
        <item x="400"/>
        <item x="265"/>
        <item x="41"/>
        <item x="185"/>
        <item x="356"/>
        <item x="198"/>
        <item x="259"/>
        <item x="339"/>
        <item x="104"/>
        <item x="114"/>
        <item x="297"/>
        <item x="313"/>
        <item x="292"/>
        <item x="79"/>
        <item x="275"/>
        <item x="38"/>
        <item x="317"/>
        <item x="161"/>
        <item x="117"/>
        <item x="335"/>
        <item x="84"/>
        <item x="74"/>
        <item x="415"/>
        <item x="318"/>
        <item x="322"/>
        <item x="87"/>
        <item x="273"/>
        <item x="465"/>
        <item x="261"/>
        <item x="213"/>
        <item x="306"/>
        <item x="348"/>
        <item x="288"/>
        <item x="389"/>
        <item x="431"/>
        <item x="295"/>
        <item x="414"/>
        <item x="424"/>
        <item x="70"/>
        <item x="388"/>
        <item x="32"/>
        <item x="421"/>
        <item x="214"/>
        <item x="378"/>
        <item x="447"/>
        <item x="290"/>
        <item x="256"/>
        <item x="156"/>
        <item x="466"/>
        <item x="77"/>
        <item x="127"/>
        <item x="257"/>
        <item x="106"/>
        <item x="367"/>
        <item x="458"/>
        <item x="385"/>
        <item x="277"/>
        <item x="29"/>
        <item x="27"/>
        <item x="166"/>
        <item x="445"/>
        <item x="105"/>
        <item x="75"/>
        <item x="129"/>
        <item x="262"/>
        <item x="311"/>
        <item x="391"/>
        <item x="160"/>
        <item x="137"/>
        <item x="176"/>
        <item x="243"/>
        <item x="125"/>
        <item x="78"/>
        <item x="428"/>
        <item x="123"/>
        <item x="395"/>
        <item x="362"/>
        <item x="237"/>
        <item x="64"/>
        <item x="334"/>
        <item x="474"/>
        <item x="108"/>
        <item x="314"/>
        <item x="12"/>
        <item x="51"/>
        <item x="39"/>
        <item x="236"/>
        <item x="186"/>
        <item x="216"/>
        <item x="82"/>
        <item x="345"/>
        <item x="35"/>
        <item x="165"/>
        <item x="407"/>
        <item x="258"/>
        <item x="272"/>
        <item x="377"/>
        <item x="101"/>
        <item x="218"/>
        <item x="279"/>
        <item x="230"/>
        <item x="326"/>
        <item x="299"/>
        <item x="320"/>
        <item x="61"/>
        <item x="252"/>
        <item x="481"/>
        <item x="472"/>
        <item x="245"/>
        <item x="180"/>
        <item x="71"/>
        <item x="188"/>
        <item x="294"/>
        <item x="111"/>
        <item x="264"/>
        <item x="462"/>
        <item x="16"/>
        <item x="319"/>
        <item x="28"/>
        <item x="460"/>
        <item x="192"/>
        <item x="360"/>
        <item x="463"/>
        <item x="228"/>
        <item x="437"/>
        <item x="293"/>
        <item x="402"/>
        <item x="418"/>
        <item x="452"/>
        <item x="102"/>
        <item x="349"/>
        <item x="411"/>
        <item x="232"/>
        <item x="453"/>
        <item x="97"/>
        <item x="374"/>
        <item x="487"/>
        <item x="49"/>
        <item x="399"/>
        <item x="99"/>
        <item x="59"/>
        <item x="72"/>
        <item x="308"/>
        <item x="11"/>
        <item x="382"/>
        <item x="278"/>
        <item x="110"/>
        <item x="244"/>
        <item x="448"/>
        <item x="151"/>
        <item x="350"/>
        <item x="238"/>
        <item x="441"/>
        <item x="254"/>
        <item x="169"/>
        <item x="73"/>
        <item x="242"/>
        <item x="482"/>
        <item x="352"/>
        <item x="177"/>
        <item x="284"/>
        <item x="330"/>
        <item x="107"/>
        <item x="248"/>
        <item x="459"/>
        <item x="85"/>
        <item x="90"/>
        <item x="444"/>
        <item x="454"/>
        <item x="191"/>
        <item x="484"/>
        <item x="45"/>
        <item x="231"/>
        <item x="124"/>
        <item x="276"/>
        <item x="420"/>
        <item x="175"/>
        <item x="417"/>
        <item x="477"/>
        <item x="116"/>
        <item x="56"/>
        <item x="23"/>
        <item x="174"/>
        <item x="241"/>
        <item x="89"/>
        <item x="412"/>
        <item x="33"/>
        <item x="429"/>
        <item x="67"/>
        <item x="44"/>
        <item x="136"/>
        <item x="88"/>
        <item x="227"/>
        <item x="419"/>
        <item x="461"/>
        <item x="327"/>
        <item x="222"/>
        <item x="212"/>
        <item x="112"/>
        <item x="476"/>
        <item x="119"/>
        <item x="126"/>
        <item x="381"/>
        <item x="142"/>
        <item x="253"/>
        <item x="219"/>
        <item x="393"/>
        <item x="347"/>
        <item x="435"/>
        <item x="346"/>
        <item x="409"/>
        <item x="440"/>
        <item x="204"/>
        <item x="483"/>
        <item x="434"/>
        <item x="379"/>
        <item x="267"/>
        <item x="266"/>
        <item x="372"/>
        <item x="225"/>
        <item x="134"/>
        <item x="139"/>
        <item x="239"/>
        <item x="69"/>
        <item x="486"/>
        <item x="373"/>
        <item x="416"/>
        <item x="81"/>
        <item x="209"/>
        <item x="321"/>
        <item x="158"/>
        <item x="76"/>
        <item x="423"/>
        <item x="285"/>
        <item x="315"/>
        <item x="343"/>
        <item x="325"/>
        <item x="303"/>
        <item x="426"/>
        <item x="53"/>
        <item x="289"/>
        <item x="383"/>
        <item x="68"/>
        <item x="471"/>
        <item x="17"/>
        <item x="328"/>
        <item x="338"/>
        <item x="43"/>
        <item x="18"/>
        <item x="183"/>
        <item x="14"/>
        <item x="485"/>
        <item x="48"/>
        <item x="132"/>
        <item x="57"/>
        <item x="95"/>
        <item x="200"/>
        <item x="333"/>
        <item x="40"/>
        <item x="189"/>
        <item x="387"/>
        <item x="145"/>
        <item x="96"/>
        <item x="396"/>
        <item x="364"/>
        <item x="5"/>
        <item x="323"/>
        <item x="268"/>
        <item x="210"/>
        <item x="3"/>
        <item x="221"/>
        <item x="270"/>
        <item x="148"/>
        <item x="427"/>
        <item x="281"/>
        <item x="478"/>
        <item x="1"/>
        <item x="0"/>
        <item x="251"/>
        <item x="60"/>
        <item x="363"/>
        <item x="182"/>
        <item x="103"/>
        <item x="406"/>
        <item x="62"/>
        <item x="196"/>
        <item x="291"/>
        <item x="359"/>
        <item x="332"/>
        <item x="436"/>
        <item x="179"/>
        <item x="197"/>
        <item x="83"/>
        <item x="344"/>
        <item x="120"/>
        <item x="430"/>
        <item x="457"/>
        <item x="217"/>
        <item x="425"/>
        <item x="247"/>
        <item x="168"/>
        <item x="342"/>
        <item x="233"/>
        <item x="164"/>
        <item x="24"/>
        <item x="147"/>
        <item x="271"/>
        <item x="133"/>
        <item x="115"/>
        <item x="205"/>
        <item x="207"/>
        <item x="309"/>
        <item x="439"/>
        <item x="140"/>
        <item x="194"/>
        <item x="31"/>
        <item x="19"/>
        <item x="341"/>
        <item x="94"/>
        <item x="229"/>
        <item x="240"/>
        <item x="55"/>
        <item x="469"/>
        <item x="118"/>
        <item x="394"/>
        <item x="365"/>
        <item x="202"/>
        <item x="358"/>
        <item x="371"/>
        <item x="302"/>
        <item x="131"/>
        <item x="93"/>
        <item x="398"/>
        <item x="220"/>
        <item x="135"/>
        <item x="226"/>
        <item x="351"/>
        <item x="422"/>
        <item x="153"/>
        <item x="307"/>
        <item x="235"/>
        <item x="52"/>
        <item x="171"/>
        <item x="433"/>
        <item x="353"/>
        <item x="215"/>
        <item x="298"/>
        <item x="8"/>
        <item x="304"/>
        <item x="141"/>
        <item x="286"/>
        <item x="66"/>
        <item x="479"/>
        <item x="50"/>
        <item x="280"/>
        <item x="20"/>
        <item x="170"/>
        <item x="98"/>
        <item x="234"/>
        <item x="162"/>
        <item x="361"/>
        <item x="155"/>
        <item x="15"/>
        <item x="301"/>
        <item x="42"/>
        <item x="324"/>
        <item x="274"/>
        <item x="255"/>
        <item x="340"/>
        <item x="305"/>
        <item x="375"/>
        <item x="223"/>
        <item x="128"/>
        <item x="269"/>
        <item x="100"/>
        <item x="442"/>
        <item x="432"/>
        <item x="203"/>
        <item x="390"/>
        <item t="default"/>
      </items>
    </pivotField>
    <pivotField showAll="0" measureFilter="1" sortType="descending" maxSubtotal="1">
      <items count="494">
        <item x="71"/>
        <item x="245"/>
        <item x="452"/>
        <item x="188"/>
        <item x="82"/>
        <item x="212"/>
        <item x="51"/>
        <item x="368"/>
        <item x="348"/>
        <item x="201"/>
        <item x="179"/>
        <item x="465"/>
        <item x="233"/>
        <item x="92"/>
        <item x="133"/>
        <item x="304"/>
        <item x="24"/>
        <item x="277"/>
        <item x="378"/>
        <item x="146"/>
        <item x="52"/>
        <item x="458"/>
        <item x="204"/>
        <item x="207"/>
        <item x="140"/>
        <item x="283"/>
        <item x="466"/>
        <item x="398"/>
        <item x="249"/>
        <item x="227"/>
        <item x="291"/>
        <item x="175"/>
        <item x="171"/>
        <item x="412"/>
        <item x="81"/>
        <item x="149"/>
        <item x="117"/>
        <item x="174"/>
        <item x="19"/>
        <item x="386"/>
        <item x="41"/>
        <item x="147"/>
        <item x="470"/>
        <item x="418"/>
        <item x="178"/>
        <item x="252"/>
        <item x="109"/>
        <item x="258"/>
        <item x="261"/>
        <item x="151"/>
        <item x="9"/>
        <item x="141"/>
        <item x="237"/>
        <item x="248"/>
        <item x="410"/>
        <item x="350"/>
        <item x="112"/>
        <item x="209"/>
        <item x="390"/>
        <item x="106"/>
        <item x="417"/>
        <item x="374"/>
        <item x="18"/>
        <item x="28"/>
        <item x="73"/>
        <item x="219"/>
        <item x="380"/>
        <item x="256"/>
        <item x="136"/>
        <item x="39"/>
        <item x="72"/>
        <item x="154"/>
        <item x="260"/>
        <item x="119"/>
        <item x="187"/>
        <item x="132"/>
        <item x="345"/>
        <item x="45"/>
        <item x="262"/>
        <item x="322"/>
        <item x="163"/>
        <item x="448"/>
        <item x="309"/>
        <item x="173"/>
        <item x="36"/>
        <item x="395"/>
        <item x="446"/>
        <item x="213"/>
        <item x="319"/>
        <item x="135"/>
        <item x="55"/>
        <item x="186"/>
        <item x="68"/>
        <item x="474"/>
        <item x="23"/>
        <item x="476"/>
        <item x="469"/>
        <item x="118"/>
        <item x="336"/>
        <item x="77"/>
        <item x="269"/>
        <item x="450"/>
        <item x="313"/>
        <item x="274"/>
        <item x="61"/>
        <item x="104"/>
        <item x="447"/>
        <item x="48"/>
        <item x="114"/>
        <item x="399"/>
        <item x="196"/>
        <item x="351"/>
        <item x="471"/>
        <item x="487"/>
        <item x="167"/>
        <item x="100"/>
        <item x="10"/>
        <item x="76"/>
        <item x="143"/>
        <item x="460"/>
        <item x="330"/>
        <item x="490"/>
        <item x="370"/>
        <item x="223"/>
        <item x="232"/>
        <item x="98"/>
        <item x="328"/>
        <item x="356"/>
        <item x="66"/>
        <item x="111"/>
        <item x="215"/>
        <item x="357"/>
        <item x="449"/>
        <item x="31"/>
        <item x="429"/>
        <item x="279"/>
        <item x="238"/>
        <item x="30"/>
        <item x="168"/>
        <item x="307"/>
        <item x="403"/>
        <item x="484"/>
        <item x="206"/>
        <item x="488"/>
        <item x="311"/>
        <item x="169"/>
        <item x="441"/>
        <item x="162"/>
        <item x="91"/>
        <item x="308"/>
        <item x="365"/>
        <item x="314"/>
        <item x="382"/>
        <item x="375"/>
        <item x="445"/>
        <item x="84"/>
        <item x="96"/>
        <item x="176"/>
        <item x="145"/>
        <item x="438"/>
        <item x="363"/>
        <item x="271"/>
        <item x="78"/>
        <item x="415"/>
        <item x="318"/>
        <item x="433"/>
        <item x="473"/>
        <item x="21"/>
        <item x="268"/>
        <item x="107"/>
        <item x="292"/>
        <item x="46"/>
        <item x="113"/>
        <item x="177"/>
        <item x="340"/>
        <item x="85"/>
        <item x="373"/>
        <item x="7"/>
        <item x="142"/>
        <item x="359"/>
        <item x="211"/>
        <item x="342"/>
        <item x="317"/>
        <item x="20"/>
        <item x="265"/>
        <item x="406"/>
        <item x="294"/>
        <item x="352"/>
        <item x="353"/>
        <item x="138"/>
        <item x="293"/>
        <item x="29"/>
        <item x="22"/>
        <item x="17"/>
        <item x="26"/>
        <item x="103"/>
        <item x="303"/>
        <item x="416"/>
        <item x="253"/>
        <item x="56"/>
        <item x="409"/>
        <item x="191"/>
        <item x="93"/>
        <item x="489"/>
        <item x="231"/>
        <item x="254"/>
        <item x="234"/>
        <item x="270"/>
        <item x="229"/>
        <item x="224"/>
        <item x="419"/>
        <item x="94"/>
        <item x="35"/>
        <item x="287"/>
        <item x="400"/>
        <item x="182"/>
        <item x="25"/>
        <item x="273"/>
        <item x="159"/>
        <item x="481"/>
        <item x="197"/>
        <item x="361"/>
        <item x="3"/>
        <item x="280"/>
        <item x="393"/>
        <item x="376"/>
        <item x="33"/>
        <item x="284"/>
        <item x="462"/>
        <item x="70"/>
        <item x="214"/>
        <item x="1"/>
        <item x="362"/>
        <item x="192"/>
        <item x="64"/>
        <item x="0"/>
        <item x="325"/>
        <item x="310"/>
        <item x="198"/>
        <item x="298"/>
        <item x="385"/>
        <item x="492"/>
        <item x="247"/>
        <item x="257"/>
        <item x="134"/>
        <item x="50"/>
        <item x="242"/>
        <item x="58"/>
        <item x="288"/>
        <item x="334"/>
        <item x="454"/>
        <item x="62"/>
        <item x="54"/>
        <item x="74"/>
        <item x="65"/>
        <item x="110"/>
        <item x="183"/>
        <item x="97"/>
        <item x="300"/>
        <item x="338"/>
        <item x="80"/>
        <item x="327"/>
        <item x="432"/>
        <item x="482"/>
        <item x="358"/>
        <item x="126"/>
        <item x="86"/>
        <item x="333"/>
        <item x="436"/>
        <item x="391"/>
        <item x="468"/>
        <item x="286"/>
        <item x="401"/>
        <item x="208"/>
        <item x="371"/>
        <item x="289"/>
        <item x="267"/>
        <item x="402"/>
        <item x="40"/>
        <item x="463"/>
        <item x="139"/>
        <item x="240"/>
        <item x="392"/>
        <item x="379"/>
        <item x="332"/>
        <item x="87"/>
        <item x="53"/>
        <item x="8"/>
        <item x="27"/>
        <item x="172"/>
        <item x="296"/>
        <item x="95"/>
        <item x="49"/>
        <item x="367"/>
        <item x="364"/>
        <item x="75"/>
        <item x="130"/>
        <item x="355"/>
        <item x="339"/>
        <item x="210"/>
        <item x="67"/>
        <item x="60"/>
        <item x="121"/>
        <item x="420"/>
        <item x="360"/>
        <item x="218"/>
        <item x="435"/>
        <item x="341"/>
        <item x="165"/>
        <item x="397"/>
        <item x="442"/>
        <item x="457"/>
        <item x="421"/>
        <item x="156"/>
        <item x="194"/>
        <item x="190"/>
        <item x="444"/>
        <item x="193"/>
        <item x="299"/>
        <item x="381"/>
        <item x="57"/>
        <item x="485"/>
        <item x="127"/>
        <item x="144"/>
        <item x="15"/>
        <item x="407"/>
        <item x="430"/>
        <item x="161"/>
        <item x="475"/>
        <item x="453"/>
        <item x="123"/>
        <item x="150"/>
        <item x="102"/>
        <item x="239"/>
        <item x="290"/>
        <item x="451"/>
        <item x="405"/>
        <item x="246"/>
        <item x="79"/>
        <item x="129"/>
        <item x="388"/>
        <item x="263"/>
        <item x="411"/>
        <item x="316"/>
        <item x="108"/>
        <item x="185"/>
        <item x="422"/>
        <item x="221"/>
        <item x="396"/>
        <item x="297"/>
        <item x="312"/>
        <item x="480"/>
        <item x="202"/>
        <item x="216"/>
        <item x="90"/>
        <item x="195"/>
        <item x="152"/>
        <item x="455"/>
        <item x="331"/>
        <item x="278"/>
        <item x="437"/>
        <item x="101"/>
        <item x="222"/>
        <item x="200"/>
        <item x="281"/>
        <item x="236"/>
        <item x="158"/>
        <item x="11"/>
        <item x="427"/>
        <item x="377"/>
        <item x="347"/>
        <item x="120"/>
        <item x="461"/>
        <item x="394"/>
        <item x="83"/>
        <item x="305"/>
        <item x="38"/>
        <item x="315"/>
        <item x="326"/>
        <item x="44"/>
        <item x="99"/>
        <item x="5"/>
        <item x="301"/>
        <item x="282"/>
        <item x="329"/>
        <item x="337"/>
        <item x="295"/>
        <item x="491"/>
        <item x="42"/>
        <item x="155"/>
        <item x="276"/>
        <item x="244"/>
        <item x="302"/>
        <item x="124"/>
        <item x="425"/>
        <item x="464"/>
        <item x="6"/>
        <item x="467"/>
        <item x="89"/>
        <item x="32"/>
        <item x="225"/>
        <item x="321"/>
        <item x="335"/>
        <item x="203"/>
        <item x="431"/>
        <item x="47"/>
        <item x="483"/>
        <item x="199"/>
        <item x="255"/>
        <item x="486"/>
        <item x="166"/>
        <item x="116"/>
        <item x="456"/>
        <item x="428"/>
        <item x="266"/>
        <item x="408"/>
        <item x="12"/>
        <item x="205"/>
        <item x="137"/>
        <item x="324"/>
        <item x="414"/>
        <item x="37"/>
        <item x="220"/>
        <item x="389"/>
        <item x="285"/>
        <item x="404"/>
        <item x="69"/>
        <item x="275"/>
        <item x="230"/>
        <item x="479"/>
        <item x="323"/>
        <item x="164"/>
        <item x="184"/>
        <item x="243"/>
        <item x="14"/>
        <item x="439"/>
        <item x="180"/>
        <item x="13"/>
        <item x="387"/>
        <item x="128"/>
        <item x="320"/>
        <item x="59"/>
        <item x="189"/>
        <item x="306"/>
        <item x="477"/>
        <item x="264"/>
        <item x="259"/>
        <item x="105"/>
        <item x="241"/>
        <item x="413"/>
        <item x="43"/>
        <item x="349"/>
        <item x="346"/>
        <item x="16"/>
        <item x="472"/>
        <item x="440"/>
        <item x="443"/>
        <item x="125"/>
        <item x="217"/>
        <item x="235"/>
        <item x="344"/>
        <item x="4"/>
        <item x="181"/>
        <item x="148"/>
        <item x="251"/>
        <item x="2"/>
        <item x="366"/>
        <item x="423"/>
        <item x="226"/>
        <item x="384"/>
        <item x="157"/>
        <item x="434"/>
        <item x="459"/>
        <item x="426"/>
        <item x="170"/>
        <item x="228"/>
        <item x="153"/>
        <item x="372"/>
        <item x="250"/>
        <item x="34"/>
        <item x="383"/>
        <item x="424"/>
        <item x="272"/>
        <item x="115"/>
        <item x="63"/>
        <item x="343"/>
        <item x="478"/>
        <item x="369"/>
        <item x="131"/>
        <item x="88"/>
        <item x="354"/>
        <item x="160"/>
        <item x="122"/>
        <item t="max"/>
      </items>
      <autoSortScope>
        <pivotArea dataOnly="0" outline="0" fieldPosition="0">
          <references count="1">
            <reference field="4294967294" count="1" selected="0">
              <x v="0"/>
            </reference>
          </references>
        </pivotArea>
      </autoSortScope>
    </pivotField>
    <pivotField showAll="0">
      <items count="6">
        <item x="3"/>
        <item x="1"/>
        <item x="2"/>
        <item x="0"/>
        <item x="4"/>
        <item t="default"/>
      </items>
    </pivotField>
    <pivotField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sortType="descending">
      <items count="14">
        <item x="12"/>
        <item x="7"/>
        <item x="9"/>
        <item x="2"/>
        <item x="1"/>
        <item x="11"/>
        <item x="6"/>
        <item x="5"/>
        <item x="0"/>
        <item x="3"/>
        <item x="10"/>
        <item x="4"/>
        <item x="8"/>
        <item t="default"/>
      </items>
      <autoSortScope>
        <pivotArea dataOnly="0" outline="0" fieldPosition="0">
          <references count="1">
            <reference field="4294967294" count="1" selected="0">
              <x v="0"/>
            </reference>
          </references>
        </pivotArea>
      </autoSortScope>
    </pivotField>
    <pivotField showAll="0"/>
    <pivotField numFmtId="164" showAll="0"/>
    <pivotField numFmtId="9" showAll="0"/>
    <pivotField dataField="1" numFmtId="164" showAll="0"/>
    <pivotField numFmtId="164" showAll="0"/>
    <pivotField showAll="0">
      <items count="4">
        <item x="2"/>
        <item x="0"/>
        <item x="1"/>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Total Sales " fld="11" showDataAs="percentOfCol" baseField="7" baseItem="0" numFmtId="10"/>
  </dataFields>
  <formats count="7">
    <format dxfId="44">
      <pivotArea dataOnly="0" labelOnly="1" outline="0" axis="axisValues" fieldPosition="0"/>
    </format>
    <format dxfId="43">
      <pivotArea outline="0" collapsedLevelsAreSubtotals="1" fieldPosition="0"/>
    </format>
    <format dxfId="42">
      <pivotArea collapsedLevelsAreSubtotals="1" fieldPosition="0">
        <references count="1">
          <reference field="2" count="0"/>
        </references>
      </pivotArea>
    </format>
    <format dxfId="41">
      <pivotArea outline="0" fieldPosition="0">
        <references count="1">
          <reference field="4294967294" count="1">
            <x v="0"/>
          </reference>
        </references>
      </pivotArea>
    </format>
    <format dxfId="40">
      <pivotArea collapsedLevelsAreSubtotals="1" fieldPosition="0">
        <references count="1">
          <reference field="2" count="1">
            <x v="0"/>
          </reference>
        </references>
      </pivotArea>
    </format>
    <format dxfId="39">
      <pivotArea collapsedLevelsAreSubtotals="1" fieldPosition="0">
        <references count="1">
          <reference field="2" count="11">
            <x v="1"/>
            <x v="2"/>
            <x v="3"/>
            <x v="4"/>
            <x v="5"/>
            <x v="6"/>
            <x v="7"/>
            <x v="8"/>
            <x v="9"/>
            <x v="10"/>
            <x v="11"/>
          </reference>
        </references>
      </pivotArea>
    </format>
    <format dxfId="38">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8"/>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7"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Payment Method">
  <location ref="K22:K23" firstHeaderRow="1" firstDataRow="1" firstDataCol="0"/>
  <pivotFields count="17">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13">
        <item x="5"/>
        <item x="8"/>
        <item x="7"/>
        <item x="9"/>
        <item x="11"/>
        <item x="2"/>
        <item x="4"/>
        <item x="0"/>
        <item x="1"/>
        <item x="6"/>
        <item x="10"/>
        <item x="3"/>
        <item t="default"/>
      </items>
    </pivotField>
    <pivotField showAll="0">
      <items count="490">
        <item x="467"/>
        <item x="480"/>
        <item x="181"/>
        <item x="329"/>
        <item x="331"/>
        <item x="2"/>
        <item x="178"/>
        <item x="143"/>
        <item x="146"/>
        <item x="354"/>
        <item x="195"/>
        <item x="246"/>
        <item x="488"/>
        <item x="470"/>
        <item x="92"/>
        <item x="157"/>
        <item x="109"/>
        <item x="310"/>
        <item x="401"/>
        <item x="91"/>
        <item x="65"/>
        <item x="380"/>
        <item x="355"/>
        <item x="405"/>
        <item x="386"/>
        <item x="193"/>
        <item x="312"/>
        <item x="152"/>
        <item x="392"/>
        <item x="22"/>
        <item x="211"/>
        <item x="260"/>
        <item x="397"/>
        <item x="9"/>
        <item x="86"/>
        <item x="357"/>
        <item x="249"/>
        <item x="113"/>
        <item x="199"/>
        <item x="54"/>
        <item x="287"/>
        <item x="122"/>
        <item x="263"/>
        <item x="190"/>
        <item x="410"/>
        <item x="159"/>
        <item x="438"/>
        <item x="208"/>
        <item x="4"/>
        <item x="456"/>
        <item x="336"/>
        <item x="384"/>
        <item x="473"/>
        <item x="224"/>
        <item x="282"/>
        <item x="30"/>
        <item x="413"/>
        <item x="369"/>
        <item x="404"/>
        <item x="468"/>
        <item x="167"/>
        <item x="26"/>
        <item x="451"/>
        <item x="10"/>
        <item x="58"/>
        <item x="6"/>
        <item x="25"/>
        <item x="366"/>
        <item x="150"/>
        <item x="34"/>
        <item x="475"/>
        <item x="184"/>
        <item x="21"/>
        <item x="80"/>
        <item x="455"/>
        <item x="130"/>
        <item x="46"/>
        <item x="450"/>
        <item x="172"/>
        <item x="163"/>
        <item x="13"/>
        <item x="464"/>
        <item x="449"/>
        <item x="337"/>
        <item x="283"/>
        <item x="300"/>
        <item x="7"/>
        <item x="376"/>
        <item x="403"/>
        <item x="138"/>
        <item x="250"/>
        <item x="408"/>
        <item x="368"/>
        <item x="370"/>
        <item x="316"/>
        <item x="144"/>
        <item x="173"/>
        <item x="296"/>
        <item x="187"/>
        <item x="121"/>
        <item x="201"/>
        <item x="63"/>
        <item x="206"/>
        <item x="443"/>
        <item x="37"/>
        <item x="446"/>
        <item x="149"/>
        <item x="154"/>
        <item x="47"/>
        <item x="36"/>
        <item x="400"/>
        <item x="265"/>
        <item x="41"/>
        <item x="185"/>
        <item x="356"/>
        <item x="198"/>
        <item x="259"/>
        <item x="339"/>
        <item x="104"/>
        <item x="114"/>
        <item x="297"/>
        <item x="313"/>
        <item x="292"/>
        <item x="79"/>
        <item x="275"/>
        <item x="38"/>
        <item x="317"/>
        <item x="161"/>
        <item x="117"/>
        <item x="335"/>
        <item x="84"/>
        <item x="74"/>
        <item x="415"/>
        <item x="318"/>
        <item x="322"/>
        <item x="87"/>
        <item x="273"/>
        <item x="465"/>
        <item x="261"/>
        <item x="213"/>
        <item x="306"/>
        <item x="348"/>
        <item x="288"/>
        <item x="389"/>
        <item x="431"/>
        <item x="295"/>
        <item x="414"/>
        <item x="424"/>
        <item x="70"/>
        <item x="388"/>
        <item x="32"/>
        <item x="421"/>
        <item x="214"/>
        <item x="378"/>
        <item x="447"/>
        <item x="290"/>
        <item x="256"/>
        <item x="156"/>
        <item x="466"/>
        <item x="77"/>
        <item x="127"/>
        <item x="257"/>
        <item x="106"/>
        <item x="367"/>
        <item x="458"/>
        <item x="385"/>
        <item x="277"/>
        <item x="29"/>
        <item x="27"/>
        <item x="166"/>
        <item x="445"/>
        <item x="105"/>
        <item x="75"/>
        <item x="129"/>
        <item x="262"/>
        <item x="311"/>
        <item x="391"/>
        <item x="160"/>
        <item x="137"/>
        <item x="176"/>
        <item x="243"/>
        <item x="125"/>
        <item x="78"/>
        <item x="428"/>
        <item x="123"/>
        <item x="395"/>
        <item x="362"/>
        <item x="237"/>
        <item x="64"/>
        <item x="334"/>
        <item x="474"/>
        <item x="108"/>
        <item x="314"/>
        <item x="12"/>
        <item x="51"/>
        <item x="39"/>
        <item x="236"/>
        <item x="186"/>
        <item x="216"/>
        <item x="82"/>
        <item x="345"/>
        <item x="35"/>
        <item x="165"/>
        <item x="407"/>
        <item x="258"/>
        <item x="272"/>
        <item x="377"/>
        <item x="101"/>
        <item x="218"/>
        <item x="279"/>
        <item x="230"/>
        <item x="326"/>
        <item x="299"/>
        <item x="320"/>
        <item x="61"/>
        <item x="252"/>
        <item x="481"/>
        <item x="472"/>
        <item x="245"/>
        <item x="180"/>
        <item x="71"/>
        <item x="188"/>
        <item x="294"/>
        <item x="111"/>
        <item x="264"/>
        <item x="462"/>
        <item x="16"/>
        <item x="319"/>
        <item x="28"/>
        <item x="460"/>
        <item x="192"/>
        <item x="360"/>
        <item x="463"/>
        <item x="228"/>
        <item x="437"/>
        <item x="293"/>
        <item x="402"/>
        <item x="418"/>
        <item x="452"/>
        <item x="102"/>
        <item x="349"/>
        <item x="411"/>
        <item x="232"/>
        <item x="453"/>
        <item x="97"/>
        <item x="374"/>
        <item x="487"/>
        <item x="49"/>
        <item x="399"/>
        <item x="99"/>
        <item x="59"/>
        <item x="72"/>
        <item x="308"/>
        <item x="11"/>
        <item x="382"/>
        <item x="278"/>
        <item x="110"/>
        <item x="244"/>
        <item x="448"/>
        <item x="151"/>
        <item x="350"/>
        <item x="238"/>
        <item x="441"/>
        <item x="254"/>
        <item x="169"/>
        <item x="73"/>
        <item x="242"/>
        <item x="482"/>
        <item x="352"/>
        <item x="177"/>
        <item x="284"/>
        <item x="330"/>
        <item x="107"/>
        <item x="248"/>
        <item x="459"/>
        <item x="85"/>
        <item x="90"/>
        <item x="444"/>
        <item x="454"/>
        <item x="191"/>
        <item x="484"/>
        <item x="45"/>
        <item x="231"/>
        <item x="124"/>
        <item x="276"/>
        <item x="420"/>
        <item x="175"/>
        <item x="417"/>
        <item x="477"/>
        <item x="116"/>
        <item x="56"/>
        <item x="23"/>
        <item x="174"/>
        <item x="241"/>
        <item x="89"/>
        <item x="412"/>
        <item x="33"/>
        <item x="429"/>
        <item x="67"/>
        <item x="44"/>
        <item x="136"/>
        <item x="88"/>
        <item x="227"/>
        <item x="419"/>
        <item x="461"/>
        <item x="327"/>
        <item x="222"/>
        <item x="212"/>
        <item x="112"/>
        <item x="476"/>
        <item x="119"/>
        <item x="126"/>
        <item x="381"/>
        <item x="142"/>
        <item x="253"/>
        <item x="219"/>
        <item x="393"/>
        <item x="347"/>
        <item x="435"/>
        <item x="346"/>
        <item x="409"/>
        <item x="440"/>
        <item x="204"/>
        <item x="483"/>
        <item x="434"/>
        <item x="379"/>
        <item x="267"/>
        <item x="266"/>
        <item x="372"/>
        <item x="225"/>
        <item x="134"/>
        <item x="139"/>
        <item x="239"/>
        <item x="69"/>
        <item x="486"/>
        <item x="373"/>
        <item x="416"/>
        <item x="81"/>
        <item x="209"/>
        <item x="321"/>
        <item x="158"/>
        <item x="76"/>
        <item x="423"/>
        <item x="285"/>
        <item x="315"/>
        <item x="343"/>
        <item x="325"/>
        <item x="303"/>
        <item x="426"/>
        <item x="53"/>
        <item x="289"/>
        <item x="383"/>
        <item x="68"/>
        <item x="471"/>
        <item x="17"/>
        <item x="328"/>
        <item x="338"/>
        <item x="43"/>
        <item x="18"/>
        <item x="183"/>
        <item x="14"/>
        <item x="485"/>
        <item x="48"/>
        <item x="132"/>
        <item x="57"/>
        <item x="95"/>
        <item x="200"/>
        <item x="333"/>
        <item x="40"/>
        <item x="189"/>
        <item x="387"/>
        <item x="145"/>
        <item x="96"/>
        <item x="396"/>
        <item x="364"/>
        <item x="5"/>
        <item x="323"/>
        <item x="268"/>
        <item x="210"/>
        <item x="3"/>
        <item x="221"/>
        <item x="270"/>
        <item x="148"/>
        <item x="427"/>
        <item x="281"/>
        <item x="478"/>
        <item x="1"/>
        <item x="0"/>
        <item x="251"/>
        <item x="60"/>
        <item x="363"/>
        <item x="182"/>
        <item x="103"/>
        <item x="406"/>
        <item x="62"/>
        <item x="196"/>
        <item x="291"/>
        <item x="359"/>
        <item x="332"/>
        <item x="436"/>
        <item x="179"/>
        <item x="197"/>
        <item x="83"/>
        <item x="344"/>
        <item x="120"/>
        <item x="430"/>
        <item x="457"/>
        <item x="217"/>
        <item x="425"/>
        <item x="247"/>
        <item x="168"/>
        <item x="342"/>
        <item x="233"/>
        <item x="164"/>
        <item x="24"/>
        <item x="147"/>
        <item x="271"/>
        <item x="133"/>
        <item x="115"/>
        <item x="205"/>
        <item x="207"/>
        <item x="309"/>
        <item x="439"/>
        <item x="140"/>
        <item x="194"/>
        <item x="31"/>
        <item x="19"/>
        <item x="341"/>
        <item x="94"/>
        <item x="229"/>
        <item x="240"/>
        <item x="55"/>
        <item x="469"/>
        <item x="118"/>
        <item x="394"/>
        <item x="365"/>
        <item x="202"/>
        <item x="358"/>
        <item x="371"/>
        <item x="302"/>
        <item x="131"/>
        <item x="93"/>
        <item x="398"/>
        <item x="220"/>
        <item x="135"/>
        <item x="226"/>
        <item x="351"/>
        <item x="422"/>
        <item x="153"/>
        <item x="307"/>
        <item x="235"/>
        <item x="52"/>
        <item x="171"/>
        <item x="433"/>
        <item x="353"/>
        <item x="215"/>
        <item x="298"/>
        <item x="8"/>
        <item x="304"/>
        <item x="141"/>
        <item x="286"/>
        <item x="66"/>
        <item x="479"/>
        <item x="50"/>
        <item x="280"/>
        <item x="20"/>
        <item x="170"/>
        <item x="98"/>
        <item x="234"/>
        <item x="162"/>
        <item x="361"/>
        <item x="155"/>
        <item x="15"/>
        <item x="301"/>
        <item x="42"/>
        <item x="324"/>
        <item x="274"/>
        <item x="255"/>
        <item x="340"/>
        <item x="305"/>
        <item x="375"/>
        <item x="223"/>
        <item x="128"/>
        <item x="269"/>
        <item x="100"/>
        <item x="442"/>
        <item x="432"/>
        <item x="203"/>
        <item x="390"/>
        <item t="default"/>
      </items>
    </pivotField>
    <pivotField showAll="0" maxSubtotal="1">
      <items count="494">
        <item x="71"/>
        <item x="245"/>
        <item x="452"/>
        <item x="188"/>
        <item x="82"/>
        <item x="212"/>
        <item x="51"/>
        <item x="368"/>
        <item x="348"/>
        <item x="201"/>
        <item x="179"/>
        <item x="465"/>
        <item x="233"/>
        <item x="92"/>
        <item x="133"/>
        <item x="304"/>
        <item x="24"/>
        <item x="277"/>
        <item x="378"/>
        <item x="146"/>
        <item x="52"/>
        <item x="458"/>
        <item x="204"/>
        <item x="207"/>
        <item x="140"/>
        <item x="283"/>
        <item x="466"/>
        <item x="398"/>
        <item x="249"/>
        <item x="227"/>
        <item x="291"/>
        <item x="175"/>
        <item x="171"/>
        <item x="412"/>
        <item x="81"/>
        <item x="149"/>
        <item x="117"/>
        <item x="174"/>
        <item x="19"/>
        <item x="386"/>
        <item x="41"/>
        <item x="147"/>
        <item x="470"/>
        <item x="418"/>
        <item x="178"/>
        <item x="252"/>
        <item x="109"/>
        <item x="258"/>
        <item x="261"/>
        <item x="151"/>
        <item x="9"/>
        <item x="141"/>
        <item x="237"/>
        <item x="248"/>
        <item x="410"/>
        <item x="350"/>
        <item x="112"/>
        <item x="209"/>
        <item x="390"/>
        <item x="106"/>
        <item x="417"/>
        <item x="374"/>
        <item x="18"/>
        <item x="28"/>
        <item x="73"/>
        <item x="219"/>
        <item x="380"/>
        <item x="256"/>
        <item x="136"/>
        <item x="39"/>
        <item x="72"/>
        <item x="154"/>
        <item x="260"/>
        <item x="119"/>
        <item x="187"/>
        <item x="132"/>
        <item x="345"/>
        <item x="45"/>
        <item x="262"/>
        <item x="322"/>
        <item x="163"/>
        <item x="448"/>
        <item x="309"/>
        <item x="173"/>
        <item x="36"/>
        <item x="395"/>
        <item x="446"/>
        <item x="213"/>
        <item x="319"/>
        <item x="135"/>
        <item x="55"/>
        <item x="186"/>
        <item x="68"/>
        <item x="474"/>
        <item x="23"/>
        <item x="476"/>
        <item x="469"/>
        <item x="118"/>
        <item x="336"/>
        <item x="77"/>
        <item x="269"/>
        <item x="450"/>
        <item x="313"/>
        <item x="274"/>
        <item x="61"/>
        <item x="104"/>
        <item x="447"/>
        <item x="48"/>
        <item x="114"/>
        <item x="399"/>
        <item x="196"/>
        <item x="351"/>
        <item x="471"/>
        <item x="487"/>
        <item x="167"/>
        <item x="100"/>
        <item x="10"/>
        <item x="76"/>
        <item x="143"/>
        <item x="460"/>
        <item x="330"/>
        <item x="490"/>
        <item x="370"/>
        <item x="223"/>
        <item x="232"/>
        <item x="98"/>
        <item x="328"/>
        <item x="356"/>
        <item x="66"/>
        <item x="111"/>
        <item x="215"/>
        <item x="357"/>
        <item x="449"/>
        <item x="31"/>
        <item x="429"/>
        <item x="279"/>
        <item x="238"/>
        <item x="30"/>
        <item x="168"/>
        <item x="307"/>
        <item x="403"/>
        <item x="484"/>
        <item x="206"/>
        <item x="488"/>
        <item x="311"/>
        <item x="169"/>
        <item x="441"/>
        <item x="162"/>
        <item x="91"/>
        <item x="308"/>
        <item x="365"/>
        <item x="314"/>
        <item x="382"/>
        <item x="375"/>
        <item x="445"/>
        <item x="84"/>
        <item x="96"/>
        <item x="176"/>
        <item x="145"/>
        <item x="438"/>
        <item x="363"/>
        <item x="271"/>
        <item x="78"/>
        <item x="415"/>
        <item x="318"/>
        <item x="433"/>
        <item x="473"/>
        <item x="21"/>
        <item x="268"/>
        <item x="107"/>
        <item x="292"/>
        <item x="46"/>
        <item x="113"/>
        <item x="177"/>
        <item x="340"/>
        <item x="85"/>
        <item x="373"/>
        <item x="7"/>
        <item x="142"/>
        <item x="359"/>
        <item x="211"/>
        <item x="342"/>
        <item x="317"/>
        <item x="20"/>
        <item x="265"/>
        <item x="406"/>
        <item x="294"/>
        <item x="352"/>
        <item x="353"/>
        <item x="138"/>
        <item x="293"/>
        <item x="29"/>
        <item x="22"/>
        <item x="17"/>
        <item x="26"/>
        <item x="103"/>
        <item x="303"/>
        <item x="416"/>
        <item x="253"/>
        <item x="56"/>
        <item x="409"/>
        <item x="191"/>
        <item x="93"/>
        <item x="489"/>
        <item x="231"/>
        <item x="254"/>
        <item x="234"/>
        <item x="270"/>
        <item x="229"/>
        <item x="224"/>
        <item x="419"/>
        <item x="94"/>
        <item x="35"/>
        <item x="287"/>
        <item x="400"/>
        <item x="182"/>
        <item x="25"/>
        <item x="273"/>
        <item x="159"/>
        <item x="481"/>
        <item x="197"/>
        <item x="361"/>
        <item x="3"/>
        <item x="280"/>
        <item x="393"/>
        <item x="376"/>
        <item x="33"/>
        <item x="284"/>
        <item x="462"/>
        <item x="70"/>
        <item x="214"/>
        <item x="1"/>
        <item x="362"/>
        <item x="192"/>
        <item x="64"/>
        <item x="0"/>
        <item x="325"/>
        <item x="310"/>
        <item x="198"/>
        <item x="298"/>
        <item x="385"/>
        <item x="492"/>
        <item x="247"/>
        <item x="257"/>
        <item x="134"/>
        <item x="50"/>
        <item x="242"/>
        <item x="58"/>
        <item x="288"/>
        <item x="334"/>
        <item x="454"/>
        <item x="62"/>
        <item x="54"/>
        <item x="74"/>
        <item x="65"/>
        <item x="110"/>
        <item x="183"/>
        <item x="97"/>
        <item x="300"/>
        <item x="338"/>
        <item x="80"/>
        <item x="327"/>
        <item x="432"/>
        <item x="482"/>
        <item x="358"/>
        <item x="126"/>
        <item x="86"/>
        <item x="333"/>
        <item x="436"/>
        <item x="391"/>
        <item x="468"/>
        <item x="286"/>
        <item x="401"/>
        <item x="208"/>
        <item x="371"/>
        <item x="289"/>
        <item x="267"/>
        <item x="402"/>
        <item x="40"/>
        <item x="463"/>
        <item x="139"/>
        <item x="240"/>
        <item x="392"/>
        <item x="379"/>
        <item x="332"/>
        <item x="87"/>
        <item x="53"/>
        <item x="8"/>
        <item x="27"/>
        <item x="172"/>
        <item x="296"/>
        <item x="95"/>
        <item x="49"/>
        <item x="367"/>
        <item x="364"/>
        <item x="75"/>
        <item x="130"/>
        <item x="355"/>
        <item x="339"/>
        <item x="210"/>
        <item x="67"/>
        <item x="60"/>
        <item x="121"/>
        <item x="420"/>
        <item x="360"/>
        <item x="218"/>
        <item x="435"/>
        <item x="341"/>
        <item x="165"/>
        <item x="397"/>
        <item x="442"/>
        <item x="457"/>
        <item x="421"/>
        <item x="156"/>
        <item x="194"/>
        <item x="190"/>
        <item x="444"/>
        <item x="193"/>
        <item x="299"/>
        <item x="381"/>
        <item x="57"/>
        <item x="485"/>
        <item x="127"/>
        <item x="144"/>
        <item x="15"/>
        <item x="407"/>
        <item x="430"/>
        <item x="161"/>
        <item x="475"/>
        <item x="453"/>
        <item x="123"/>
        <item x="150"/>
        <item x="102"/>
        <item x="239"/>
        <item x="290"/>
        <item x="451"/>
        <item x="405"/>
        <item x="246"/>
        <item x="79"/>
        <item x="129"/>
        <item x="388"/>
        <item x="263"/>
        <item x="411"/>
        <item x="316"/>
        <item x="108"/>
        <item x="185"/>
        <item x="422"/>
        <item x="221"/>
        <item x="396"/>
        <item x="297"/>
        <item x="312"/>
        <item x="480"/>
        <item x="202"/>
        <item x="216"/>
        <item x="90"/>
        <item x="195"/>
        <item x="152"/>
        <item x="455"/>
        <item x="331"/>
        <item x="278"/>
        <item x="437"/>
        <item x="101"/>
        <item x="222"/>
        <item x="200"/>
        <item x="281"/>
        <item x="236"/>
        <item x="158"/>
        <item x="11"/>
        <item x="427"/>
        <item x="377"/>
        <item x="347"/>
        <item x="120"/>
        <item x="461"/>
        <item x="394"/>
        <item x="83"/>
        <item x="305"/>
        <item x="38"/>
        <item x="315"/>
        <item x="326"/>
        <item x="44"/>
        <item x="99"/>
        <item x="5"/>
        <item x="301"/>
        <item x="282"/>
        <item x="329"/>
        <item x="337"/>
        <item x="295"/>
        <item x="491"/>
        <item x="42"/>
        <item x="155"/>
        <item x="276"/>
        <item x="244"/>
        <item x="302"/>
        <item x="124"/>
        <item x="425"/>
        <item x="464"/>
        <item x="6"/>
        <item x="467"/>
        <item x="89"/>
        <item x="32"/>
        <item x="225"/>
        <item x="321"/>
        <item x="335"/>
        <item x="203"/>
        <item x="431"/>
        <item x="47"/>
        <item x="483"/>
        <item x="199"/>
        <item x="255"/>
        <item x="486"/>
        <item x="166"/>
        <item x="116"/>
        <item x="456"/>
        <item x="428"/>
        <item x="266"/>
        <item x="408"/>
        <item x="12"/>
        <item x="205"/>
        <item x="137"/>
        <item x="324"/>
        <item x="414"/>
        <item x="37"/>
        <item x="220"/>
        <item x="389"/>
        <item x="285"/>
        <item x="404"/>
        <item x="69"/>
        <item x="275"/>
        <item x="230"/>
        <item x="479"/>
        <item x="323"/>
        <item x="164"/>
        <item x="184"/>
        <item x="243"/>
        <item x="14"/>
        <item x="439"/>
        <item x="180"/>
        <item x="13"/>
        <item x="387"/>
        <item x="128"/>
        <item x="320"/>
        <item x="59"/>
        <item x="189"/>
        <item x="306"/>
        <item x="477"/>
        <item x="264"/>
        <item x="259"/>
        <item x="105"/>
        <item x="241"/>
        <item x="413"/>
        <item x="43"/>
        <item x="349"/>
        <item x="346"/>
        <item x="16"/>
        <item x="472"/>
        <item x="440"/>
        <item x="443"/>
        <item x="125"/>
        <item x="217"/>
        <item x="235"/>
        <item x="344"/>
        <item x="4"/>
        <item x="181"/>
        <item x="148"/>
        <item x="251"/>
        <item x="2"/>
        <item x="366"/>
        <item x="423"/>
        <item x="226"/>
        <item x="384"/>
        <item x="157"/>
        <item x="434"/>
        <item x="459"/>
        <item x="426"/>
        <item x="170"/>
        <item x="228"/>
        <item x="153"/>
        <item x="372"/>
        <item x="250"/>
        <item x="34"/>
        <item x="383"/>
        <item x="424"/>
        <item x="272"/>
        <item x="115"/>
        <item x="63"/>
        <item x="343"/>
        <item x="478"/>
        <item x="369"/>
        <item x="131"/>
        <item x="88"/>
        <item x="354"/>
        <item x="160"/>
        <item x="122"/>
        <item t="max"/>
      </items>
    </pivotField>
    <pivotField showAll="0">
      <items count="6">
        <item x="3"/>
        <item x="1"/>
        <item x="2"/>
        <item x="0"/>
        <item x="4"/>
        <item t="default"/>
      </items>
    </pivotField>
    <pivotField showAll="0"/>
    <pivotField showAll="0">
      <items count="14">
        <item x="12"/>
        <item x="7"/>
        <item x="9"/>
        <item x="2"/>
        <item x="1"/>
        <item x="11"/>
        <item x="6"/>
        <item x="5"/>
        <item x="0"/>
        <item x="3"/>
        <item x="10"/>
        <item x="4"/>
        <item x="8"/>
        <item t="default"/>
      </items>
    </pivotField>
    <pivotField showAll="0"/>
    <pivotField numFmtId="164" showAll="0"/>
    <pivotField numFmtId="9" showAll="0"/>
    <pivotField numFmtId="164" showAll="0"/>
    <pivotField numFmtId="164" showAll="0"/>
    <pivotField showAll="0">
      <items count="4">
        <item x="2"/>
        <item x="0"/>
        <item x="1"/>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Orders" fld="0" subtotal="count" baseField="0" baseItem="5"/>
  </dataFields>
  <formats count="2">
    <format dxfId="46">
      <pivotArea dataOnly="0" labelOnly="1" outline="0" axis="axisValues" fieldPosition="0"/>
    </format>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2" rowHeaderCaption="Region">
  <location ref="E21:E22" firstHeaderRow="1" firstDataRow="1" firstDataCol="0"/>
  <pivotFields count="17">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13">
        <item x="5"/>
        <item x="8"/>
        <item x="7"/>
        <item x="9"/>
        <item x="11"/>
        <item x="2"/>
        <item x="4"/>
        <item x="0"/>
        <item x="1"/>
        <item x="6"/>
        <item x="10"/>
        <item x="3"/>
        <item t="default"/>
      </items>
    </pivotField>
    <pivotField dataField="1" showAll="0">
      <items count="490">
        <item x="467"/>
        <item x="480"/>
        <item x="181"/>
        <item x="329"/>
        <item x="331"/>
        <item x="2"/>
        <item x="178"/>
        <item x="143"/>
        <item x="146"/>
        <item x="354"/>
        <item x="195"/>
        <item x="246"/>
        <item x="488"/>
        <item x="470"/>
        <item x="92"/>
        <item x="157"/>
        <item x="109"/>
        <item x="310"/>
        <item x="401"/>
        <item x="91"/>
        <item x="65"/>
        <item x="380"/>
        <item x="355"/>
        <item x="405"/>
        <item x="386"/>
        <item x="193"/>
        <item x="312"/>
        <item x="152"/>
        <item x="392"/>
        <item x="22"/>
        <item x="211"/>
        <item x="260"/>
        <item x="397"/>
        <item x="9"/>
        <item x="86"/>
        <item x="357"/>
        <item x="249"/>
        <item x="113"/>
        <item x="199"/>
        <item x="54"/>
        <item x="287"/>
        <item x="122"/>
        <item x="263"/>
        <item x="190"/>
        <item x="410"/>
        <item x="159"/>
        <item x="438"/>
        <item x="208"/>
        <item x="4"/>
        <item x="456"/>
        <item x="336"/>
        <item x="384"/>
        <item x="473"/>
        <item x="224"/>
        <item x="282"/>
        <item x="30"/>
        <item x="413"/>
        <item x="369"/>
        <item x="404"/>
        <item x="468"/>
        <item x="167"/>
        <item x="26"/>
        <item x="451"/>
        <item x="10"/>
        <item x="58"/>
        <item x="6"/>
        <item x="25"/>
        <item x="366"/>
        <item x="150"/>
        <item x="34"/>
        <item x="475"/>
        <item x="184"/>
        <item x="21"/>
        <item x="80"/>
        <item x="455"/>
        <item x="130"/>
        <item x="46"/>
        <item x="450"/>
        <item x="172"/>
        <item x="163"/>
        <item x="13"/>
        <item x="464"/>
        <item x="449"/>
        <item x="337"/>
        <item x="283"/>
        <item x="300"/>
        <item x="7"/>
        <item x="376"/>
        <item x="403"/>
        <item x="138"/>
        <item x="250"/>
        <item x="408"/>
        <item x="368"/>
        <item x="370"/>
        <item x="316"/>
        <item x="144"/>
        <item x="173"/>
        <item x="296"/>
        <item x="187"/>
        <item x="121"/>
        <item x="201"/>
        <item x="63"/>
        <item x="206"/>
        <item x="443"/>
        <item x="37"/>
        <item x="446"/>
        <item x="149"/>
        <item x="154"/>
        <item x="47"/>
        <item x="36"/>
        <item x="400"/>
        <item x="265"/>
        <item x="41"/>
        <item x="185"/>
        <item x="356"/>
        <item x="198"/>
        <item x="259"/>
        <item x="339"/>
        <item x="104"/>
        <item x="114"/>
        <item x="297"/>
        <item x="313"/>
        <item x="292"/>
        <item x="79"/>
        <item x="275"/>
        <item x="38"/>
        <item x="317"/>
        <item x="161"/>
        <item x="117"/>
        <item x="335"/>
        <item x="84"/>
        <item x="74"/>
        <item x="415"/>
        <item x="318"/>
        <item x="322"/>
        <item x="87"/>
        <item x="273"/>
        <item x="465"/>
        <item x="261"/>
        <item x="213"/>
        <item x="306"/>
        <item x="348"/>
        <item x="288"/>
        <item x="389"/>
        <item x="431"/>
        <item x="295"/>
        <item x="414"/>
        <item x="424"/>
        <item x="70"/>
        <item x="388"/>
        <item x="32"/>
        <item x="421"/>
        <item x="214"/>
        <item x="378"/>
        <item x="447"/>
        <item x="290"/>
        <item x="256"/>
        <item x="156"/>
        <item x="466"/>
        <item x="77"/>
        <item x="127"/>
        <item x="257"/>
        <item x="106"/>
        <item x="367"/>
        <item x="458"/>
        <item x="385"/>
        <item x="277"/>
        <item x="29"/>
        <item x="27"/>
        <item x="166"/>
        <item x="445"/>
        <item x="105"/>
        <item x="75"/>
        <item x="129"/>
        <item x="262"/>
        <item x="311"/>
        <item x="391"/>
        <item x="160"/>
        <item x="137"/>
        <item x="176"/>
        <item x="243"/>
        <item x="125"/>
        <item x="78"/>
        <item x="428"/>
        <item x="123"/>
        <item x="395"/>
        <item x="362"/>
        <item x="237"/>
        <item x="64"/>
        <item x="334"/>
        <item x="474"/>
        <item x="108"/>
        <item x="314"/>
        <item x="12"/>
        <item x="51"/>
        <item x="39"/>
        <item x="236"/>
        <item x="186"/>
        <item x="216"/>
        <item x="82"/>
        <item x="345"/>
        <item x="35"/>
        <item x="165"/>
        <item x="407"/>
        <item x="258"/>
        <item x="272"/>
        <item x="377"/>
        <item x="101"/>
        <item x="218"/>
        <item x="279"/>
        <item x="230"/>
        <item x="326"/>
        <item x="299"/>
        <item x="320"/>
        <item x="61"/>
        <item x="252"/>
        <item x="481"/>
        <item x="472"/>
        <item x="245"/>
        <item x="180"/>
        <item x="71"/>
        <item x="188"/>
        <item x="294"/>
        <item x="111"/>
        <item x="264"/>
        <item x="462"/>
        <item x="16"/>
        <item x="319"/>
        <item x="28"/>
        <item x="460"/>
        <item x="192"/>
        <item x="360"/>
        <item x="463"/>
        <item x="228"/>
        <item x="437"/>
        <item x="293"/>
        <item x="402"/>
        <item x="418"/>
        <item x="452"/>
        <item x="102"/>
        <item x="349"/>
        <item x="411"/>
        <item x="232"/>
        <item x="453"/>
        <item x="97"/>
        <item x="374"/>
        <item x="487"/>
        <item x="49"/>
        <item x="399"/>
        <item x="99"/>
        <item x="59"/>
        <item x="72"/>
        <item x="308"/>
        <item x="11"/>
        <item x="382"/>
        <item x="278"/>
        <item x="110"/>
        <item x="244"/>
        <item x="448"/>
        <item x="151"/>
        <item x="350"/>
        <item x="238"/>
        <item x="441"/>
        <item x="254"/>
        <item x="169"/>
        <item x="73"/>
        <item x="242"/>
        <item x="482"/>
        <item x="352"/>
        <item x="177"/>
        <item x="284"/>
        <item x="330"/>
        <item x="107"/>
        <item x="248"/>
        <item x="459"/>
        <item x="85"/>
        <item x="90"/>
        <item x="444"/>
        <item x="454"/>
        <item x="191"/>
        <item x="484"/>
        <item x="45"/>
        <item x="231"/>
        <item x="124"/>
        <item x="276"/>
        <item x="420"/>
        <item x="175"/>
        <item x="417"/>
        <item x="477"/>
        <item x="116"/>
        <item x="56"/>
        <item x="23"/>
        <item x="174"/>
        <item x="241"/>
        <item x="89"/>
        <item x="412"/>
        <item x="33"/>
        <item x="429"/>
        <item x="67"/>
        <item x="44"/>
        <item x="136"/>
        <item x="88"/>
        <item x="227"/>
        <item x="419"/>
        <item x="461"/>
        <item x="327"/>
        <item x="222"/>
        <item x="212"/>
        <item x="112"/>
        <item x="476"/>
        <item x="119"/>
        <item x="126"/>
        <item x="381"/>
        <item x="142"/>
        <item x="253"/>
        <item x="219"/>
        <item x="393"/>
        <item x="347"/>
        <item x="435"/>
        <item x="346"/>
        <item x="409"/>
        <item x="440"/>
        <item x="204"/>
        <item x="483"/>
        <item x="434"/>
        <item x="379"/>
        <item x="267"/>
        <item x="266"/>
        <item x="372"/>
        <item x="225"/>
        <item x="134"/>
        <item x="139"/>
        <item x="239"/>
        <item x="69"/>
        <item x="486"/>
        <item x="373"/>
        <item x="416"/>
        <item x="81"/>
        <item x="209"/>
        <item x="321"/>
        <item x="158"/>
        <item x="76"/>
        <item x="423"/>
        <item x="285"/>
        <item x="315"/>
        <item x="343"/>
        <item x="325"/>
        <item x="303"/>
        <item x="426"/>
        <item x="53"/>
        <item x="289"/>
        <item x="383"/>
        <item x="68"/>
        <item x="471"/>
        <item x="17"/>
        <item x="328"/>
        <item x="338"/>
        <item x="43"/>
        <item x="18"/>
        <item x="183"/>
        <item x="14"/>
        <item x="485"/>
        <item x="48"/>
        <item x="132"/>
        <item x="57"/>
        <item x="95"/>
        <item x="200"/>
        <item x="333"/>
        <item x="40"/>
        <item x="189"/>
        <item x="387"/>
        <item x="145"/>
        <item x="96"/>
        <item x="396"/>
        <item x="364"/>
        <item x="5"/>
        <item x="323"/>
        <item x="268"/>
        <item x="210"/>
        <item x="3"/>
        <item x="221"/>
        <item x="270"/>
        <item x="148"/>
        <item x="427"/>
        <item x="281"/>
        <item x="478"/>
        <item x="1"/>
        <item x="0"/>
        <item x="251"/>
        <item x="60"/>
        <item x="363"/>
        <item x="182"/>
        <item x="103"/>
        <item x="406"/>
        <item x="62"/>
        <item x="196"/>
        <item x="291"/>
        <item x="359"/>
        <item x="332"/>
        <item x="436"/>
        <item x="179"/>
        <item x="197"/>
        <item x="83"/>
        <item x="344"/>
        <item x="120"/>
        <item x="430"/>
        <item x="457"/>
        <item x="217"/>
        <item x="425"/>
        <item x="247"/>
        <item x="168"/>
        <item x="342"/>
        <item x="233"/>
        <item x="164"/>
        <item x="24"/>
        <item x="147"/>
        <item x="271"/>
        <item x="133"/>
        <item x="115"/>
        <item x="205"/>
        <item x="207"/>
        <item x="309"/>
        <item x="439"/>
        <item x="140"/>
        <item x="194"/>
        <item x="31"/>
        <item x="19"/>
        <item x="341"/>
        <item x="94"/>
        <item x="229"/>
        <item x="240"/>
        <item x="55"/>
        <item x="469"/>
        <item x="118"/>
        <item x="394"/>
        <item x="365"/>
        <item x="202"/>
        <item x="358"/>
        <item x="371"/>
        <item x="302"/>
        <item x="131"/>
        <item x="93"/>
        <item x="398"/>
        <item x="220"/>
        <item x="135"/>
        <item x="226"/>
        <item x="351"/>
        <item x="422"/>
        <item x="153"/>
        <item x="307"/>
        <item x="235"/>
        <item x="52"/>
        <item x="171"/>
        <item x="433"/>
        <item x="353"/>
        <item x="215"/>
        <item x="298"/>
        <item x="8"/>
        <item x="304"/>
        <item x="141"/>
        <item x="286"/>
        <item x="66"/>
        <item x="479"/>
        <item x="50"/>
        <item x="280"/>
        <item x="20"/>
        <item x="170"/>
        <item x="98"/>
        <item x="234"/>
        <item x="162"/>
        <item x="361"/>
        <item x="155"/>
        <item x="15"/>
        <item x="301"/>
        <item x="42"/>
        <item x="324"/>
        <item x="274"/>
        <item x="255"/>
        <item x="340"/>
        <item x="305"/>
        <item x="375"/>
        <item x="223"/>
        <item x="128"/>
        <item x="269"/>
        <item x="100"/>
        <item x="442"/>
        <item x="432"/>
        <item x="203"/>
        <item x="390"/>
        <item t="default"/>
      </items>
    </pivotField>
    <pivotField showAll="0" maxSubtotal="1">
      <items count="494">
        <item x="71"/>
        <item x="245"/>
        <item x="452"/>
        <item x="188"/>
        <item x="82"/>
        <item x="212"/>
        <item x="51"/>
        <item x="368"/>
        <item x="348"/>
        <item x="201"/>
        <item x="179"/>
        <item x="465"/>
        <item x="233"/>
        <item x="92"/>
        <item x="133"/>
        <item x="304"/>
        <item x="24"/>
        <item x="277"/>
        <item x="378"/>
        <item x="146"/>
        <item x="52"/>
        <item x="458"/>
        <item x="204"/>
        <item x="207"/>
        <item x="140"/>
        <item x="283"/>
        <item x="466"/>
        <item x="398"/>
        <item x="249"/>
        <item x="227"/>
        <item x="291"/>
        <item x="175"/>
        <item x="171"/>
        <item x="412"/>
        <item x="81"/>
        <item x="149"/>
        <item x="117"/>
        <item x="174"/>
        <item x="19"/>
        <item x="386"/>
        <item x="41"/>
        <item x="147"/>
        <item x="470"/>
        <item x="418"/>
        <item x="178"/>
        <item x="252"/>
        <item x="109"/>
        <item x="258"/>
        <item x="261"/>
        <item x="151"/>
        <item x="9"/>
        <item x="141"/>
        <item x="237"/>
        <item x="248"/>
        <item x="410"/>
        <item x="350"/>
        <item x="112"/>
        <item x="209"/>
        <item x="390"/>
        <item x="106"/>
        <item x="417"/>
        <item x="374"/>
        <item x="18"/>
        <item x="28"/>
        <item x="73"/>
        <item x="219"/>
        <item x="380"/>
        <item x="256"/>
        <item x="136"/>
        <item x="39"/>
        <item x="72"/>
        <item x="154"/>
        <item x="260"/>
        <item x="119"/>
        <item x="187"/>
        <item x="132"/>
        <item x="345"/>
        <item x="45"/>
        <item x="262"/>
        <item x="322"/>
        <item x="163"/>
        <item x="448"/>
        <item x="309"/>
        <item x="173"/>
        <item x="36"/>
        <item x="395"/>
        <item x="446"/>
        <item x="213"/>
        <item x="319"/>
        <item x="135"/>
        <item x="55"/>
        <item x="186"/>
        <item x="68"/>
        <item x="474"/>
        <item x="23"/>
        <item x="476"/>
        <item x="469"/>
        <item x="118"/>
        <item x="336"/>
        <item x="77"/>
        <item x="269"/>
        <item x="450"/>
        <item x="313"/>
        <item x="274"/>
        <item x="61"/>
        <item x="104"/>
        <item x="447"/>
        <item x="48"/>
        <item x="114"/>
        <item x="399"/>
        <item x="196"/>
        <item x="351"/>
        <item x="471"/>
        <item x="487"/>
        <item x="167"/>
        <item x="100"/>
        <item x="10"/>
        <item x="76"/>
        <item x="143"/>
        <item x="460"/>
        <item x="330"/>
        <item x="490"/>
        <item x="370"/>
        <item x="223"/>
        <item x="232"/>
        <item x="98"/>
        <item x="328"/>
        <item x="356"/>
        <item x="66"/>
        <item x="111"/>
        <item x="215"/>
        <item x="357"/>
        <item x="449"/>
        <item x="31"/>
        <item x="429"/>
        <item x="279"/>
        <item x="238"/>
        <item x="30"/>
        <item x="168"/>
        <item x="307"/>
        <item x="403"/>
        <item x="484"/>
        <item x="206"/>
        <item x="488"/>
        <item x="311"/>
        <item x="169"/>
        <item x="441"/>
        <item x="162"/>
        <item x="91"/>
        <item x="308"/>
        <item x="365"/>
        <item x="314"/>
        <item x="382"/>
        <item x="375"/>
        <item x="445"/>
        <item x="84"/>
        <item x="96"/>
        <item x="176"/>
        <item x="145"/>
        <item x="438"/>
        <item x="363"/>
        <item x="271"/>
        <item x="78"/>
        <item x="415"/>
        <item x="318"/>
        <item x="433"/>
        <item x="473"/>
        <item x="21"/>
        <item x="268"/>
        <item x="107"/>
        <item x="292"/>
        <item x="46"/>
        <item x="113"/>
        <item x="177"/>
        <item x="340"/>
        <item x="85"/>
        <item x="373"/>
        <item x="7"/>
        <item x="142"/>
        <item x="359"/>
        <item x="211"/>
        <item x="342"/>
        <item x="317"/>
        <item x="20"/>
        <item x="265"/>
        <item x="406"/>
        <item x="294"/>
        <item x="352"/>
        <item x="353"/>
        <item x="138"/>
        <item x="293"/>
        <item x="29"/>
        <item x="22"/>
        <item x="17"/>
        <item x="26"/>
        <item x="103"/>
        <item x="303"/>
        <item x="416"/>
        <item x="253"/>
        <item x="56"/>
        <item x="409"/>
        <item x="191"/>
        <item x="93"/>
        <item x="489"/>
        <item x="231"/>
        <item x="254"/>
        <item x="234"/>
        <item x="270"/>
        <item x="229"/>
        <item x="224"/>
        <item x="419"/>
        <item x="94"/>
        <item x="35"/>
        <item x="287"/>
        <item x="400"/>
        <item x="182"/>
        <item x="25"/>
        <item x="273"/>
        <item x="159"/>
        <item x="481"/>
        <item x="197"/>
        <item x="361"/>
        <item x="3"/>
        <item x="280"/>
        <item x="393"/>
        <item x="376"/>
        <item x="33"/>
        <item x="284"/>
        <item x="462"/>
        <item x="70"/>
        <item x="214"/>
        <item x="1"/>
        <item x="362"/>
        <item x="192"/>
        <item x="64"/>
        <item x="0"/>
        <item x="325"/>
        <item x="310"/>
        <item x="198"/>
        <item x="298"/>
        <item x="385"/>
        <item x="492"/>
        <item x="247"/>
        <item x="257"/>
        <item x="134"/>
        <item x="50"/>
        <item x="242"/>
        <item x="58"/>
        <item x="288"/>
        <item x="334"/>
        <item x="454"/>
        <item x="62"/>
        <item x="54"/>
        <item x="74"/>
        <item x="65"/>
        <item x="110"/>
        <item x="183"/>
        <item x="97"/>
        <item x="300"/>
        <item x="338"/>
        <item x="80"/>
        <item x="327"/>
        <item x="432"/>
        <item x="482"/>
        <item x="358"/>
        <item x="126"/>
        <item x="86"/>
        <item x="333"/>
        <item x="436"/>
        <item x="391"/>
        <item x="468"/>
        <item x="286"/>
        <item x="401"/>
        <item x="208"/>
        <item x="371"/>
        <item x="289"/>
        <item x="267"/>
        <item x="402"/>
        <item x="40"/>
        <item x="463"/>
        <item x="139"/>
        <item x="240"/>
        <item x="392"/>
        <item x="379"/>
        <item x="332"/>
        <item x="87"/>
        <item x="53"/>
        <item x="8"/>
        <item x="27"/>
        <item x="172"/>
        <item x="296"/>
        <item x="95"/>
        <item x="49"/>
        <item x="367"/>
        <item x="364"/>
        <item x="75"/>
        <item x="130"/>
        <item x="355"/>
        <item x="339"/>
        <item x="210"/>
        <item x="67"/>
        <item x="60"/>
        <item x="121"/>
        <item x="420"/>
        <item x="360"/>
        <item x="218"/>
        <item x="435"/>
        <item x="341"/>
        <item x="165"/>
        <item x="397"/>
        <item x="442"/>
        <item x="457"/>
        <item x="421"/>
        <item x="156"/>
        <item x="194"/>
        <item x="190"/>
        <item x="444"/>
        <item x="193"/>
        <item x="299"/>
        <item x="381"/>
        <item x="57"/>
        <item x="485"/>
        <item x="127"/>
        <item x="144"/>
        <item x="15"/>
        <item x="407"/>
        <item x="430"/>
        <item x="161"/>
        <item x="475"/>
        <item x="453"/>
        <item x="123"/>
        <item x="150"/>
        <item x="102"/>
        <item x="239"/>
        <item x="290"/>
        <item x="451"/>
        <item x="405"/>
        <item x="246"/>
        <item x="79"/>
        <item x="129"/>
        <item x="388"/>
        <item x="263"/>
        <item x="411"/>
        <item x="316"/>
        <item x="108"/>
        <item x="185"/>
        <item x="422"/>
        <item x="221"/>
        <item x="396"/>
        <item x="297"/>
        <item x="312"/>
        <item x="480"/>
        <item x="202"/>
        <item x="216"/>
        <item x="90"/>
        <item x="195"/>
        <item x="152"/>
        <item x="455"/>
        <item x="331"/>
        <item x="278"/>
        <item x="437"/>
        <item x="101"/>
        <item x="222"/>
        <item x="200"/>
        <item x="281"/>
        <item x="236"/>
        <item x="158"/>
        <item x="11"/>
        <item x="427"/>
        <item x="377"/>
        <item x="347"/>
        <item x="120"/>
        <item x="461"/>
        <item x="394"/>
        <item x="83"/>
        <item x="305"/>
        <item x="38"/>
        <item x="315"/>
        <item x="326"/>
        <item x="44"/>
        <item x="99"/>
        <item x="5"/>
        <item x="301"/>
        <item x="282"/>
        <item x="329"/>
        <item x="337"/>
        <item x="295"/>
        <item x="491"/>
        <item x="42"/>
        <item x="155"/>
        <item x="276"/>
        <item x="244"/>
        <item x="302"/>
        <item x="124"/>
        <item x="425"/>
        <item x="464"/>
        <item x="6"/>
        <item x="467"/>
        <item x="89"/>
        <item x="32"/>
        <item x="225"/>
        <item x="321"/>
        <item x="335"/>
        <item x="203"/>
        <item x="431"/>
        <item x="47"/>
        <item x="483"/>
        <item x="199"/>
        <item x="255"/>
        <item x="486"/>
        <item x="166"/>
        <item x="116"/>
        <item x="456"/>
        <item x="428"/>
        <item x="266"/>
        <item x="408"/>
        <item x="12"/>
        <item x="205"/>
        <item x="137"/>
        <item x="324"/>
        <item x="414"/>
        <item x="37"/>
        <item x="220"/>
        <item x="389"/>
        <item x="285"/>
        <item x="404"/>
        <item x="69"/>
        <item x="275"/>
        <item x="230"/>
        <item x="479"/>
        <item x="323"/>
        <item x="164"/>
        <item x="184"/>
        <item x="243"/>
        <item x="14"/>
        <item x="439"/>
        <item x="180"/>
        <item x="13"/>
        <item x="387"/>
        <item x="128"/>
        <item x="320"/>
        <item x="59"/>
        <item x="189"/>
        <item x="306"/>
        <item x="477"/>
        <item x="264"/>
        <item x="259"/>
        <item x="105"/>
        <item x="241"/>
        <item x="413"/>
        <item x="43"/>
        <item x="349"/>
        <item x="346"/>
        <item x="16"/>
        <item x="472"/>
        <item x="440"/>
        <item x="443"/>
        <item x="125"/>
        <item x="217"/>
        <item x="235"/>
        <item x="344"/>
        <item x="4"/>
        <item x="181"/>
        <item x="148"/>
        <item x="251"/>
        <item x="2"/>
        <item x="366"/>
        <item x="423"/>
        <item x="226"/>
        <item x="384"/>
        <item x="157"/>
        <item x="434"/>
        <item x="459"/>
        <item x="426"/>
        <item x="170"/>
        <item x="228"/>
        <item x="153"/>
        <item x="372"/>
        <item x="250"/>
        <item x="34"/>
        <item x="383"/>
        <item x="424"/>
        <item x="272"/>
        <item x="115"/>
        <item x="63"/>
        <item x="343"/>
        <item x="478"/>
        <item x="369"/>
        <item x="131"/>
        <item x="88"/>
        <item x="354"/>
        <item x="160"/>
        <item x="122"/>
        <item t="max"/>
      </items>
    </pivotField>
    <pivotField showAll="0">
      <items count="6">
        <item x="3"/>
        <item x="1"/>
        <item x="2"/>
        <item x="0"/>
        <item x="4"/>
        <item t="default"/>
      </items>
    </pivotField>
    <pivotField showAll="0">
      <items count="5">
        <item x="2"/>
        <item x="1"/>
        <item x="0"/>
        <item x="3"/>
        <item t="default"/>
      </items>
    </pivotField>
    <pivotField showAll="0">
      <items count="14">
        <item x="12"/>
        <item x="7"/>
        <item x="9"/>
        <item x="2"/>
        <item x="1"/>
        <item x="11"/>
        <item x="6"/>
        <item x="5"/>
        <item x="0"/>
        <item x="3"/>
        <item x="10"/>
        <item x="4"/>
        <item x="8"/>
        <item t="default"/>
      </items>
    </pivotField>
    <pivotField showAll="0"/>
    <pivotField numFmtId="164" showAll="0"/>
    <pivotField numFmtId="9" showAll="0"/>
    <pivotField numFmtId="164" showAll="0"/>
    <pivotField numFmtId="164" showAll="0"/>
    <pivotField showAll="0">
      <items count="4">
        <item x="2"/>
        <item x="0"/>
        <item x="1"/>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ount of Customer ID" fld="3" subtotal="count" baseField="0" baseItem="0"/>
  </dataFields>
  <formats count="4">
    <format dxfId="50">
      <pivotArea dataOnly="0" labelOnly="1" outline="0" axis="axisValues" fieldPosition="0"/>
    </format>
    <format dxfId="49">
      <pivotArea outline="0" collapsedLevelsAreSubtotals="1" fieldPosition="0"/>
    </format>
    <format dxfId="48">
      <pivotArea dataOnly="0" grandRow="1" fieldPosition="0"/>
    </format>
    <format dxfId="47">
      <pivotArea field="5"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Customer">
  <location ref="H6:H7" firstHeaderRow="1" firstDataRow="1" firstDataCol="0"/>
  <pivotFields count="17">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13">
        <item x="5"/>
        <item x="8"/>
        <item x="7"/>
        <item x="9"/>
        <item x="11"/>
        <item x="2"/>
        <item x="4"/>
        <item x="0"/>
        <item x="1"/>
        <item x="6"/>
        <item x="10"/>
        <item x="3"/>
        <item t="default"/>
      </items>
    </pivotField>
    <pivotField showAll="0">
      <items count="490">
        <item x="467"/>
        <item x="480"/>
        <item x="181"/>
        <item x="329"/>
        <item x="331"/>
        <item x="2"/>
        <item x="178"/>
        <item x="143"/>
        <item x="146"/>
        <item x="354"/>
        <item x="195"/>
        <item x="246"/>
        <item x="488"/>
        <item x="470"/>
        <item x="92"/>
        <item x="157"/>
        <item x="109"/>
        <item x="310"/>
        <item x="401"/>
        <item x="91"/>
        <item x="65"/>
        <item x="380"/>
        <item x="355"/>
        <item x="405"/>
        <item x="386"/>
        <item x="193"/>
        <item x="312"/>
        <item x="152"/>
        <item x="392"/>
        <item x="22"/>
        <item x="211"/>
        <item x="260"/>
        <item x="397"/>
        <item x="9"/>
        <item x="86"/>
        <item x="357"/>
        <item x="249"/>
        <item x="113"/>
        <item x="199"/>
        <item x="54"/>
        <item x="287"/>
        <item x="122"/>
        <item x="263"/>
        <item x="190"/>
        <item x="410"/>
        <item x="159"/>
        <item x="438"/>
        <item x="208"/>
        <item x="4"/>
        <item x="456"/>
        <item x="336"/>
        <item x="384"/>
        <item x="473"/>
        <item x="224"/>
        <item x="282"/>
        <item x="30"/>
        <item x="413"/>
        <item x="369"/>
        <item x="404"/>
        <item x="468"/>
        <item x="167"/>
        <item x="26"/>
        <item x="451"/>
        <item x="10"/>
        <item x="58"/>
        <item x="6"/>
        <item x="25"/>
        <item x="366"/>
        <item x="150"/>
        <item x="34"/>
        <item x="475"/>
        <item x="184"/>
        <item x="21"/>
        <item x="80"/>
        <item x="455"/>
        <item x="130"/>
        <item x="46"/>
        <item x="450"/>
        <item x="172"/>
        <item x="163"/>
        <item x="13"/>
        <item x="464"/>
        <item x="449"/>
        <item x="337"/>
        <item x="283"/>
        <item x="300"/>
        <item x="7"/>
        <item x="376"/>
        <item x="403"/>
        <item x="138"/>
        <item x="250"/>
        <item x="408"/>
        <item x="368"/>
        <item x="370"/>
        <item x="316"/>
        <item x="144"/>
        <item x="173"/>
        <item x="296"/>
        <item x="187"/>
        <item x="121"/>
        <item x="201"/>
        <item x="63"/>
        <item x="206"/>
        <item x="443"/>
        <item x="37"/>
        <item x="446"/>
        <item x="149"/>
        <item x="154"/>
        <item x="47"/>
        <item x="36"/>
        <item x="400"/>
        <item x="265"/>
        <item x="41"/>
        <item x="185"/>
        <item x="356"/>
        <item x="198"/>
        <item x="259"/>
        <item x="339"/>
        <item x="104"/>
        <item x="114"/>
        <item x="297"/>
        <item x="313"/>
        <item x="292"/>
        <item x="79"/>
        <item x="275"/>
        <item x="38"/>
        <item x="317"/>
        <item x="161"/>
        <item x="117"/>
        <item x="335"/>
        <item x="84"/>
        <item x="74"/>
        <item x="415"/>
        <item x="318"/>
        <item x="322"/>
        <item x="87"/>
        <item x="273"/>
        <item x="465"/>
        <item x="261"/>
        <item x="213"/>
        <item x="306"/>
        <item x="348"/>
        <item x="288"/>
        <item x="389"/>
        <item x="431"/>
        <item x="295"/>
        <item x="414"/>
        <item x="424"/>
        <item x="70"/>
        <item x="388"/>
        <item x="32"/>
        <item x="421"/>
        <item x="214"/>
        <item x="378"/>
        <item x="447"/>
        <item x="290"/>
        <item x="256"/>
        <item x="156"/>
        <item x="466"/>
        <item x="77"/>
        <item x="127"/>
        <item x="257"/>
        <item x="106"/>
        <item x="367"/>
        <item x="458"/>
        <item x="385"/>
        <item x="277"/>
        <item x="29"/>
        <item x="27"/>
        <item x="166"/>
        <item x="445"/>
        <item x="105"/>
        <item x="75"/>
        <item x="129"/>
        <item x="262"/>
        <item x="311"/>
        <item x="391"/>
        <item x="160"/>
        <item x="137"/>
        <item x="176"/>
        <item x="243"/>
        <item x="125"/>
        <item x="78"/>
        <item x="428"/>
        <item x="123"/>
        <item x="395"/>
        <item x="362"/>
        <item x="237"/>
        <item x="64"/>
        <item x="334"/>
        <item x="474"/>
        <item x="108"/>
        <item x="314"/>
        <item x="12"/>
        <item x="51"/>
        <item x="39"/>
        <item x="236"/>
        <item x="186"/>
        <item x="216"/>
        <item x="82"/>
        <item x="345"/>
        <item x="35"/>
        <item x="165"/>
        <item x="407"/>
        <item x="258"/>
        <item x="272"/>
        <item x="377"/>
        <item x="101"/>
        <item x="218"/>
        <item x="279"/>
        <item x="230"/>
        <item x="326"/>
        <item x="299"/>
        <item x="320"/>
        <item x="61"/>
        <item x="252"/>
        <item x="481"/>
        <item x="472"/>
        <item x="245"/>
        <item x="180"/>
        <item x="71"/>
        <item x="188"/>
        <item x="294"/>
        <item x="111"/>
        <item x="264"/>
        <item x="462"/>
        <item x="16"/>
        <item x="319"/>
        <item x="28"/>
        <item x="460"/>
        <item x="192"/>
        <item x="360"/>
        <item x="463"/>
        <item x="228"/>
        <item x="437"/>
        <item x="293"/>
        <item x="402"/>
        <item x="418"/>
        <item x="452"/>
        <item x="102"/>
        <item x="349"/>
        <item x="411"/>
        <item x="232"/>
        <item x="453"/>
        <item x="97"/>
        <item x="374"/>
        <item x="487"/>
        <item x="49"/>
        <item x="399"/>
        <item x="99"/>
        <item x="59"/>
        <item x="72"/>
        <item x="308"/>
        <item x="11"/>
        <item x="382"/>
        <item x="278"/>
        <item x="110"/>
        <item x="244"/>
        <item x="448"/>
        <item x="151"/>
        <item x="350"/>
        <item x="238"/>
        <item x="441"/>
        <item x="254"/>
        <item x="169"/>
        <item x="73"/>
        <item x="242"/>
        <item x="482"/>
        <item x="352"/>
        <item x="177"/>
        <item x="284"/>
        <item x="330"/>
        <item x="107"/>
        <item x="248"/>
        <item x="459"/>
        <item x="85"/>
        <item x="90"/>
        <item x="444"/>
        <item x="454"/>
        <item x="191"/>
        <item x="484"/>
        <item x="45"/>
        <item x="231"/>
        <item x="124"/>
        <item x="276"/>
        <item x="420"/>
        <item x="175"/>
        <item x="417"/>
        <item x="477"/>
        <item x="116"/>
        <item x="56"/>
        <item x="23"/>
        <item x="174"/>
        <item x="241"/>
        <item x="89"/>
        <item x="412"/>
        <item x="33"/>
        <item x="429"/>
        <item x="67"/>
        <item x="44"/>
        <item x="136"/>
        <item x="88"/>
        <item x="227"/>
        <item x="419"/>
        <item x="461"/>
        <item x="327"/>
        <item x="222"/>
        <item x="212"/>
        <item x="112"/>
        <item x="476"/>
        <item x="119"/>
        <item x="126"/>
        <item x="381"/>
        <item x="142"/>
        <item x="253"/>
        <item x="219"/>
        <item x="393"/>
        <item x="347"/>
        <item x="435"/>
        <item x="346"/>
        <item x="409"/>
        <item x="440"/>
        <item x="204"/>
        <item x="483"/>
        <item x="434"/>
        <item x="379"/>
        <item x="267"/>
        <item x="266"/>
        <item x="372"/>
        <item x="225"/>
        <item x="134"/>
        <item x="139"/>
        <item x="239"/>
        <item x="69"/>
        <item x="486"/>
        <item x="373"/>
        <item x="416"/>
        <item x="81"/>
        <item x="209"/>
        <item x="321"/>
        <item x="158"/>
        <item x="76"/>
        <item x="423"/>
        <item x="285"/>
        <item x="315"/>
        <item x="343"/>
        <item x="325"/>
        <item x="303"/>
        <item x="426"/>
        <item x="53"/>
        <item x="289"/>
        <item x="383"/>
        <item x="68"/>
        <item x="471"/>
        <item x="17"/>
        <item x="328"/>
        <item x="338"/>
        <item x="43"/>
        <item x="18"/>
        <item x="183"/>
        <item x="14"/>
        <item x="485"/>
        <item x="48"/>
        <item x="132"/>
        <item x="57"/>
        <item x="95"/>
        <item x="200"/>
        <item x="333"/>
        <item x="40"/>
        <item x="189"/>
        <item x="387"/>
        <item x="145"/>
        <item x="96"/>
        <item x="396"/>
        <item x="364"/>
        <item x="5"/>
        <item x="323"/>
        <item x="268"/>
        <item x="210"/>
        <item x="3"/>
        <item x="221"/>
        <item x="270"/>
        <item x="148"/>
        <item x="427"/>
        <item x="281"/>
        <item x="478"/>
        <item x="1"/>
        <item x="0"/>
        <item x="251"/>
        <item x="60"/>
        <item x="363"/>
        <item x="182"/>
        <item x="103"/>
        <item x="406"/>
        <item x="62"/>
        <item x="196"/>
        <item x="291"/>
        <item x="359"/>
        <item x="332"/>
        <item x="436"/>
        <item x="179"/>
        <item x="197"/>
        <item x="83"/>
        <item x="344"/>
        <item x="120"/>
        <item x="430"/>
        <item x="457"/>
        <item x="217"/>
        <item x="425"/>
        <item x="247"/>
        <item x="168"/>
        <item x="342"/>
        <item x="233"/>
        <item x="164"/>
        <item x="24"/>
        <item x="147"/>
        <item x="271"/>
        <item x="133"/>
        <item x="115"/>
        <item x="205"/>
        <item x="207"/>
        <item x="309"/>
        <item x="439"/>
        <item x="140"/>
        <item x="194"/>
        <item x="31"/>
        <item x="19"/>
        <item x="341"/>
        <item x="94"/>
        <item x="229"/>
        <item x="240"/>
        <item x="55"/>
        <item x="469"/>
        <item x="118"/>
        <item x="394"/>
        <item x="365"/>
        <item x="202"/>
        <item x="358"/>
        <item x="371"/>
        <item x="302"/>
        <item x="131"/>
        <item x="93"/>
        <item x="398"/>
        <item x="220"/>
        <item x="135"/>
        <item x="226"/>
        <item x="351"/>
        <item x="422"/>
        <item x="153"/>
        <item x="307"/>
        <item x="235"/>
        <item x="52"/>
        <item x="171"/>
        <item x="433"/>
        <item x="353"/>
        <item x="215"/>
        <item x="298"/>
        <item x="8"/>
        <item x="304"/>
        <item x="141"/>
        <item x="286"/>
        <item x="66"/>
        <item x="479"/>
        <item x="50"/>
        <item x="280"/>
        <item x="20"/>
        <item x="170"/>
        <item x="98"/>
        <item x="234"/>
        <item x="162"/>
        <item x="361"/>
        <item x="155"/>
        <item x="15"/>
        <item x="301"/>
        <item x="42"/>
        <item x="324"/>
        <item x="274"/>
        <item x="255"/>
        <item x="340"/>
        <item x="305"/>
        <item x="375"/>
        <item x="223"/>
        <item x="128"/>
        <item x="269"/>
        <item x="100"/>
        <item x="442"/>
        <item x="432"/>
        <item x="203"/>
        <item x="390"/>
        <item t="default"/>
      </items>
    </pivotField>
    <pivotField showAll="0" measureFilter="1" sortType="ascending" maxSubtotal="1">
      <items count="494">
        <item x="71"/>
        <item x="245"/>
        <item x="452"/>
        <item x="188"/>
        <item x="82"/>
        <item x="212"/>
        <item x="51"/>
        <item x="368"/>
        <item x="348"/>
        <item x="201"/>
        <item x="179"/>
        <item x="465"/>
        <item x="233"/>
        <item x="92"/>
        <item x="133"/>
        <item x="304"/>
        <item x="24"/>
        <item x="277"/>
        <item x="378"/>
        <item x="146"/>
        <item x="52"/>
        <item x="458"/>
        <item x="204"/>
        <item x="207"/>
        <item x="140"/>
        <item x="283"/>
        <item x="466"/>
        <item x="398"/>
        <item x="249"/>
        <item x="227"/>
        <item x="291"/>
        <item x="175"/>
        <item x="171"/>
        <item x="412"/>
        <item x="81"/>
        <item x="149"/>
        <item x="117"/>
        <item x="174"/>
        <item x="19"/>
        <item x="386"/>
        <item x="41"/>
        <item x="147"/>
        <item x="470"/>
        <item x="418"/>
        <item x="178"/>
        <item x="252"/>
        <item x="109"/>
        <item x="258"/>
        <item x="261"/>
        <item x="151"/>
        <item x="9"/>
        <item x="141"/>
        <item x="237"/>
        <item x="248"/>
        <item x="410"/>
        <item x="350"/>
        <item x="112"/>
        <item x="209"/>
        <item x="390"/>
        <item x="106"/>
        <item x="417"/>
        <item x="374"/>
        <item x="18"/>
        <item x="28"/>
        <item x="73"/>
        <item x="219"/>
        <item x="380"/>
        <item x="256"/>
        <item x="136"/>
        <item x="39"/>
        <item x="72"/>
        <item x="154"/>
        <item x="260"/>
        <item x="119"/>
        <item x="187"/>
        <item x="132"/>
        <item x="345"/>
        <item x="45"/>
        <item x="262"/>
        <item x="322"/>
        <item x="163"/>
        <item x="448"/>
        <item x="309"/>
        <item x="173"/>
        <item x="36"/>
        <item x="395"/>
        <item x="446"/>
        <item x="213"/>
        <item x="319"/>
        <item x="135"/>
        <item x="55"/>
        <item x="186"/>
        <item x="68"/>
        <item x="474"/>
        <item x="23"/>
        <item x="476"/>
        <item x="469"/>
        <item x="118"/>
        <item x="336"/>
        <item x="77"/>
        <item x="269"/>
        <item x="450"/>
        <item x="313"/>
        <item x="274"/>
        <item x="61"/>
        <item x="104"/>
        <item x="447"/>
        <item x="48"/>
        <item x="114"/>
        <item x="399"/>
        <item x="196"/>
        <item x="351"/>
        <item x="471"/>
        <item x="487"/>
        <item x="167"/>
        <item x="100"/>
        <item x="10"/>
        <item x="76"/>
        <item x="143"/>
        <item x="460"/>
        <item x="330"/>
        <item x="490"/>
        <item x="370"/>
        <item x="223"/>
        <item x="232"/>
        <item x="98"/>
        <item x="328"/>
        <item x="356"/>
        <item x="66"/>
        <item x="111"/>
        <item x="215"/>
        <item x="357"/>
        <item x="449"/>
        <item x="31"/>
        <item x="429"/>
        <item x="279"/>
        <item x="238"/>
        <item x="30"/>
        <item x="168"/>
        <item x="307"/>
        <item x="403"/>
        <item x="484"/>
        <item x="206"/>
        <item x="488"/>
        <item x="311"/>
        <item x="169"/>
        <item x="441"/>
        <item x="162"/>
        <item x="91"/>
        <item x="308"/>
        <item x="365"/>
        <item x="314"/>
        <item x="382"/>
        <item x="375"/>
        <item x="445"/>
        <item x="84"/>
        <item x="96"/>
        <item x="176"/>
        <item x="145"/>
        <item x="438"/>
        <item x="363"/>
        <item x="271"/>
        <item x="78"/>
        <item x="415"/>
        <item x="318"/>
        <item x="433"/>
        <item x="473"/>
        <item x="21"/>
        <item x="268"/>
        <item x="107"/>
        <item x="292"/>
        <item x="46"/>
        <item x="113"/>
        <item x="177"/>
        <item x="340"/>
        <item x="85"/>
        <item x="373"/>
        <item x="7"/>
        <item x="142"/>
        <item x="359"/>
        <item x="211"/>
        <item x="342"/>
        <item x="317"/>
        <item x="20"/>
        <item x="265"/>
        <item x="406"/>
        <item x="294"/>
        <item x="352"/>
        <item x="353"/>
        <item x="138"/>
        <item x="293"/>
        <item x="29"/>
        <item x="22"/>
        <item x="17"/>
        <item x="26"/>
        <item x="103"/>
        <item x="303"/>
        <item x="416"/>
        <item x="253"/>
        <item x="56"/>
        <item x="409"/>
        <item x="191"/>
        <item x="93"/>
        <item x="489"/>
        <item x="231"/>
        <item x="254"/>
        <item x="234"/>
        <item x="270"/>
        <item x="229"/>
        <item x="224"/>
        <item x="419"/>
        <item x="94"/>
        <item x="35"/>
        <item x="287"/>
        <item x="400"/>
        <item x="182"/>
        <item x="25"/>
        <item x="273"/>
        <item x="159"/>
        <item x="481"/>
        <item x="197"/>
        <item x="361"/>
        <item x="3"/>
        <item x="280"/>
        <item x="393"/>
        <item x="376"/>
        <item x="33"/>
        <item x="284"/>
        <item x="462"/>
        <item x="70"/>
        <item x="214"/>
        <item x="1"/>
        <item x="362"/>
        <item x="192"/>
        <item x="64"/>
        <item x="0"/>
        <item x="325"/>
        <item x="310"/>
        <item x="198"/>
        <item x="298"/>
        <item x="385"/>
        <item x="492"/>
        <item x="247"/>
        <item x="257"/>
        <item x="134"/>
        <item x="50"/>
        <item x="242"/>
        <item x="58"/>
        <item x="288"/>
        <item x="334"/>
        <item x="454"/>
        <item x="62"/>
        <item x="54"/>
        <item x="74"/>
        <item x="65"/>
        <item x="110"/>
        <item x="183"/>
        <item x="97"/>
        <item x="300"/>
        <item x="338"/>
        <item x="80"/>
        <item x="327"/>
        <item x="432"/>
        <item x="482"/>
        <item x="358"/>
        <item x="126"/>
        <item x="86"/>
        <item x="333"/>
        <item x="436"/>
        <item x="391"/>
        <item x="468"/>
        <item x="286"/>
        <item x="401"/>
        <item x="208"/>
        <item x="371"/>
        <item x="289"/>
        <item x="267"/>
        <item x="402"/>
        <item x="40"/>
        <item x="463"/>
        <item x="139"/>
        <item x="240"/>
        <item x="392"/>
        <item x="379"/>
        <item x="332"/>
        <item x="87"/>
        <item x="53"/>
        <item x="8"/>
        <item x="27"/>
        <item x="172"/>
        <item x="296"/>
        <item x="95"/>
        <item x="49"/>
        <item x="367"/>
        <item x="364"/>
        <item x="75"/>
        <item x="130"/>
        <item x="355"/>
        <item x="339"/>
        <item x="210"/>
        <item x="67"/>
        <item x="60"/>
        <item x="121"/>
        <item x="420"/>
        <item x="360"/>
        <item x="218"/>
        <item x="435"/>
        <item x="341"/>
        <item x="165"/>
        <item x="397"/>
        <item x="442"/>
        <item x="457"/>
        <item x="421"/>
        <item x="156"/>
        <item x="194"/>
        <item x="190"/>
        <item x="444"/>
        <item x="193"/>
        <item x="299"/>
        <item x="381"/>
        <item x="57"/>
        <item x="485"/>
        <item x="127"/>
        <item x="144"/>
        <item x="15"/>
        <item x="407"/>
        <item x="430"/>
        <item x="161"/>
        <item x="475"/>
        <item x="453"/>
        <item x="123"/>
        <item x="150"/>
        <item x="102"/>
        <item x="239"/>
        <item x="290"/>
        <item x="451"/>
        <item x="405"/>
        <item x="246"/>
        <item x="79"/>
        <item x="129"/>
        <item x="388"/>
        <item x="263"/>
        <item x="411"/>
        <item x="316"/>
        <item x="108"/>
        <item x="185"/>
        <item x="422"/>
        <item x="221"/>
        <item x="396"/>
        <item x="297"/>
        <item x="312"/>
        <item x="480"/>
        <item x="202"/>
        <item x="216"/>
        <item x="90"/>
        <item x="195"/>
        <item x="152"/>
        <item x="455"/>
        <item x="331"/>
        <item x="278"/>
        <item x="437"/>
        <item x="101"/>
        <item x="222"/>
        <item x="200"/>
        <item x="281"/>
        <item x="236"/>
        <item x="158"/>
        <item x="11"/>
        <item x="427"/>
        <item x="377"/>
        <item x="347"/>
        <item x="120"/>
        <item x="461"/>
        <item x="394"/>
        <item x="83"/>
        <item x="305"/>
        <item x="38"/>
        <item x="315"/>
        <item x="326"/>
        <item x="44"/>
        <item x="99"/>
        <item x="5"/>
        <item x="301"/>
        <item x="282"/>
        <item x="329"/>
        <item x="337"/>
        <item x="295"/>
        <item x="491"/>
        <item x="42"/>
        <item x="155"/>
        <item x="276"/>
        <item x="244"/>
        <item x="302"/>
        <item x="124"/>
        <item x="425"/>
        <item x="464"/>
        <item x="6"/>
        <item x="467"/>
        <item x="89"/>
        <item x="32"/>
        <item x="225"/>
        <item x="321"/>
        <item x="335"/>
        <item x="203"/>
        <item x="431"/>
        <item x="47"/>
        <item x="483"/>
        <item x="199"/>
        <item x="255"/>
        <item x="486"/>
        <item x="166"/>
        <item x="116"/>
        <item x="456"/>
        <item x="428"/>
        <item x="266"/>
        <item x="408"/>
        <item x="12"/>
        <item x="205"/>
        <item x="137"/>
        <item x="324"/>
        <item x="414"/>
        <item x="37"/>
        <item x="220"/>
        <item x="389"/>
        <item x="285"/>
        <item x="404"/>
        <item x="69"/>
        <item x="275"/>
        <item x="230"/>
        <item x="479"/>
        <item x="323"/>
        <item x="164"/>
        <item x="184"/>
        <item x="243"/>
        <item x="14"/>
        <item x="439"/>
        <item x="180"/>
        <item x="13"/>
        <item x="387"/>
        <item x="128"/>
        <item x="320"/>
        <item x="59"/>
        <item x="189"/>
        <item x="306"/>
        <item x="477"/>
        <item x="264"/>
        <item x="259"/>
        <item x="105"/>
        <item x="241"/>
        <item x="413"/>
        <item x="43"/>
        <item x="349"/>
        <item x="346"/>
        <item x="16"/>
        <item x="472"/>
        <item x="440"/>
        <item x="443"/>
        <item x="125"/>
        <item x="217"/>
        <item x="235"/>
        <item x="344"/>
        <item x="4"/>
        <item x="181"/>
        <item x="148"/>
        <item x="251"/>
        <item x="2"/>
        <item x="366"/>
        <item x="423"/>
        <item x="226"/>
        <item x="384"/>
        <item x="157"/>
        <item x="434"/>
        <item x="459"/>
        <item x="426"/>
        <item x="170"/>
        <item x="228"/>
        <item x="153"/>
        <item x="372"/>
        <item x="250"/>
        <item x="34"/>
        <item x="383"/>
        <item x="424"/>
        <item x="272"/>
        <item x="115"/>
        <item x="63"/>
        <item x="343"/>
        <item x="478"/>
        <item x="369"/>
        <item x="131"/>
        <item x="88"/>
        <item x="354"/>
        <item x="160"/>
        <item x="122"/>
        <item t="max"/>
      </items>
      <autoSortScope>
        <pivotArea dataOnly="0" outline="0" fieldPosition="0">
          <references count="1">
            <reference field="4294967294" count="1" selected="0">
              <x v="0"/>
            </reference>
          </references>
        </pivotArea>
      </autoSortScope>
    </pivotField>
    <pivotField showAll="0">
      <items count="6">
        <item x="3"/>
        <item x="1"/>
        <item x="2"/>
        <item x="0"/>
        <item x="4"/>
        <item t="default"/>
      </items>
    </pivotField>
    <pivotField showAll="0"/>
    <pivotField showAll="0">
      <items count="14">
        <item x="12"/>
        <item x="7"/>
        <item x="9"/>
        <item x="2"/>
        <item x="1"/>
        <item x="11"/>
        <item x="6"/>
        <item x="5"/>
        <item x="0"/>
        <item x="3"/>
        <item x="10"/>
        <item x="4"/>
        <item x="8"/>
        <item t="default"/>
      </items>
    </pivotField>
    <pivotField showAll="0"/>
    <pivotField numFmtId="164" showAll="0"/>
    <pivotField numFmtId="9" showAll="0"/>
    <pivotField dataField="1" numFmtId="164" showAll="0"/>
    <pivotField numFmtId="164" showAll="0"/>
    <pivotField showAll="0">
      <items count="4">
        <item x="2"/>
        <item x="0"/>
        <item x="1"/>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Sales " fld="11" baseField="7" baseItem="0"/>
  </dataFields>
  <formats count="3">
    <format dxfId="53">
      <pivotArea dataOnly="0" labelOnly="1" outline="0" axis="axisValues" fieldPosition="0"/>
    </format>
    <format dxfId="52">
      <pivotArea outline="0" collapsedLevelsAreSubtotals="1" fieldPosition="0"/>
    </format>
    <format dxfId="51">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0"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2" rowHeaderCaption="Region">
  <location ref="H19:I25" firstHeaderRow="1" firstDataRow="1" firstDataCol="1"/>
  <pivotFields count="17">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13">
        <item x="5"/>
        <item x="8"/>
        <item x="7"/>
        <item x="9"/>
        <item x="11"/>
        <item x="2"/>
        <item x="4"/>
        <item x="0"/>
        <item x="1"/>
        <item x="6"/>
        <item x="10"/>
        <item x="3"/>
        <item t="default"/>
      </items>
    </pivotField>
    <pivotField showAll="0">
      <items count="490">
        <item x="467"/>
        <item x="480"/>
        <item x="181"/>
        <item x="329"/>
        <item x="331"/>
        <item x="2"/>
        <item x="178"/>
        <item x="143"/>
        <item x="146"/>
        <item x="354"/>
        <item x="195"/>
        <item x="246"/>
        <item x="488"/>
        <item x="470"/>
        <item x="92"/>
        <item x="157"/>
        <item x="109"/>
        <item x="310"/>
        <item x="401"/>
        <item x="91"/>
        <item x="65"/>
        <item x="380"/>
        <item x="355"/>
        <item x="405"/>
        <item x="386"/>
        <item x="193"/>
        <item x="312"/>
        <item x="152"/>
        <item x="392"/>
        <item x="22"/>
        <item x="211"/>
        <item x="260"/>
        <item x="397"/>
        <item x="9"/>
        <item x="86"/>
        <item x="357"/>
        <item x="249"/>
        <item x="113"/>
        <item x="199"/>
        <item x="54"/>
        <item x="287"/>
        <item x="122"/>
        <item x="263"/>
        <item x="190"/>
        <item x="410"/>
        <item x="159"/>
        <item x="438"/>
        <item x="208"/>
        <item x="4"/>
        <item x="456"/>
        <item x="336"/>
        <item x="384"/>
        <item x="473"/>
        <item x="224"/>
        <item x="282"/>
        <item x="30"/>
        <item x="413"/>
        <item x="369"/>
        <item x="404"/>
        <item x="468"/>
        <item x="167"/>
        <item x="26"/>
        <item x="451"/>
        <item x="10"/>
        <item x="58"/>
        <item x="6"/>
        <item x="25"/>
        <item x="366"/>
        <item x="150"/>
        <item x="34"/>
        <item x="475"/>
        <item x="184"/>
        <item x="21"/>
        <item x="80"/>
        <item x="455"/>
        <item x="130"/>
        <item x="46"/>
        <item x="450"/>
        <item x="172"/>
        <item x="163"/>
        <item x="13"/>
        <item x="464"/>
        <item x="449"/>
        <item x="337"/>
        <item x="283"/>
        <item x="300"/>
        <item x="7"/>
        <item x="376"/>
        <item x="403"/>
        <item x="138"/>
        <item x="250"/>
        <item x="408"/>
        <item x="368"/>
        <item x="370"/>
        <item x="316"/>
        <item x="144"/>
        <item x="173"/>
        <item x="296"/>
        <item x="187"/>
        <item x="121"/>
        <item x="201"/>
        <item x="63"/>
        <item x="206"/>
        <item x="443"/>
        <item x="37"/>
        <item x="446"/>
        <item x="149"/>
        <item x="154"/>
        <item x="47"/>
        <item x="36"/>
        <item x="400"/>
        <item x="265"/>
        <item x="41"/>
        <item x="185"/>
        <item x="356"/>
        <item x="198"/>
        <item x="259"/>
        <item x="339"/>
        <item x="104"/>
        <item x="114"/>
        <item x="297"/>
        <item x="313"/>
        <item x="292"/>
        <item x="79"/>
        <item x="275"/>
        <item x="38"/>
        <item x="317"/>
        <item x="161"/>
        <item x="117"/>
        <item x="335"/>
        <item x="84"/>
        <item x="74"/>
        <item x="415"/>
        <item x="318"/>
        <item x="322"/>
        <item x="87"/>
        <item x="273"/>
        <item x="465"/>
        <item x="261"/>
        <item x="213"/>
        <item x="306"/>
        <item x="348"/>
        <item x="288"/>
        <item x="389"/>
        <item x="431"/>
        <item x="295"/>
        <item x="414"/>
        <item x="424"/>
        <item x="70"/>
        <item x="388"/>
        <item x="32"/>
        <item x="421"/>
        <item x="214"/>
        <item x="378"/>
        <item x="447"/>
        <item x="290"/>
        <item x="256"/>
        <item x="156"/>
        <item x="466"/>
        <item x="77"/>
        <item x="127"/>
        <item x="257"/>
        <item x="106"/>
        <item x="367"/>
        <item x="458"/>
        <item x="385"/>
        <item x="277"/>
        <item x="29"/>
        <item x="27"/>
        <item x="166"/>
        <item x="445"/>
        <item x="105"/>
        <item x="75"/>
        <item x="129"/>
        <item x="262"/>
        <item x="311"/>
        <item x="391"/>
        <item x="160"/>
        <item x="137"/>
        <item x="176"/>
        <item x="243"/>
        <item x="125"/>
        <item x="78"/>
        <item x="428"/>
        <item x="123"/>
        <item x="395"/>
        <item x="362"/>
        <item x="237"/>
        <item x="64"/>
        <item x="334"/>
        <item x="474"/>
        <item x="108"/>
        <item x="314"/>
        <item x="12"/>
        <item x="51"/>
        <item x="39"/>
        <item x="236"/>
        <item x="186"/>
        <item x="216"/>
        <item x="82"/>
        <item x="345"/>
        <item x="35"/>
        <item x="165"/>
        <item x="407"/>
        <item x="258"/>
        <item x="272"/>
        <item x="377"/>
        <item x="101"/>
        <item x="218"/>
        <item x="279"/>
        <item x="230"/>
        <item x="326"/>
        <item x="299"/>
        <item x="320"/>
        <item x="61"/>
        <item x="252"/>
        <item x="481"/>
        <item x="472"/>
        <item x="245"/>
        <item x="180"/>
        <item x="71"/>
        <item x="188"/>
        <item x="294"/>
        <item x="111"/>
        <item x="264"/>
        <item x="462"/>
        <item x="16"/>
        <item x="319"/>
        <item x="28"/>
        <item x="460"/>
        <item x="192"/>
        <item x="360"/>
        <item x="463"/>
        <item x="228"/>
        <item x="437"/>
        <item x="293"/>
        <item x="402"/>
        <item x="418"/>
        <item x="452"/>
        <item x="102"/>
        <item x="349"/>
        <item x="411"/>
        <item x="232"/>
        <item x="453"/>
        <item x="97"/>
        <item x="374"/>
        <item x="487"/>
        <item x="49"/>
        <item x="399"/>
        <item x="99"/>
        <item x="59"/>
        <item x="72"/>
        <item x="308"/>
        <item x="11"/>
        <item x="382"/>
        <item x="278"/>
        <item x="110"/>
        <item x="244"/>
        <item x="448"/>
        <item x="151"/>
        <item x="350"/>
        <item x="238"/>
        <item x="441"/>
        <item x="254"/>
        <item x="169"/>
        <item x="73"/>
        <item x="242"/>
        <item x="482"/>
        <item x="352"/>
        <item x="177"/>
        <item x="284"/>
        <item x="330"/>
        <item x="107"/>
        <item x="248"/>
        <item x="459"/>
        <item x="85"/>
        <item x="90"/>
        <item x="444"/>
        <item x="454"/>
        <item x="191"/>
        <item x="484"/>
        <item x="45"/>
        <item x="231"/>
        <item x="124"/>
        <item x="276"/>
        <item x="420"/>
        <item x="175"/>
        <item x="417"/>
        <item x="477"/>
        <item x="116"/>
        <item x="56"/>
        <item x="23"/>
        <item x="174"/>
        <item x="241"/>
        <item x="89"/>
        <item x="412"/>
        <item x="33"/>
        <item x="429"/>
        <item x="67"/>
        <item x="44"/>
        <item x="136"/>
        <item x="88"/>
        <item x="227"/>
        <item x="419"/>
        <item x="461"/>
        <item x="327"/>
        <item x="222"/>
        <item x="212"/>
        <item x="112"/>
        <item x="476"/>
        <item x="119"/>
        <item x="126"/>
        <item x="381"/>
        <item x="142"/>
        <item x="253"/>
        <item x="219"/>
        <item x="393"/>
        <item x="347"/>
        <item x="435"/>
        <item x="346"/>
        <item x="409"/>
        <item x="440"/>
        <item x="204"/>
        <item x="483"/>
        <item x="434"/>
        <item x="379"/>
        <item x="267"/>
        <item x="266"/>
        <item x="372"/>
        <item x="225"/>
        <item x="134"/>
        <item x="139"/>
        <item x="239"/>
        <item x="69"/>
        <item x="486"/>
        <item x="373"/>
        <item x="416"/>
        <item x="81"/>
        <item x="209"/>
        <item x="321"/>
        <item x="158"/>
        <item x="76"/>
        <item x="423"/>
        <item x="285"/>
        <item x="315"/>
        <item x="343"/>
        <item x="325"/>
        <item x="303"/>
        <item x="426"/>
        <item x="53"/>
        <item x="289"/>
        <item x="383"/>
        <item x="68"/>
        <item x="471"/>
        <item x="17"/>
        <item x="328"/>
        <item x="338"/>
        <item x="43"/>
        <item x="18"/>
        <item x="183"/>
        <item x="14"/>
        <item x="485"/>
        <item x="48"/>
        <item x="132"/>
        <item x="57"/>
        <item x="95"/>
        <item x="200"/>
        <item x="333"/>
        <item x="40"/>
        <item x="189"/>
        <item x="387"/>
        <item x="145"/>
        <item x="96"/>
        <item x="396"/>
        <item x="364"/>
        <item x="5"/>
        <item x="323"/>
        <item x="268"/>
        <item x="210"/>
        <item x="3"/>
        <item x="221"/>
        <item x="270"/>
        <item x="148"/>
        <item x="427"/>
        <item x="281"/>
        <item x="478"/>
        <item x="1"/>
        <item x="0"/>
        <item x="251"/>
        <item x="60"/>
        <item x="363"/>
        <item x="182"/>
        <item x="103"/>
        <item x="406"/>
        <item x="62"/>
        <item x="196"/>
        <item x="291"/>
        <item x="359"/>
        <item x="332"/>
        <item x="436"/>
        <item x="179"/>
        <item x="197"/>
        <item x="83"/>
        <item x="344"/>
        <item x="120"/>
        <item x="430"/>
        <item x="457"/>
        <item x="217"/>
        <item x="425"/>
        <item x="247"/>
        <item x="168"/>
        <item x="342"/>
        <item x="233"/>
        <item x="164"/>
        <item x="24"/>
        <item x="147"/>
        <item x="271"/>
        <item x="133"/>
        <item x="115"/>
        <item x="205"/>
        <item x="207"/>
        <item x="309"/>
        <item x="439"/>
        <item x="140"/>
        <item x="194"/>
        <item x="31"/>
        <item x="19"/>
        <item x="341"/>
        <item x="94"/>
        <item x="229"/>
        <item x="240"/>
        <item x="55"/>
        <item x="469"/>
        <item x="118"/>
        <item x="394"/>
        <item x="365"/>
        <item x="202"/>
        <item x="358"/>
        <item x="371"/>
        <item x="302"/>
        <item x="131"/>
        <item x="93"/>
        <item x="398"/>
        <item x="220"/>
        <item x="135"/>
        <item x="226"/>
        <item x="351"/>
        <item x="422"/>
        <item x="153"/>
        <item x="307"/>
        <item x="235"/>
        <item x="52"/>
        <item x="171"/>
        <item x="433"/>
        <item x="353"/>
        <item x="215"/>
        <item x="298"/>
        <item x="8"/>
        <item x="304"/>
        <item x="141"/>
        <item x="286"/>
        <item x="66"/>
        <item x="479"/>
        <item x="50"/>
        <item x="280"/>
        <item x="20"/>
        <item x="170"/>
        <item x="98"/>
        <item x="234"/>
        <item x="162"/>
        <item x="361"/>
        <item x="155"/>
        <item x="15"/>
        <item x="301"/>
        <item x="42"/>
        <item x="324"/>
        <item x="274"/>
        <item x="255"/>
        <item x="340"/>
        <item x="305"/>
        <item x="375"/>
        <item x="223"/>
        <item x="128"/>
        <item x="269"/>
        <item x="100"/>
        <item x="442"/>
        <item x="432"/>
        <item x="203"/>
        <item x="390"/>
        <item t="default"/>
      </items>
    </pivotField>
    <pivotField showAll="0" measureFilter="1" sortType="descending" maxSubtotal="1">
      <items count="494">
        <item x="71"/>
        <item x="245"/>
        <item x="452"/>
        <item x="188"/>
        <item x="82"/>
        <item x="212"/>
        <item x="51"/>
        <item x="368"/>
        <item x="348"/>
        <item x="201"/>
        <item x="179"/>
        <item x="465"/>
        <item x="233"/>
        <item x="92"/>
        <item x="133"/>
        <item x="304"/>
        <item x="24"/>
        <item x="277"/>
        <item x="378"/>
        <item x="146"/>
        <item x="52"/>
        <item x="458"/>
        <item x="204"/>
        <item x="207"/>
        <item x="140"/>
        <item x="283"/>
        <item x="466"/>
        <item x="398"/>
        <item x="249"/>
        <item x="227"/>
        <item x="291"/>
        <item x="175"/>
        <item x="171"/>
        <item x="412"/>
        <item x="81"/>
        <item x="149"/>
        <item x="117"/>
        <item x="174"/>
        <item x="19"/>
        <item x="386"/>
        <item x="41"/>
        <item x="147"/>
        <item x="470"/>
        <item x="418"/>
        <item x="178"/>
        <item x="252"/>
        <item x="109"/>
        <item x="258"/>
        <item x="261"/>
        <item x="151"/>
        <item x="9"/>
        <item x="141"/>
        <item x="237"/>
        <item x="248"/>
        <item x="410"/>
        <item x="350"/>
        <item x="112"/>
        <item x="209"/>
        <item x="390"/>
        <item x="106"/>
        <item x="417"/>
        <item x="374"/>
        <item x="18"/>
        <item x="28"/>
        <item x="73"/>
        <item x="219"/>
        <item x="380"/>
        <item x="256"/>
        <item x="136"/>
        <item x="39"/>
        <item x="72"/>
        <item x="154"/>
        <item x="260"/>
        <item x="119"/>
        <item x="187"/>
        <item x="132"/>
        <item x="345"/>
        <item x="45"/>
        <item x="262"/>
        <item x="322"/>
        <item x="163"/>
        <item x="448"/>
        <item x="309"/>
        <item x="173"/>
        <item x="36"/>
        <item x="395"/>
        <item x="446"/>
        <item x="213"/>
        <item x="319"/>
        <item x="135"/>
        <item x="55"/>
        <item x="186"/>
        <item x="68"/>
        <item x="474"/>
        <item x="23"/>
        <item x="476"/>
        <item x="469"/>
        <item x="118"/>
        <item x="336"/>
        <item x="77"/>
        <item x="269"/>
        <item x="450"/>
        <item x="313"/>
        <item x="274"/>
        <item x="61"/>
        <item x="104"/>
        <item x="447"/>
        <item x="48"/>
        <item x="114"/>
        <item x="399"/>
        <item x="196"/>
        <item x="351"/>
        <item x="471"/>
        <item x="487"/>
        <item x="167"/>
        <item x="100"/>
        <item x="10"/>
        <item x="76"/>
        <item x="143"/>
        <item x="460"/>
        <item x="330"/>
        <item x="490"/>
        <item x="370"/>
        <item x="223"/>
        <item x="232"/>
        <item x="98"/>
        <item x="328"/>
        <item x="356"/>
        <item x="66"/>
        <item x="111"/>
        <item x="215"/>
        <item x="357"/>
        <item x="449"/>
        <item x="31"/>
        <item x="429"/>
        <item x="279"/>
        <item x="238"/>
        <item x="30"/>
        <item x="168"/>
        <item x="307"/>
        <item x="403"/>
        <item x="484"/>
        <item x="206"/>
        <item x="488"/>
        <item x="311"/>
        <item x="169"/>
        <item x="441"/>
        <item x="162"/>
        <item x="91"/>
        <item x="308"/>
        <item x="365"/>
        <item x="314"/>
        <item x="382"/>
        <item x="375"/>
        <item x="445"/>
        <item x="84"/>
        <item x="96"/>
        <item x="176"/>
        <item x="145"/>
        <item x="438"/>
        <item x="363"/>
        <item x="271"/>
        <item x="78"/>
        <item x="415"/>
        <item x="318"/>
        <item x="433"/>
        <item x="473"/>
        <item x="21"/>
        <item x="268"/>
        <item x="107"/>
        <item x="292"/>
        <item x="46"/>
        <item x="113"/>
        <item x="177"/>
        <item x="340"/>
        <item x="85"/>
        <item x="373"/>
        <item x="7"/>
        <item x="142"/>
        <item x="359"/>
        <item x="211"/>
        <item x="342"/>
        <item x="317"/>
        <item x="20"/>
        <item x="265"/>
        <item x="406"/>
        <item x="294"/>
        <item x="352"/>
        <item x="353"/>
        <item x="138"/>
        <item x="293"/>
        <item x="29"/>
        <item x="22"/>
        <item x="17"/>
        <item x="26"/>
        <item x="103"/>
        <item x="303"/>
        <item x="416"/>
        <item x="253"/>
        <item x="56"/>
        <item x="409"/>
        <item x="191"/>
        <item x="93"/>
        <item x="489"/>
        <item x="231"/>
        <item x="254"/>
        <item x="234"/>
        <item x="270"/>
        <item x="229"/>
        <item x="224"/>
        <item x="419"/>
        <item x="94"/>
        <item x="35"/>
        <item x="287"/>
        <item x="400"/>
        <item x="182"/>
        <item x="25"/>
        <item x="273"/>
        <item x="159"/>
        <item x="481"/>
        <item x="197"/>
        <item x="361"/>
        <item x="3"/>
        <item x="280"/>
        <item x="393"/>
        <item x="376"/>
        <item x="33"/>
        <item x="284"/>
        <item x="462"/>
        <item x="70"/>
        <item x="214"/>
        <item x="1"/>
        <item x="362"/>
        <item x="192"/>
        <item x="64"/>
        <item x="0"/>
        <item x="325"/>
        <item x="310"/>
        <item x="198"/>
        <item x="298"/>
        <item x="385"/>
        <item x="492"/>
        <item x="247"/>
        <item x="257"/>
        <item x="134"/>
        <item x="50"/>
        <item x="242"/>
        <item x="58"/>
        <item x="288"/>
        <item x="334"/>
        <item x="454"/>
        <item x="62"/>
        <item x="54"/>
        <item x="74"/>
        <item x="65"/>
        <item x="110"/>
        <item x="183"/>
        <item x="97"/>
        <item x="300"/>
        <item x="338"/>
        <item x="80"/>
        <item x="327"/>
        <item x="432"/>
        <item x="482"/>
        <item x="358"/>
        <item x="126"/>
        <item x="86"/>
        <item x="333"/>
        <item x="436"/>
        <item x="391"/>
        <item x="468"/>
        <item x="286"/>
        <item x="401"/>
        <item x="208"/>
        <item x="371"/>
        <item x="289"/>
        <item x="267"/>
        <item x="402"/>
        <item x="40"/>
        <item x="463"/>
        <item x="139"/>
        <item x="240"/>
        <item x="392"/>
        <item x="379"/>
        <item x="332"/>
        <item x="87"/>
        <item x="53"/>
        <item x="8"/>
        <item x="27"/>
        <item x="172"/>
        <item x="296"/>
        <item x="95"/>
        <item x="49"/>
        <item x="367"/>
        <item x="364"/>
        <item x="75"/>
        <item x="130"/>
        <item x="355"/>
        <item x="339"/>
        <item x="210"/>
        <item x="67"/>
        <item x="60"/>
        <item x="121"/>
        <item x="420"/>
        <item x="360"/>
        <item x="218"/>
        <item x="435"/>
        <item x="341"/>
        <item x="165"/>
        <item x="397"/>
        <item x="442"/>
        <item x="457"/>
        <item x="421"/>
        <item x="156"/>
        <item x="194"/>
        <item x="190"/>
        <item x="444"/>
        <item x="193"/>
        <item x="299"/>
        <item x="381"/>
        <item x="57"/>
        <item x="485"/>
        <item x="127"/>
        <item x="144"/>
        <item x="15"/>
        <item x="407"/>
        <item x="430"/>
        <item x="161"/>
        <item x="475"/>
        <item x="453"/>
        <item x="123"/>
        <item x="150"/>
        <item x="102"/>
        <item x="239"/>
        <item x="290"/>
        <item x="451"/>
        <item x="405"/>
        <item x="246"/>
        <item x="79"/>
        <item x="129"/>
        <item x="388"/>
        <item x="263"/>
        <item x="411"/>
        <item x="316"/>
        <item x="108"/>
        <item x="185"/>
        <item x="422"/>
        <item x="221"/>
        <item x="396"/>
        <item x="297"/>
        <item x="312"/>
        <item x="480"/>
        <item x="202"/>
        <item x="216"/>
        <item x="90"/>
        <item x="195"/>
        <item x="152"/>
        <item x="455"/>
        <item x="331"/>
        <item x="278"/>
        <item x="437"/>
        <item x="101"/>
        <item x="222"/>
        <item x="200"/>
        <item x="281"/>
        <item x="236"/>
        <item x="158"/>
        <item x="11"/>
        <item x="427"/>
        <item x="377"/>
        <item x="347"/>
        <item x="120"/>
        <item x="461"/>
        <item x="394"/>
        <item x="83"/>
        <item x="305"/>
        <item x="38"/>
        <item x="315"/>
        <item x="326"/>
        <item x="44"/>
        <item x="99"/>
        <item x="5"/>
        <item x="301"/>
        <item x="282"/>
        <item x="329"/>
        <item x="337"/>
        <item x="295"/>
        <item x="491"/>
        <item x="42"/>
        <item x="155"/>
        <item x="276"/>
        <item x="244"/>
        <item x="302"/>
        <item x="124"/>
        <item x="425"/>
        <item x="464"/>
        <item x="6"/>
        <item x="467"/>
        <item x="89"/>
        <item x="32"/>
        <item x="225"/>
        <item x="321"/>
        <item x="335"/>
        <item x="203"/>
        <item x="431"/>
        <item x="47"/>
        <item x="483"/>
        <item x="199"/>
        <item x="255"/>
        <item x="486"/>
        <item x="166"/>
        <item x="116"/>
        <item x="456"/>
        <item x="428"/>
        <item x="266"/>
        <item x="408"/>
        <item x="12"/>
        <item x="205"/>
        <item x="137"/>
        <item x="324"/>
        <item x="414"/>
        <item x="37"/>
        <item x="220"/>
        <item x="389"/>
        <item x="285"/>
        <item x="404"/>
        <item x="69"/>
        <item x="275"/>
        <item x="230"/>
        <item x="479"/>
        <item x="323"/>
        <item x="164"/>
        <item x="184"/>
        <item x="243"/>
        <item x="14"/>
        <item x="439"/>
        <item x="180"/>
        <item x="13"/>
        <item x="387"/>
        <item x="128"/>
        <item x="320"/>
        <item x="59"/>
        <item x="189"/>
        <item x="306"/>
        <item x="477"/>
        <item x="264"/>
        <item x="259"/>
        <item x="105"/>
        <item x="241"/>
        <item x="413"/>
        <item x="43"/>
        <item x="349"/>
        <item x="346"/>
        <item x="16"/>
        <item x="472"/>
        <item x="440"/>
        <item x="443"/>
        <item x="125"/>
        <item x="217"/>
        <item x="235"/>
        <item x="344"/>
        <item x="4"/>
        <item x="181"/>
        <item x="148"/>
        <item x="251"/>
        <item x="2"/>
        <item x="366"/>
        <item x="423"/>
        <item x="226"/>
        <item x="384"/>
        <item x="157"/>
        <item x="434"/>
        <item x="459"/>
        <item x="426"/>
        <item x="170"/>
        <item x="228"/>
        <item x="153"/>
        <item x="372"/>
        <item x="250"/>
        <item x="34"/>
        <item x="383"/>
        <item x="424"/>
        <item x="272"/>
        <item x="115"/>
        <item x="63"/>
        <item x="343"/>
        <item x="478"/>
        <item x="369"/>
        <item x="131"/>
        <item x="88"/>
        <item x="354"/>
        <item x="160"/>
        <item x="122"/>
        <item t="max"/>
      </items>
      <autoSortScope>
        <pivotArea dataOnly="0" outline="0" fieldPosition="0">
          <references count="1">
            <reference field="4294967294" count="1" selected="0">
              <x v="0"/>
            </reference>
          </references>
        </pivotArea>
      </autoSortScope>
    </pivotField>
    <pivotField axis="axisRow" showAll="0" sortType="descending">
      <items count="6">
        <item x="3"/>
        <item x="1"/>
        <item x="2"/>
        <item x="0"/>
        <item x="4"/>
        <item t="default"/>
      </items>
      <autoSortScope>
        <pivotArea dataOnly="0" outline="0" fieldPosition="0">
          <references count="1">
            <reference field="4294967294" count="1" selected="0">
              <x v="0"/>
            </reference>
          </references>
        </pivotArea>
      </autoSortScope>
    </pivotField>
    <pivotField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sortType="descending">
      <items count="14">
        <item x="12"/>
        <item x="7"/>
        <item x="9"/>
        <item x="2"/>
        <item x="1"/>
        <item x="11"/>
        <item x="6"/>
        <item x="5"/>
        <item x="0"/>
        <item x="3"/>
        <item x="10"/>
        <item x="4"/>
        <item x="8"/>
        <item t="default"/>
      </items>
      <autoSortScope>
        <pivotArea dataOnly="0" outline="0" fieldPosition="0">
          <references count="1">
            <reference field="4294967294" count="1" selected="0">
              <x v="0"/>
            </reference>
          </references>
        </pivotArea>
      </autoSortScope>
    </pivotField>
    <pivotField showAll="0"/>
    <pivotField numFmtId="164" showAll="0"/>
    <pivotField numFmtId="9" showAll="0"/>
    <pivotField dataField="1" numFmtId="164" showAll="0"/>
    <pivotField numFmtId="164" showAll="0"/>
    <pivotField showAll="0">
      <items count="4">
        <item x="2"/>
        <item x="0"/>
        <item x="1"/>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6">
    <i>
      <x v="4"/>
    </i>
    <i>
      <x v="3"/>
    </i>
    <i>
      <x/>
    </i>
    <i>
      <x v="1"/>
    </i>
    <i>
      <x v="2"/>
    </i>
    <i t="grand">
      <x/>
    </i>
  </rowItems>
  <colItems count="1">
    <i/>
  </colItems>
  <dataFields count="1">
    <dataField name="Total Sales " fld="11" baseField="7" baseItem="0"/>
  </dataFields>
  <formats count="5">
    <format dxfId="58">
      <pivotArea dataOnly="0" labelOnly="1" outline="0" axis="axisValues" fieldPosition="0"/>
    </format>
    <format dxfId="57">
      <pivotArea outline="0" collapsedLevelsAreSubtotals="1" fieldPosition="0"/>
    </format>
    <format dxfId="56">
      <pivotArea collapsedLevelsAreSubtotals="1" fieldPosition="0">
        <references count="1">
          <reference field="5" count="0"/>
        </references>
      </pivotArea>
    </format>
    <format dxfId="55">
      <pivotArea dataOnly="0" grandRow="1" fieldPosition="0"/>
    </format>
    <format dxfId="54">
      <pivotArea field="5" type="button" dataOnly="0" labelOnly="1" outline="0" axis="axisRow"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5" name="PivotTable6"/>
    <pivotTable tabId="15" name="PivotTable1"/>
    <pivotTable tabId="15" name="PivotTable10"/>
    <pivotTable tabId="15" name="PivotTable11"/>
    <pivotTable tabId="15" name="PivotTable12"/>
    <pivotTable tabId="15" name="PivotTable14"/>
    <pivotTable tabId="15" name="PivotTable15"/>
    <pivotTable tabId="15" name="PivotTable16"/>
    <pivotTable tabId="15" name="PivotTable17"/>
    <pivotTable tabId="15" name="PivotTable2"/>
    <pivotTable tabId="15" name="PivotTable3"/>
    <pivotTable tabId="15" name="PivotTable4"/>
    <pivotTable tabId="15" name="PivotTable7"/>
    <pivotTable tabId="15" name="PivotTable9"/>
    <pivotTable tabId="15" name="PivotTable5"/>
    <pivotTable tabId="15" name="PivotTable13"/>
  </pivotTables>
  <data>
    <tabular pivotCacheId="1">
      <items count="12">
        <i x="5" s="1"/>
        <i x="8" s="1"/>
        <i x="7" s="1"/>
        <i x="9" s="1"/>
        <i x="11" s="1"/>
        <i x="2" s="1"/>
        <i x="4" s="1"/>
        <i x="0" s="1"/>
        <i x="1" s="1"/>
        <i x="6" s="1"/>
        <i x="1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5" name="PivotTable6"/>
    <pivotTable tabId="15" name="PivotTable1"/>
    <pivotTable tabId="15" name="PivotTable10"/>
    <pivotTable tabId="15" name="PivotTable11"/>
    <pivotTable tabId="15" name="PivotTable12"/>
    <pivotTable tabId="15" name="PivotTable15"/>
    <pivotTable tabId="15" name="PivotTable16"/>
    <pivotTable tabId="15" name="PivotTable17"/>
    <pivotTable tabId="15" name="PivotTable2"/>
    <pivotTable tabId="15" name="PivotTable3"/>
    <pivotTable tabId="15" name="PivotTable4"/>
    <pivotTable tabId="15" name="PivotTable7"/>
    <pivotTable tabId="15" name="PivotTable9"/>
    <pivotTable tabId="15" name="PivotTable14"/>
    <pivotTable tabId="15" name="PivotTable5"/>
    <pivotTable tabId="15" name="PivotTable13"/>
  </pivotTables>
  <data>
    <tabular pivotCacheId="1">
      <items count="5">
        <i x="3" s="1"/>
        <i x="1"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15" name="PivotTable6"/>
    <pivotTable tabId="15" name="PivotTable1"/>
    <pivotTable tabId="15" name="PivotTable10"/>
    <pivotTable tabId="15" name="PivotTable11"/>
    <pivotTable tabId="15" name="PivotTable12"/>
    <pivotTable tabId="15" name="PivotTable14"/>
    <pivotTable tabId="15" name="PivotTable15"/>
    <pivotTable tabId="15" name="PivotTable16"/>
    <pivotTable tabId="15" name="PivotTable17"/>
    <pivotTable tabId="15" name="PivotTable2"/>
    <pivotTable tabId="15" name="PivotTable3"/>
    <pivotTable tabId="15" name="PivotTable4"/>
    <pivotTable tabId="15" name="PivotTable7"/>
    <pivotTable tabId="15" name="PivotTable9"/>
    <pivotTable tabId="15" name="PivotTable5"/>
    <pivotTable tabId="15" name="PivotTable13"/>
  </pivotTables>
  <data>
    <tabular pivotCacheId="1">
      <items count="13">
        <i x="12" s="1"/>
        <i x="7" s="1"/>
        <i x="9" s="1"/>
        <i x="2" s="1"/>
        <i x="1" s="1"/>
        <i x="11" s="1"/>
        <i x="6" s="1"/>
        <i x="5" s="1"/>
        <i x="0" s="1"/>
        <i x="3" s="1"/>
        <i x="10" s="1"/>
        <i x="4"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15" name="PivotTable6"/>
    <pivotTable tabId="15" name="PivotTable1"/>
    <pivotTable tabId="15" name="PivotTable10"/>
    <pivotTable tabId="15" name="PivotTable11"/>
    <pivotTable tabId="15" name="PivotTable12"/>
    <pivotTable tabId="15" name="PivotTable14"/>
    <pivotTable tabId="15" name="PivotTable15"/>
    <pivotTable tabId="15" name="PivotTable16"/>
    <pivotTable tabId="15" name="PivotTable17"/>
    <pivotTable tabId="15" name="PivotTable2"/>
    <pivotTable tabId="15" name="PivotTable3"/>
    <pivotTable tabId="15" name="PivotTable4"/>
    <pivotTable tabId="15" name="PivotTable7"/>
    <pivotTable tabId="15" name="PivotTable9"/>
    <pivotTable tabId="15" name="PivotTable5"/>
    <pivotTable tabId="15" name="PivotTable13"/>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Region" cache="Slicer_Region" caption="Region" rowHeight="241300"/>
  <slicer name="Product" cache="Slicer_Product" caption="Product" rowHeight="241300"/>
  <slicer name="Payment Method" cache="Slicer_Payment_Method" caption="Payment Method" rowHeight="241300"/>
</slicers>
</file>

<file path=xl/tables/table1.xml><?xml version="1.0" encoding="utf-8"?>
<table xmlns="http://schemas.openxmlformats.org/spreadsheetml/2006/main" id="3" name="Table1" displayName="Table1" ref="A1:P2001" totalsRowShown="0" headerRowDxfId="10">
  <autoFilter ref="A1:P2001"/>
  <sortState ref="A2:N2001">
    <sortCondition sortBy="cellColor" ref="E2:E2001" dxfId="9"/>
  </sortState>
  <tableColumns count="16">
    <tableColumn id="1" name="Order ID"/>
    <tableColumn id="2" name="Order Date" dataDxfId="8"/>
    <tableColumn id="15" name="Month" dataDxfId="7">
      <calculatedColumnFormula>TEXT(B:B, "mmm")</calculatedColumnFormula>
    </tableColumn>
    <tableColumn id="3" name="Customer ID"/>
    <tableColumn id="4" name="Customer Name" dataDxfId="6"/>
    <tableColumn id="5" name="Region"/>
    <tableColumn id="6" name="Product Category"/>
    <tableColumn id="7" name="Product"/>
    <tableColumn id="8" name="Quantity"/>
    <tableColumn id="9" name="Unit Price" dataDxfId="5" dataCellStyle="Currency"/>
    <tableColumn id="10" name="Discount" dataDxfId="4" dataCellStyle="Percent"/>
    <tableColumn id="11" name="Sales" dataDxfId="3" dataCellStyle="Currency"/>
    <tableColumn id="12" name="Profit" dataDxfId="2" dataCellStyle="Currency"/>
    <tableColumn id="13" name="Payment Method"/>
    <tableColumn id="14" name="AOV" dataDxfId="1" dataCellStyle="Currency"/>
    <tableColumn id="16" name="Column1" dataDxfId="0" dataCellStyle="Currency"/>
  </tableColumns>
  <tableStyleInfo name="TableStyleMedium10"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01"/>
  <sheetViews>
    <sheetView workbookViewId="0">
      <selection activeCell="N13" sqref="N13"/>
    </sheetView>
  </sheetViews>
  <sheetFormatPr defaultRowHeight="16.5" x14ac:dyDescent="0.3"/>
  <cols>
    <col min="1" max="1" width="9.75" customWidth="1"/>
    <col min="4" max="4" width="15.375" style="7" customWidth="1"/>
    <col min="5" max="5" width="12.625" customWidth="1"/>
  </cols>
  <sheetData>
    <row r="1" spans="1:13" x14ac:dyDescent="0.3">
      <c r="A1" t="s">
        <v>0</v>
      </c>
      <c r="B1" t="s">
        <v>1</v>
      </c>
      <c r="C1" t="s">
        <v>2</v>
      </c>
      <c r="D1" s="7" t="s">
        <v>3</v>
      </c>
      <c r="E1" t="s">
        <v>4</v>
      </c>
      <c r="F1" t="s">
        <v>5</v>
      </c>
      <c r="G1" t="s">
        <v>6</v>
      </c>
      <c r="H1" t="s">
        <v>7</v>
      </c>
      <c r="I1" t="s">
        <v>8</v>
      </c>
      <c r="J1" t="s">
        <v>9</v>
      </c>
      <c r="K1" t="s">
        <v>10</v>
      </c>
      <c r="L1" t="s">
        <v>11</v>
      </c>
      <c r="M1" t="s">
        <v>12</v>
      </c>
    </row>
    <row r="2" spans="1:13" x14ac:dyDescent="0.3">
      <c r="A2" t="s">
        <v>13</v>
      </c>
      <c r="B2" t="s">
        <v>14</v>
      </c>
      <c r="C2" t="s">
        <v>15</v>
      </c>
      <c r="D2" s="7" t="s">
        <v>16</v>
      </c>
      <c r="E2" t="s">
        <v>17</v>
      </c>
      <c r="F2" t="s">
        <v>18</v>
      </c>
      <c r="G2" t="s">
        <v>19</v>
      </c>
      <c r="H2">
        <v>2</v>
      </c>
      <c r="I2">
        <v>179.1</v>
      </c>
      <c r="J2">
        <v>0</v>
      </c>
      <c r="K2">
        <v>358.2</v>
      </c>
      <c r="L2">
        <v>90.26</v>
      </c>
      <c r="M2" t="s">
        <v>20</v>
      </c>
    </row>
    <row r="3" spans="1:13" x14ac:dyDescent="0.3">
      <c r="A3" t="s">
        <v>21</v>
      </c>
      <c r="B3" t="s">
        <v>22</v>
      </c>
      <c r="C3" t="s">
        <v>23</v>
      </c>
      <c r="D3" s="7" t="s">
        <v>24</v>
      </c>
      <c r="E3" t="s">
        <v>25</v>
      </c>
      <c r="F3" t="s">
        <v>26</v>
      </c>
      <c r="G3" t="s">
        <v>27</v>
      </c>
      <c r="H3">
        <v>4</v>
      </c>
      <c r="I3">
        <v>57.98</v>
      </c>
      <c r="J3">
        <v>0.15</v>
      </c>
      <c r="K3">
        <v>197.13</v>
      </c>
      <c r="L3">
        <v>23.5</v>
      </c>
      <c r="M3" t="s">
        <v>20</v>
      </c>
    </row>
    <row r="4" spans="1:13" x14ac:dyDescent="0.3">
      <c r="A4" t="s">
        <v>28</v>
      </c>
      <c r="B4" t="s">
        <v>29</v>
      </c>
      <c r="C4" t="s">
        <v>30</v>
      </c>
      <c r="D4" s="7" t="s">
        <v>31</v>
      </c>
      <c r="E4" t="s">
        <v>32</v>
      </c>
      <c r="F4" t="s">
        <v>33</v>
      </c>
      <c r="G4" t="s">
        <v>34</v>
      </c>
      <c r="H4">
        <v>3</v>
      </c>
      <c r="I4">
        <v>24.56</v>
      </c>
      <c r="J4">
        <v>0.1</v>
      </c>
      <c r="K4">
        <v>66.31</v>
      </c>
      <c r="L4">
        <v>9.91</v>
      </c>
      <c r="M4" t="s">
        <v>35</v>
      </c>
    </row>
    <row r="5" spans="1:13" x14ac:dyDescent="0.3">
      <c r="A5" t="s">
        <v>36</v>
      </c>
      <c r="B5" t="s">
        <v>37</v>
      </c>
      <c r="C5" t="s">
        <v>38</v>
      </c>
      <c r="D5" s="7" t="s">
        <v>39</v>
      </c>
      <c r="E5" t="s">
        <v>25</v>
      </c>
      <c r="F5" t="s">
        <v>33</v>
      </c>
      <c r="G5" t="s">
        <v>34</v>
      </c>
      <c r="H5">
        <v>4</v>
      </c>
      <c r="I5">
        <v>146.09</v>
      </c>
      <c r="J5">
        <v>0.05</v>
      </c>
      <c r="K5">
        <v>555.14</v>
      </c>
      <c r="L5">
        <v>147.1</v>
      </c>
      <c r="M5" t="s">
        <v>40</v>
      </c>
    </row>
    <row r="6" spans="1:13" x14ac:dyDescent="0.3">
      <c r="A6" t="s">
        <v>41</v>
      </c>
      <c r="B6" t="s">
        <v>42</v>
      </c>
      <c r="C6" t="s">
        <v>43</v>
      </c>
      <c r="D6" s="7" t="s">
        <v>44</v>
      </c>
      <c r="E6" t="s">
        <v>25</v>
      </c>
      <c r="F6" t="s">
        <v>18</v>
      </c>
      <c r="G6" t="s">
        <v>45</v>
      </c>
      <c r="H6">
        <v>3</v>
      </c>
      <c r="I6">
        <v>28.35</v>
      </c>
      <c r="J6">
        <v>0</v>
      </c>
      <c r="K6">
        <v>85.05</v>
      </c>
      <c r="L6">
        <v>18.14</v>
      </c>
      <c r="M6" t="s">
        <v>20</v>
      </c>
    </row>
    <row r="7" spans="1:13" x14ac:dyDescent="0.3">
      <c r="A7" t="s">
        <v>46</v>
      </c>
      <c r="B7" t="s">
        <v>47</v>
      </c>
      <c r="C7" t="s">
        <v>48</v>
      </c>
      <c r="D7" s="7" t="s">
        <v>49</v>
      </c>
      <c r="E7" t="s">
        <v>25</v>
      </c>
      <c r="F7" t="s">
        <v>33</v>
      </c>
      <c r="G7" t="s">
        <v>50</v>
      </c>
      <c r="H7">
        <v>3</v>
      </c>
      <c r="I7">
        <v>53.22</v>
      </c>
      <c r="J7">
        <v>0.15</v>
      </c>
      <c r="K7">
        <v>135.71</v>
      </c>
      <c r="L7">
        <v>12.27</v>
      </c>
      <c r="M7" t="s">
        <v>35</v>
      </c>
    </row>
    <row r="8" spans="1:13" x14ac:dyDescent="0.3">
      <c r="A8" t="s">
        <v>51</v>
      </c>
      <c r="B8" t="s">
        <v>52</v>
      </c>
      <c r="C8" t="s">
        <v>53</v>
      </c>
      <c r="D8" s="7" t="s">
        <v>54</v>
      </c>
      <c r="E8" t="s">
        <v>32</v>
      </c>
      <c r="F8" t="s">
        <v>33</v>
      </c>
      <c r="G8" t="s">
        <v>34</v>
      </c>
      <c r="H8">
        <v>5</v>
      </c>
      <c r="I8">
        <v>234.97</v>
      </c>
      <c r="J8">
        <v>0.1</v>
      </c>
      <c r="K8">
        <v>1057.3699999999999</v>
      </c>
      <c r="L8">
        <v>124.57</v>
      </c>
      <c r="M8" t="s">
        <v>20</v>
      </c>
    </row>
    <row r="9" spans="1:13" x14ac:dyDescent="0.3">
      <c r="A9" t="s">
        <v>55</v>
      </c>
      <c r="B9" t="s">
        <v>56</v>
      </c>
      <c r="C9" t="s">
        <v>57</v>
      </c>
      <c r="D9" s="7" t="s">
        <v>58</v>
      </c>
      <c r="E9" t="s">
        <v>59</v>
      </c>
      <c r="F9" t="s">
        <v>26</v>
      </c>
      <c r="G9" t="s">
        <v>27</v>
      </c>
      <c r="H9">
        <v>1</v>
      </c>
      <c r="I9">
        <v>193.84</v>
      </c>
      <c r="J9">
        <v>0.15</v>
      </c>
      <c r="K9">
        <v>164.76</v>
      </c>
      <c r="L9">
        <v>15.28</v>
      </c>
      <c r="M9" t="s">
        <v>35</v>
      </c>
    </row>
    <row r="10" spans="1:13" x14ac:dyDescent="0.3">
      <c r="A10" t="s">
        <v>60</v>
      </c>
      <c r="B10" t="s">
        <v>61</v>
      </c>
      <c r="C10" t="s">
        <v>62</v>
      </c>
      <c r="D10" s="7" t="s">
        <v>63</v>
      </c>
      <c r="E10" t="s">
        <v>64</v>
      </c>
      <c r="F10" t="s">
        <v>26</v>
      </c>
      <c r="G10" t="s">
        <v>27</v>
      </c>
      <c r="H10">
        <v>3</v>
      </c>
      <c r="I10">
        <v>222.33</v>
      </c>
      <c r="J10">
        <v>0.15</v>
      </c>
      <c r="K10">
        <v>566.94000000000005</v>
      </c>
      <c r="L10">
        <v>150.03</v>
      </c>
      <c r="M10" t="s">
        <v>40</v>
      </c>
    </row>
    <row r="11" spans="1:13" x14ac:dyDescent="0.3">
      <c r="A11" t="s">
        <v>65</v>
      </c>
      <c r="B11" t="s">
        <v>66</v>
      </c>
      <c r="C11" t="s">
        <v>67</v>
      </c>
      <c r="D11" s="7" t="s">
        <v>68</v>
      </c>
      <c r="E11" t="s">
        <v>59</v>
      </c>
      <c r="F11" t="s">
        <v>33</v>
      </c>
      <c r="G11" t="s">
        <v>69</v>
      </c>
      <c r="H11">
        <v>2</v>
      </c>
      <c r="I11">
        <v>115.97</v>
      </c>
      <c r="J11">
        <v>0</v>
      </c>
      <c r="K11">
        <v>231.94</v>
      </c>
      <c r="L11">
        <v>56.97</v>
      </c>
      <c r="M11" t="s">
        <v>40</v>
      </c>
    </row>
    <row r="12" spans="1:13" x14ac:dyDescent="0.3">
      <c r="A12" t="s">
        <v>70</v>
      </c>
      <c r="B12" t="s">
        <v>71</v>
      </c>
      <c r="C12" t="s">
        <v>72</v>
      </c>
      <c r="D12" s="7" t="s">
        <v>73</v>
      </c>
      <c r="E12" t="s">
        <v>32</v>
      </c>
      <c r="F12" t="s">
        <v>33</v>
      </c>
      <c r="G12" t="s">
        <v>74</v>
      </c>
      <c r="H12">
        <v>3</v>
      </c>
      <c r="I12">
        <v>56.65</v>
      </c>
      <c r="J12">
        <v>0.05</v>
      </c>
      <c r="K12">
        <v>161.44999999999999</v>
      </c>
      <c r="L12">
        <v>33.6</v>
      </c>
      <c r="M12" t="s">
        <v>35</v>
      </c>
    </row>
    <row r="13" spans="1:13" x14ac:dyDescent="0.3">
      <c r="A13" t="s">
        <v>75</v>
      </c>
      <c r="B13" t="s">
        <v>76</v>
      </c>
      <c r="C13" t="s">
        <v>77</v>
      </c>
      <c r="D13" s="7" t="s">
        <v>78</v>
      </c>
      <c r="E13" t="s">
        <v>17</v>
      </c>
      <c r="F13" t="s">
        <v>18</v>
      </c>
      <c r="G13" t="s">
        <v>79</v>
      </c>
      <c r="H13">
        <v>6</v>
      </c>
      <c r="I13">
        <v>221.81</v>
      </c>
      <c r="J13">
        <v>0.1</v>
      </c>
      <c r="K13">
        <v>1197.77</v>
      </c>
      <c r="L13">
        <v>223.99</v>
      </c>
      <c r="M13" t="s">
        <v>40</v>
      </c>
    </row>
    <row r="14" spans="1:13" x14ac:dyDescent="0.3">
      <c r="A14" t="s">
        <v>80</v>
      </c>
      <c r="B14" t="s">
        <v>81</v>
      </c>
      <c r="C14" t="s">
        <v>82</v>
      </c>
      <c r="D14" s="7" t="s">
        <v>83</v>
      </c>
      <c r="E14" t="s">
        <v>17</v>
      </c>
      <c r="F14" t="s">
        <v>26</v>
      </c>
      <c r="G14" t="s">
        <v>84</v>
      </c>
      <c r="H14">
        <v>1</v>
      </c>
      <c r="I14">
        <v>181.43</v>
      </c>
      <c r="J14">
        <v>0.15</v>
      </c>
      <c r="K14">
        <v>154.22</v>
      </c>
      <c r="L14">
        <v>18.920000000000002</v>
      </c>
      <c r="M14" t="s">
        <v>20</v>
      </c>
    </row>
    <row r="15" spans="1:13" x14ac:dyDescent="0.3">
      <c r="A15" t="s">
        <v>85</v>
      </c>
      <c r="B15" t="s">
        <v>86</v>
      </c>
      <c r="C15" t="s">
        <v>87</v>
      </c>
      <c r="D15" s="7" t="s">
        <v>88</v>
      </c>
      <c r="E15" t="s">
        <v>25</v>
      </c>
      <c r="F15" t="s">
        <v>89</v>
      </c>
      <c r="G15" t="s">
        <v>90</v>
      </c>
      <c r="H15">
        <v>1</v>
      </c>
      <c r="I15">
        <v>60.04</v>
      </c>
      <c r="J15">
        <v>0.05</v>
      </c>
      <c r="K15">
        <v>57.04</v>
      </c>
      <c r="L15">
        <v>6.84</v>
      </c>
      <c r="M15" t="s">
        <v>40</v>
      </c>
    </row>
    <row r="16" spans="1:13" x14ac:dyDescent="0.3">
      <c r="A16" t="s">
        <v>91</v>
      </c>
      <c r="B16" t="s">
        <v>92</v>
      </c>
      <c r="C16" t="s">
        <v>93</v>
      </c>
      <c r="D16" s="7" t="s">
        <v>94</v>
      </c>
      <c r="E16" t="s">
        <v>59</v>
      </c>
      <c r="F16" t="s">
        <v>33</v>
      </c>
      <c r="G16" t="s">
        <v>74</v>
      </c>
      <c r="H16">
        <v>7</v>
      </c>
      <c r="I16">
        <v>46.35</v>
      </c>
      <c r="J16">
        <v>0</v>
      </c>
      <c r="K16">
        <v>324.45</v>
      </c>
      <c r="L16">
        <v>90.56</v>
      </c>
      <c r="M16" t="s">
        <v>20</v>
      </c>
    </row>
    <row r="17" spans="1:13" x14ac:dyDescent="0.3">
      <c r="A17" t="s">
        <v>95</v>
      </c>
      <c r="B17" t="s">
        <v>96</v>
      </c>
      <c r="C17" t="s">
        <v>97</v>
      </c>
      <c r="D17" s="7" t="s">
        <v>98</v>
      </c>
      <c r="E17" t="s">
        <v>17</v>
      </c>
      <c r="F17" t="s">
        <v>18</v>
      </c>
      <c r="G17" t="s">
        <v>79</v>
      </c>
      <c r="H17">
        <v>6</v>
      </c>
      <c r="I17">
        <v>248.81</v>
      </c>
      <c r="J17">
        <v>0</v>
      </c>
      <c r="K17">
        <v>1492.86</v>
      </c>
      <c r="L17">
        <v>416.19</v>
      </c>
      <c r="M17" t="s">
        <v>40</v>
      </c>
    </row>
    <row r="18" spans="1:13" x14ac:dyDescent="0.3">
      <c r="A18" t="s">
        <v>99</v>
      </c>
      <c r="B18" t="s">
        <v>100</v>
      </c>
      <c r="C18" t="s">
        <v>101</v>
      </c>
      <c r="D18" s="7" t="s">
        <v>102</v>
      </c>
      <c r="E18" t="s">
        <v>25</v>
      </c>
      <c r="F18" t="s">
        <v>33</v>
      </c>
      <c r="G18" t="s">
        <v>69</v>
      </c>
      <c r="H18">
        <v>1</v>
      </c>
      <c r="I18">
        <v>104.01</v>
      </c>
      <c r="J18">
        <v>0.15</v>
      </c>
      <c r="K18">
        <v>88.41</v>
      </c>
      <c r="L18">
        <v>22.37</v>
      </c>
      <c r="M18" t="s">
        <v>35</v>
      </c>
    </row>
    <row r="19" spans="1:13" x14ac:dyDescent="0.3">
      <c r="A19" t="s">
        <v>103</v>
      </c>
      <c r="B19" t="s">
        <v>104</v>
      </c>
      <c r="C19" t="s">
        <v>105</v>
      </c>
      <c r="D19" s="7" t="s">
        <v>106</v>
      </c>
      <c r="E19" t="s">
        <v>25</v>
      </c>
      <c r="F19" t="s">
        <v>18</v>
      </c>
      <c r="G19" t="s">
        <v>45</v>
      </c>
      <c r="H19">
        <v>2</v>
      </c>
      <c r="I19">
        <v>15.13</v>
      </c>
      <c r="J19">
        <v>0.15</v>
      </c>
      <c r="K19">
        <v>25.72</v>
      </c>
      <c r="L19">
        <v>3.81</v>
      </c>
      <c r="M19" t="s">
        <v>35</v>
      </c>
    </row>
    <row r="20" spans="1:13" x14ac:dyDescent="0.3">
      <c r="A20" t="s">
        <v>107</v>
      </c>
      <c r="B20" t="s">
        <v>108</v>
      </c>
      <c r="C20" t="s">
        <v>23</v>
      </c>
      <c r="D20" s="7" t="s">
        <v>109</v>
      </c>
      <c r="E20" t="s">
        <v>32</v>
      </c>
      <c r="F20" t="s">
        <v>18</v>
      </c>
      <c r="G20" t="s">
        <v>19</v>
      </c>
      <c r="H20">
        <v>5</v>
      </c>
      <c r="I20">
        <v>127.79</v>
      </c>
      <c r="J20">
        <v>0.05</v>
      </c>
      <c r="K20">
        <v>607</v>
      </c>
      <c r="L20">
        <v>120.02</v>
      </c>
      <c r="M20" t="s">
        <v>20</v>
      </c>
    </row>
    <row r="21" spans="1:13" x14ac:dyDescent="0.3">
      <c r="A21" t="s">
        <v>110</v>
      </c>
      <c r="B21" t="s">
        <v>111</v>
      </c>
      <c r="C21" t="s">
        <v>112</v>
      </c>
      <c r="D21" s="7" t="s">
        <v>113</v>
      </c>
      <c r="E21" t="s">
        <v>59</v>
      </c>
      <c r="F21" t="s">
        <v>33</v>
      </c>
      <c r="G21" t="s">
        <v>50</v>
      </c>
      <c r="H21">
        <v>2</v>
      </c>
      <c r="I21">
        <v>149.47999999999999</v>
      </c>
      <c r="J21">
        <v>0.15</v>
      </c>
      <c r="K21">
        <v>254.12</v>
      </c>
      <c r="L21">
        <v>46.64</v>
      </c>
      <c r="M21" t="s">
        <v>20</v>
      </c>
    </row>
    <row r="22" spans="1:13" x14ac:dyDescent="0.3">
      <c r="A22" t="s">
        <v>114</v>
      </c>
      <c r="B22" t="s">
        <v>115</v>
      </c>
      <c r="C22" t="s">
        <v>116</v>
      </c>
      <c r="D22" s="7" t="s">
        <v>117</v>
      </c>
      <c r="E22" t="s">
        <v>32</v>
      </c>
      <c r="F22" t="s">
        <v>26</v>
      </c>
      <c r="G22" t="s">
        <v>118</v>
      </c>
      <c r="H22">
        <v>6</v>
      </c>
      <c r="I22">
        <v>223.28</v>
      </c>
      <c r="J22">
        <v>0</v>
      </c>
      <c r="K22">
        <v>1339.68</v>
      </c>
      <c r="L22">
        <v>399.88</v>
      </c>
      <c r="M22" t="s">
        <v>40</v>
      </c>
    </row>
    <row r="23" spans="1:13" x14ac:dyDescent="0.3">
      <c r="A23" t="s">
        <v>119</v>
      </c>
      <c r="B23" t="s">
        <v>120</v>
      </c>
      <c r="C23" t="s">
        <v>121</v>
      </c>
      <c r="D23" s="7" t="s">
        <v>122</v>
      </c>
      <c r="E23" t="s">
        <v>17</v>
      </c>
      <c r="F23" t="s">
        <v>18</v>
      </c>
      <c r="G23" t="s">
        <v>45</v>
      </c>
      <c r="H23">
        <v>6</v>
      </c>
      <c r="I23">
        <v>249.12</v>
      </c>
      <c r="J23">
        <v>0.15</v>
      </c>
      <c r="K23">
        <v>1270.51</v>
      </c>
      <c r="L23">
        <v>289.19</v>
      </c>
      <c r="M23" t="s">
        <v>40</v>
      </c>
    </row>
    <row r="24" spans="1:13" x14ac:dyDescent="0.3">
      <c r="A24" t="s">
        <v>123</v>
      </c>
      <c r="B24" t="s">
        <v>124</v>
      </c>
      <c r="C24" t="s">
        <v>125</v>
      </c>
      <c r="D24" s="7" t="s">
        <v>126</v>
      </c>
      <c r="E24" t="s">
        <v>64</v>
      </c>
      <c r="F24" t="s">
        <v>33</v>
      </c>
      <c r="G24" t="s">
        <v>34</v>
      </c>
      <c r="H24">
        <v>6</v>
      </c>
      <c r="I24">
        <v>145.85</v>
      </c>
      <c r="J24">
        <v>0.05</v>
      </c>
      <c r="K24">
        <v>831.34</v>
      </c>
      <c r="L24">
        <v>230.5</v>
      </c>
      <c r="M24" t="s">
        <v>40</v>
      </c>
    </row>
    <row r="25" spans="1:13" x14ac:dyDescent="0.3">
      <c r="A25" t="s">
        <v>127</v>
      </c>
      <c r="B25" t="s">
        <v>128</v>
      </c>
      <c r="C25" t="s">
        <v>129</v>
      </c>
      <c r="D25" s="7" t="s">
        <v>130</v>
      </c>
      <c r="E25" t="s">
        <v>64</v>
      </c>
      <c r="F25" t="s">
        <v>89</v>
      </c>
      <c r="G25" t="s">
        <v>131</v>
      </c>
      <c r="H25">
        <v>1</v>
      </c>
      <c r="I25">
        <v>172.56</v>
      </c>
      <c r="J25">
        <v>0.1</v>
      </c>
      <c r="K25">
        <v>155.30000000000001</v>
      </c>
      <c r="L25">
        <v>45.6</v>
      </c>
      <c r="M25" t="s">
        <v>40</v>
      </c>
    </row>
    <row r="26" spans="1:13" x14ac:dyDescent="0.3">
      <c r="A26" t="s">
        <v>132</v>
      </c>
      <c r="B26" t="s">
        <v>133</v>
      </c>
      <c r="C26" t="s">
        <v>134</v>
      </c>
      <c r="D26" s="7" t="s">
        <v>135</v>
      </c>
      <c r="E26" t="s">
        <v>25</v>
      </c>
      <c r="F26" t="s">
        <v>33</v>
      </c>
      <c r="G26" t="s">
        <v>50</v>
      </c>
      <c r="H26">
        <v>6</v>
      </c>
      <c r="I26">
        <v>163.81</v>
      </c>
      <c r="J26">
        <v>0</v>
      </c>
      <c r="K26">
        <v>982.86</v>
      </c>
      <c r="L26">
        <v>92.51</v>
      </c>
      <c r="M26" t="s">
        <v>35</v>
      </c>
    </row>
    <row r="27" spans="1:13" x14ac:dyDescent="0.3">
      <c r="A27" t="s">
        <v>136</v>
      </c>
      <c r="B27" t="s">
        <v>137</v>
      </c>
      <c r="C27" t="s">
        <v>62</v>
      </c>
      <c r="D27" s="7" t="s">
        <v>138</v>
      </c>
      <c r="E27" t="s">
        <v>59</v>
      </c>
      <c r="F27" t="s">
        <v>26</v>
      </c>
      <c r="G27" t="s">
        <v>27</v>
      </c>
      <c r="H27">
        <v>2</v>
      </c>
      <c r="I27">
        <v>221.26</v>
      </c>
      <c r="J27">
        <v>0</v>
      </c>
      <c r="K27">
        <v>442.52</v>
      </c>
      <c r="L27">
        <v>123.78</v>
      </c>
      <c r="M27" t="s">
        <v>20</v>
      </c>
    </row>
    <row r="28" spans="1:13" x14ac:dyDescent="0.3">
      <c r="A28" t="s">
        <v>139</v>
      </c>
      <c r="B28" t="s">
        <v>140</v>
      </c>
      <c r="C28" t="s">
        <v>112</v>
      </c>
      <c r="D28" s="7" t="s">
        <v>141</v>
      </c>
      <c r="E28" t="s">
        <v>59</v>
      </c>
      <c r="F28" t="s">
        <v>18</v>
      </c>
      <c r="G28" t="s">
        <v>45</v>
      </c>
      <c r="H28">
        <v>3</v>
      </c>
      <c r="I28">
        <v>117.76</v>
      </c>
      <c r="J28">
        <v>0</v>
      </c>
      <c r="K28">
        <v>353.28</v>
      </c>
      <c r="L28">
        <v>46.7</v>
      </c>
      <c r="M28" t="s">
        <v>40</v>
      </c>
    </row>
    <row r="29" spans="1:13" x14ac:dyDescent="0.3">
      <c r="A29" t="s">
        <v>142</v>
      </c>
      <c r="B29" t="s">
        <v>143</v>
      </c>
      <c r="C29" t="s">
        <v>144</v>
      </c>
      <c r="D29" s="7" t="s">
        <v>145</v>
      </c>
      <c r="E29" t="s">
        <v>25</v>
      </c>
      <c r="F29" t="s">
        <v>26</v>
      </c>
      <c r="G29" t="s">
        <v>84</v>
      </c>
      <c r="H29">
        <v>7</v>
      </c>
      <c r="I29">
        <v>204.07</v>
      </c>
      <c r="J29">
        <v>0</v>
      </c>
      <c r="K29">
        <v>1428.49</v>
      </c>
      <c r="L29">
        <v>305.74</v>
      </c>
      <c r="M29" t="s">
        <v>20</v>
      </c>
    </row>
    <row r="30" spans="1:13" x14ac:dyDescent="0.3">
      <c r="A30" t="s">
        <v>146</v>
      </c>
      <c r="B30" t="s">
        <v>147</v>
      </c>
      <c r="C30" t="s">
        <v>148</v>
      </c>
      <c r="D30" s="7" t="s">
        <v>149</v>
      </c>
      <c r="E30" t="s">
        <v>32</v>
      </c>
      <c r="F30" t="s">
        <v>89</v>
      </c>
      <c r="G30" t="s">
        <v>150</v>
      </c>
      <c r="H30">
        <v>4</v>
      </c>
      <c r="I30">
        <v>168.44</v>
      </c>
      <c r="J30">
        <v>0</v>
      </c>
      <c r="K30">
        <v>673.76</v>
      </c>
      <c r="L30">
        <v>192.11</v>
      </c>
      <c r="M30" t="s">
        <v>20</v>
      </c>
    </row>
    <row r="31" spans="1:13" x14ac:dyDescent="0.3">
      <c r="A31" t="s">
        <v>151</v>
      </c>
      <c r="B31" t="s">
        <v>42</v>
      </c>
      <c r="C31" t="s">
        <v>152</v>
      </c>
      <c r="D31" s="7" t="s">
        <v>153</v>
      </c>
      <c r="E31" t="s">
        <v>64</v>
      </c>
      <c r="F31" t="s">
        <v>18</v>
      </c>
      <c r="G31" t="s">
        <v>19</v>
      </c>
      <c r="H31">
        <v>2</v>
      </c>
      <c r="I31">
        <v>28.33</v>
      </c>
      <c r="J31">
        <v>0.1</v>
      </c>
      <c r="K31">
        <v>50.99</v>
      </c>
      <c r="L31">
        <v>11.37</v>
      </c>
      <c r="M31" t="s">
        <v>20</v>
      </c>
    </row>
    <row r="32" spans="1:13" x14ac:dyDescent="0.3">
      <c r="A32" t="s">
        <v>154</v>
      </c>
      <c r="B32" t="s">
        <v>155</v>
      </c>
      <c r="C32" t="s">
        <v>156</v>
      </c>
      <c r="D32" s="7" t="s">
        <v>157</v>
      </c>
      <c r="E32" t="s">
        <v>25</v>
      </c>
      <c r="F32" t="s">
        <v>26</v>
      </c>
      <c r="G32" t="s">
        <v>84</v>
      </c>
      <c r="H32">
        <v>3</v>
      </c>
      <c r="I32">
        <v>228.25</v>
      </c>
      <c r="J32">
        <v>0.05</v>
      </c>
      <c r="K32">
        <v>650.51</v>
      </c>
      <c r="L32">
        <v>178.07</v>
      </c>
      <c r="M32" t="s">
        <v>40</v>
      </c>
    </row>
    <row r="33" spans="1:13" x14ac:dyDescent="0.3">
      <c r="A33" t="s">
        <v>158</v>
      </c>
      <c r="B33" t="s">
        <v>159</v>
      </c>
      <c r="C33" t="s">
        <v>160</v>
      </c>
      <c r="D33" s="7" t="s">
        <v>161</v>
      </c>
      <c r="E33" t="s">
        <v>59</v>
      </c>
      <c r="F33" t="s">
        <v>18</v>
      </c>
      <c r="G33" t="s">
        <v>19</v>
      </c>
      <c r="H33">
        <v>8</v>
      </c>
      <c r="I33">
        <v>194.6</v>
      </c>
      <c r="J33">
        <v>0</v>
      </c>
      <c r="K33">
        <v>1556.8</v>
      </c>
      <c r="L33">
        <v>361.23</v>
      </c>
      <c r="M33" t="s">
        <v>40</v>
      </c>
    </row>
    <row r="34" spans="1:13" x14ac:dyDescent="0.3">
      <c r="A34" t="s">
        <v>162</v>
      </c>
      <c r="B34" t="s">
        <v>163</v>
      </c>
      <c r="C34" t="s">
        <v>164</v>
      </c>
      <c r="D34" s="7" t="s">
        <v>165</v>
      </c>
      <c r="E34" t="s">
        <v>32</v>
      </c>
      <c r="F34" t="s">
        <v>89</v>
      </c>
      <c r="G34" t="s">
        <v>150</v>
      </c>
      <c r="H34">
        <v>2</v>
      </c>
      <c r="I34">
        <v>155.97</v>
      </c>
      <c r="J34">
        <v>0.15</v>
      </c>
      <c r="K34">
        <v>265.14999999999998</v>
      </c>
      <c r="L34">
        <v>62.77</v>
      </c>
      <c r="M34" t="s">
        <v>35</v>
      </c>
    </row>
    <row r="35" spans="1:13" x14ac:dyDescent="0.3">
      <c r="A35" t="s">
        <v>166</v>
      </c>
      <c r="B35" t="s">
        <v>167</v>
      </c>
      <c r="C35" t="s">
        <v>168</v>
      </c>
      <c r="D35" s="7" t="s">
        <v>117</v>
      </c>
      <c r="E35" t="s">
        <v>59</v>
      </c>
      <c r="F35" t="s">
        <v>33</v>
      </c>
      <c r="G35" t="s">
        <v>34</v>
      </c>
      <c r="H35">
        <v>5</v>
      </c>
      <c r="I35">
        <v>62.85</v>
      </c>
      <c r="J35">
        <v>0.1</v>
      </c>
      <c r="K35">
        <v>282.82</v>
      </c>
      <c r="L35">
        <v>76.67</v>
      </c>
      <c r="M35" t="s">
        <v>35</v>
      </c>
    </row>
    <row r="36" spans="1:13" x14ac:dyDescent="0.3">
      <c r="A36" t="s">
        <v>169</v>
      </c>
      <c r="B36" t="s">
        <v>170</v>
      </c>
      <c r="C36" t="s">
        <v>171</v>
      </c>
      <c r="D36" s="7" t="s">
        <v>172</v>
      </c>
      <c r="E36" t="s">
        <v>59</v>
      </c>
      <c r="F36" t="s">
        <v>26</v>
      </c>
      <c r="G36" t="s">
        <v>27</v>
      </c>
      <c r="H36">
        <v>5</v>
      </c>
      <c r="I36">
        <v>77.8</v>
      </c>
      <c r="J36">
        <v>0</v>
      </c>
      <c r="K36">
        <v>389</v>
      </c>
      <c r="L36">
        <v>71.069999999999993</v>
      </c>
      <c r="M36" t="s">
        <v>40</v>
      </c>
    </row>
    <row r="37" spans="1:13" x14ac:dyDescent="0.3">
      <c r="A37" t="s">
        <v>173</v>
      </c>
      <c r="B37" t="s">
        <v>128</v>
      </c>
      <c r="C37" t="s">
        <v>174</v>
      </c>
      <c r="D37" s="7" t="s">
        <v>175</v>
      </c>
      <c r="E37" t="s">
        <v>59</v>
      </c>
      <c r="F37" t="s">
        <v>89</v>
      </c>
      <c r="G37" t="s">
        <v>90</v>
      </c>
      <c r="H37">
        <v>2</v>
      </c>
      <c r="I37">
        <v>29.63</v>
      </c>
      <c r="J37">
        <v>0</v>
      </c>
      <c r="K37">
        <v>59.26</v>
      </c>
      <c r="L37">
        <v>16.34</v>
      </c>
      <c r="M37" t="s">
        <v>40</v>
      </c>
    </row>
    <row r="38" spans="1:13" x14ac:dyDescent="0.3">
      <c r="A38" t="s">
        <v>176</v>
      </c>
      <c r="B38" t="s">
        <v>92</v>
      </c>
      <c r="C38" t="s">
        <v>177</v>
      </c>
      <c r="D38" s="7" t="s">
        <v>178</v>
      </c>
      <c r="E38" t="s">
        <v>32</v>
      </c>
      <c r="F38" t="s">
        <v>26</v>
      </c>
      <c r="G38" t="s">
        <v>27</v>
      </c>
      <c r="H38">
        <v>5</v>
      </c>
      <c r="I38">
        <v>122.98</v>
      </c>
      <c r="J38">
        <v>0.05</v>
      </c>
      <c r="K38">
        <v>584.15</v>
      </c>
      <c r="L38">
        <v>88.95</v>
      </c>
      <c r="M38" t="s">
        <v>40</v>
      </c>
    </row>
    <row r="39" spans="1:13" x14ac:dyDescent="0.3">
      <c r="A39" t="s">
        <v>179</v>
      </c>
      <c r="B39" t="s">
        <v>180</v>
      </c>
      <c r="C39" t="s">
        <v>181</v>
      </c>
      <c r="D39" s="7" t="s">
        <v>182</v>
      </c>
      <c r="E39" t="s">
        <v>17</v>
      </c>
      <c r="F39" t="s">
        <v>33</v>
      </c>
      <c r="G39" t="s">
        <v>34</v>
      </c>
      <c r="H39">
        <v>2</v>
      </c>
      <c r="I39">
        <v>84.49</v>
      </c>
      <c r="J39">
        <v>0.05</v>
      </c>
      <c r="K39">
        <v>160.53</v>
      </c>
      <c r="L39">
        <v>32.72</v>
      </c>
      <c r="M39" t="s">
        <v>20</v>
      </c>
    </row>
    <row r="40" spans="1:13" x14ac:dyDescent="0.3">
      <c r="A40" t="s">
        <v>183</v>
      </c>
      <c r="B40" t="s">
        <v>184</v>
      </c>
      <c r="C40" t="s">
        <v>185</v>
      </c>
      <c r="D40" s="7" t="s">
        <v>186</v>
      </c>
      <c r="E40" t="s">
        <v>17</v>
      </c>
      <c r="F40" t="s">
        <v>89</v>
      </c>
      <c r="G40" t="s">
        <v>131</v>
      </c>
      <c r="H40">
        <v>3</v>
      </c>
      <c r="I40">
        <v>100.94</v>
      </c>
      <c r="J40">
        <v>0.15</v>
      </c>
      <c r="K40">
        <v>257.39999999999998</v>
      </c>
      <c r="L40">
        <v>64.67</v>
      </c>
      <c r="M40" t="s">
        <v>20</v>
      </c>
    </row>
    <row r="41" spans="1:13" x14ac:dyDescent="0.3">
      <c r="A41" t="s">
        <v>187</v>
      </c>
      <c r="B41" t="s">
        <v>188</v>
      </c>
      <c r="C41" t="s">
        <v>97</v>
      </c>
      <c r="D41" s="7" t="s">
        <v>189</v>
      </c>
      <c r="E41" t="s">
        <v>25</v>
      </c>
      <c r="F41" t="s">
        <v>26</v>
      </c>
      <c r="G41" t="s">
        <v>118</v>
      </c>
      <c r="H41">
        <v>2</v>
      </c>
      <c r="I41">
        <v>154.88999999999999</v>
      </c>
      <c r="J41">
        <v>0</v>
      </c>
      <c r="K41">
        <v>309.77999999999997</v>
      </c>
      <c r="L41">
        <v>76.95</v>
      </c>
      <c r="M41" t="s">
        <v>35</v>
      </c>
    </row>
    <row r="42" spans="1:13" x14ac:dyDescent="0.3">
      <c r="A42" t="s">
        <v>190</v>
      </c>
      <c r="B42" t="s">
        <v>191</v>
      </c>
      <c r="C42" t="s">
        <v>192</v>
      </c>
      <c r="D42" s="7" t="s">
        <v>193</v>
      </c>
      <c r="E42" t="s">
        <v>64</v>
      </c>
      <c r="F42" t="s">
        <v>33</v>
      </c>
      <c r="G42" t="s">
        <v>74</v>
      </c>
      <c r="H42">
        <v>5</v>
      </c>
      <c r="I42">
        <v>65.67</v>
      </c>
      <c r="J42">
        <v>0</v>
      </c>
      <c r="K42">
        <v>328.35</v>
      </c>
      <c r="L42">
        <v>82.58</v>
      </c>
      <c r="M42" t="s">
        <v>40</v>
      </c>
    </row>
    <row r="43" spans="1:13" x14ac:dyDescent="0.3">
      <c r="A43" t="s">
        <v>194</v>
      </c>
      <c r="B43" t="s">
        <v>195</v>
      </c>
      <c r="C43" t="s">
        <v>196</v>
      </c>
      <c r="D43" s="7" t="s">
        <v>197</v>
      </c>
      <c r="E43" t="s">
        <v>64</v>
      </c>
      <c r="F43" t="s">
        <v>26</v>
      </c>
      <c r="G43" t="s">
        <v>118</v>
      </c>
      <c r="H43">
        <v>7</v>
      </c>
      <c r="I43">
        <v>91.14</v>
      </c>
      <c r="J43">
        <v>0.05</v>
      </c>
      <c r="K43">
        <v>606.08000000000004</v>
      </c>
      <c r="L43">
        <v>149.83000000000001</v>
      </c>
      <c r="M43" t="s">
        <v>40</v>
      </c>
    </row>
    <row r="44" spans="1:13" x14ac:dyDescent="0.3">
      <c r="A44" t="s">
        <v>198</v>
      </c>
      <c r="B44" t="s">
        <v>199</v>
      </c>
      <c r="C44" t="s">
        <v>200</v>
      </c>
      <c r="D44" s="7" t="s">
        <v>201</v>
      </c>
      <c r="E44" t="s">
        <v>59</v>
      </c>
      <c r="F44" t="s">
        <v>89</v>
      </c>
      <c r="G44" t="s">
        <v>150</v>
      </c>
      <c r="H44">
        <v>8</v>
      </c>
      <c r="I44">
        <v>237.06</v>
      </c>
      <c r="J44">
        <v>0.05</v>
      </c>
      <c r="K44">
        <v>1801.66</v>
      </c>
      <c r="L44">
        <v>462.22</v>
      </c>
      <c r="M44" t="s">
        <v>20</v>
      </c>
    </row>
    <row r="45" spans="1:13" x14ac:dyDescent="0.3">
      <c r="A45" t="s">
        <v>202</v>
      </c>
      <c r="B45" t="s">
        <v>203</v>
      </c>
      <c r="C45" t="s">
        <v>204</v>
      </c>
      <c r="D45" s="7" t="s">
        <v>205</v>
      </c>
      <c r="E45" t="s">
        <v>25</v>
      </c>
      <c r="F45" t="s">
        <v>89</v>
      </c>
      <c r="G45" t="s">
        <v>131</v>
      </c>
      <c r="H45">
        <v>6</v>
      </c>
      <c r="I45">
        <v>110.59</v>
      </c>
      <c r="J45">
        <v>0.15</v>
      </c>
      <c r="K45">
        <v>564.01</v>
      </c>
      <c r="L45">
        <v>57.87</v>
      </c>
      <c r="M45" t="s">
        <v>35</v>
      </c>
    </row>
    <row r="46" spans="1:13" x14ac:dyDescent="0.3">
      <c r="A46" t="s">
        <v>206</v>
      </c>
      <c r="B46" t="s">
        <v>207</v>
      </c>
      <c r="C46" t="s">
        <v>48</v>
      </c>
      <c r="D46" s="7" t="s">
        <v>208</v>
      </c>
      <c r="E46" t="s">
        <v>59</v>
      </c>
      <c r="F46" t="s">
        <v>33</v>
      </c>
      <c r="G46" t="s">
        <v>50</v>
      </c>
      <c r="H46">
        <v>5</v>
      </c>
      <c r="I46">
        <v>238.94</v>
      </c>
      <c r="J46">
        <v>0</v>
      </c>
      <c r="K46">
        <v>1194.7</v>
      </c>
      <c r="L46">
        <v>283.75</v>
      </c>
      <c r="M46" t="s">
        <v>40</v>
      </c>
    </row>
    <row r="47" spans="1:13" x14ac:dyDescent="0.3">
      <c r="A47" t="s">
        <v>209</v>
      </c>
      <c r="B47" t="s">
        <v>210</v>
      </c>
      <c r="C47" t="s">
        <v>211</v>
      </c>
      <c r="D47" s="7" t="s">
        <v>212</v>
      </c>
      <c r="E47" t="s">
        <v>64</v>
      </c>
      <c r="F47" t="s">
        <v>18</v>
      </c>
      <c r="G47" t="s">
        <v>79</v>
      </c>
      <c r="H47">
        <v>3</v>
      </c>
      <c r="I47">
        <v>84.39</v>
      </c>
      <c r="J47">
        <v>0.05</v>
      </c>
      <c r="K47">
        <v>240.51</v>
      </c>
      <c r="L47">
        <v>22.05</v>
      </c>
      <c r="M47" t="s">
        <v>40</v>
      </c>
    </row>
    <row r="48" spans="1:13" x14ac:dyDescent="0.3">
      <c r="A48" t="s">
        <v>213</v>
      </c>
      <c r="B48" t="s">
        <v>214</v>
      </c>
      <c r="C48" t="s">
        <v>215</v>
      </c>
      <c r="D48" s="7" t="s">
        <v>145</v>
      </c>
      <c r="E48" t="s">
        <v>17</v>
      </c>
      <c r="F48" t="s">
        <v>33</v>
      </c>
      <c r="G48" t="s">
        <v>50</v>
      </c>
      <c r="H48">
        <v>1</v>
      </c>
      <c r="I48">
        <v>212.04</v>
      </c>
      <c r="J48">
        <v>0.05</v>
      </c>
      <c r="K48">
        <v>201.44</v>
      </c>
      <c r="L48">
        <v>39.69</v>
      </c>
      <c r="M48" t="s">
        <v>35</v>
      </c>
    </row>
    <row r="49" spans="1:13" x14ac:dyDescent="0.3">
      <c r="A49" t="s">
        <v>216</v>
      </c>
      <c r="B49" t="s">
        <v>217</v>
      </c>
      <c r="C49" t="s">
        <v>218</v>
      </c>
      <c r="D49" s="7" t="s">
        <v>117</v>
      </c>
      <c r="E49" t="s">
        <v>17</v>
      </c>
      <c r="F49" t="s">
        <v>33</v>
      </c>
      <c r="G49" t="s">
        <v>50</v>
      </c>
      <c r="H49">
        <v>6</v>
      </c>
      <c r="I49">
        <v>78.91</v>
      </c>
      <c r="J49">
        <v>0.1</v>
      </c>
      <c r="K49">
        <v>426.11</v>
      </c>
      <c r="L49">
        <v>93.54</v>
      </c>
      <c r="M49" t="s">
        <v>40</v>
      </c>
    </row>
    <row r="50" spans="1:13" x14ac:dyDescent="0.3">
      <c r="A50" t="s">
        <v>219</v>
      </c>
      <c r="B50" t="s">
        <v>220</v>
      </c>
      <c r="C50" t="s">
        <v>221</v>
      </c>
      <c r="D50" s="7" t="s">
        <v>212</v>
      </c>
      <c r="E50" t="s">
        <v>17</v>
      </c>
      <c r="F50" t="s">
        <v>89</v>
      </c>
      <c r="G50" t="s">
        <v>90</v>
      </c>
      <c r="H50">
        <v>3</v>
      </c>
      <c r="I50">
        <v>93.64</v>
      </c>
      <c r="J50">
        <v>0</v>
      </c>
      <c r="K50">
        <v>280.92</v>
      </c>
      <c r="L50">
        <v>39.700000000000003</v>
      </c>
      <c r="M50" t="s">
        <v>20</v>
      </c>
    </row>
    <row r="51" spans="1:13" x14ac:dyDescent="0.3">
      <c r="A51" t="s">
        <v>222</v>
      </c>
      <c r="B51" t="s">
        <v>223</v>
      </c>
      <c r="C51" t="s">
        <v>224</v>
      </c>
      <c r="D51" s="7" t="s">
        <v>102</v>
      </c>
      <c r="E51" t="s">
        <v>32</v>
      </c>
      <c r="F51" t="s">
        <v>26</v>
      </c>
      <c r="G51" t="s">
        <v>118</v>
      </c>
      <c r="H51">
        <v>1</v>
      </c>
      <c r="I51">
        <v>203.29</v>
      </c>
      <c r="J51">
        <v>0.05</v>
      </c>
      <c r="K51">
        <v>193.13</v>
      </c>
      <c r="L51">
        <v>46.31</v>
      </c>
      <c r="M51" t="s">
        <v>35</v>
      </c>
    </row>
    <row r="52" spans="1:13" x14ac:dyDescent="0.3">
      <c r="A52" t="s">
        <v>225</v>
      </c>
      <c r="B52" t="s">
        <v>42</v>
      </c>
      <c r="C52" t="s">
        <v>226</v>
      </c>
      <c r="D52" s="7" t="s">
        <v>227</v>
      </c>
      <c r="E52" t="s">
        <v>64</v>
      </c>
      <c r="F52" t="s">
        <v>89</v>
      </c>
      <c r="G52" t="s">
        <v>90</v>
      </c>
      <c r="H52">
        <v>5</v>
      </c>
      <c r="I52">
        <v>49.81</v>
      </c>
      <c r="J52">
        <v>0.1</v>
      </c>
      <c r="K52">
        <v>224.15</v>
      </c>
      <c r="L52">
        <v>63.52</v>
      </c>
      <c r="M52" t="s">
        <v>20</v>
      </c>
    </row>
    <row r="53" spans="1:13" x14ac:dyDescent="0.3">
      <c r="A53" t="s">
        <v>228</v>
      </c>
      <c r="B53" t="s">
        <v>229</v>
      </c>
      <c r="C53" t="s">
        <v>230</v>
      </c>
      <c r="D53" s="7" t="s">
        <v>231</v>
      </c>
      <c r="E53" t="s">
        <v>64</v>
      </c>
      <c r="F53" t="s">
        <v>26</v>
      </c>
      <c r="G53" t="s">
        <v>27</v>
      </c>
      <c r="H53">
        <v>1</v>
      </c>
      <c r="I53">
        <v>239.95</v>
      </c>
      <c r="J53">
        <v>0</v>
      </c>
      <c r="K53">
        <v>239.95</v>
      </c>
      <c r="L53">
        <v>27.78</v>
      </c>
      <c r="M53" t="s">
        <v>35</v>
      </c>
    </row>
    <row r="54" spans="1:13" x14ac:dyDescent="0.3">
      <c r="A54" t="s">
        <v>232</v>
      </c>
      <c r="B54" t="s">
        <v>86</v>
      </c>
      <c r="C54" t="s">
        <v>192</v>
      </c>
      <c r="D54" s="7" t="s">
        <v>233</v>
      </c>
      <c r="E54" t="s">
        <v>59</v>
      </c>
      <c r="F54" t="s">
        <v>89</v>
      </c>
      <c r="G54" t="s">
        <v>90</v>
      </c>
      <c r="H54">
        <v>3</v>
      </c>
      <c r="I54">
        <v>13.14</v>
      </c>
      <c r="J54">
        <v>0.1</v>
      </c>
      <c r="K54">
        <v>35.479999999999997</v>
      </c>
      <c r="L54">
        <v>10.39</v>
      </c>
      <c r="M54" t="s">
        <v>35</v>
      </c>
    </row>
    <row r="55" spans="1:13" x14ac:dyDescent="0.3">
      <c r="A55" t="s">
        <v>234</v>
      </c>
      <c r="B55" t="s">
        <v>235</v>
      </c>
      <c r="C55" t="s">
        <v>236</v>
      </c>
      <c r="D55" s="7" t="s">
        <v>237</v>
      </c>
      <c r="E55" t="s">
        <v>25</v>
      </c>
      <c r="F55" t="s">
        <v>26</v>
      </c>
      <c r="G55" t="s">
        <v>27</v>
      </c>
      <c r="H55">
        <v>8</v>
      </c>
      <c r="I55">
        <v>43.21</v>
      </c>
      <c r="J55">
        <v>0.15</v>
      </c>
      <c r="K55">
        <v>293.83</v>
      </c>
      <c r="L55">
        <v>49.53</v>
      </c>
      <c r="M55" t="s">
        <v>35</v>
      </c>
    </row>
    <row r="56" spans="1:13" x14ac:dyDescent="0.3">
      <c r="A56" t="s">
        <v>238</v>
      </c>
      <c r="B56" t="s">
        <v>239</v>
      </c>
      <c r="C56" t="s">
        <v>218</v>
      </c>
      <c r="D56" s="7" t="s">
        <v>240</v>
      </c>
      <c r="E56" t="s">
        <v>64</v>
      </c>
      <c r="F56" t="s">
        <v>33</v>
      </c>
      <c r="G56" t="s">
        <v>34</v>
      </c>
      <c r="H56">
        <v>5</v>
      </c>
      <c r="I56">
        <v>220.51</v>
      </c>
      <c r="J56">
        <v>0</v>
      </c>
      <c r="K56">
        <v>1102.55</v>
      </c>
      <c r="L56">
        <v>137.44999999999999</v>
      </c>
      <c r="M56" t="s">
        <v>35</v>
      </c>
    </row>
    <row r="57" spans="1:13" x14ac:dyDescent="0.3">
      <c r="A57" t="s">
        <v>241</v>
      </c>
      <c r="B57" t="s">
        <v>242</v>
      </c>
      <c r="C57" t="s">
        <v>243</v>
      </c>
      <c r="D57" s="7" t="s">
        <v>244</v>
      </c>
      <c r="E57" t="s">
        <v>64</v>
      </c>
      <c r="F57" t="s">
        <v>26</v>
      </c>
      <c r="G57" t="s">
        <v>84</v>
      </c>
      <c r="H57">
        <v>1</v>
      </c>
      <c r="I57">
        <v>161.28</v>
      </c>
      <c r="J57">
        <v>0.05</v>
      </c>
      <c r="K57">
        <v>153.22</v>
      </c>
      <c r="L57">
        <v>26.85</v>
      </c>
      <c r="M57" t="s">
        <v>35</v>
      </c>
    </row>
    <row r="58" spans="1:13" x14ac:dyDescent="0.3">
      <c r="A58" t="s">
        <v>245</v>
      </c>
      <c r="B58" t="s">
        <v>246</v>
      </c>
      <c r="C58" t="s">
        <v>125</v>
      </c>
      <c r="D58" s="7" t="s">
        <v>88</v>
      </c>
      <c r="E58" t="s">
        <v>59</v>
      </c>
      <c r="F58" t="s">
        <v>33</v>
      </c>
      <c r="G58" t="s">
        <v>69</v>
      </c>
      <c r="H58">
        <v>7</v>
      </c>
      <c r="I58">
        <v>164.38</v>
      </c>
      <c r="J58">
        <v>0</v>
      </c>
      <c r="K58">
        <v>1150.6600000000001</v>
      </c>
      <c r="L58">
        <v>247.24</v>
      </c>
      <c r="M58" t="s">
        <v>40</v>
      </c>
    </row>
    <row r="59" spans="1:13" x14ac:dyDescent="0.3">
      <c r="A59" t="s">
        <v>247</v>
      </c>
      <c r="B59" t="s">
        <v>248</v>
      </c>
      <c r="C59" t="s">
        <v>249</v>
      </c>
      <c r="D59" s="7" t="s">
        <v>250</v>
      </c>
      <c r="E59" t="s">
        <v>25</v>
      </c>
      <c r="F59" t="s">
        <v>33</v>
      </c>
      <c r="G59" t="s">
        <v>69</v>
      </c>
      <c r="H59">
        <v>3</v>
      </c>
      <c r="I59">
        <v>115.79</v>
      </c>
      <c r="J59">
        <v>0</v>
      </c>
      <c r="K59">
        <v>347.37</v>
      </c>
      <c r="L59">
        <v>76.63</v>
      </c>
      <c r="M59" t="s">
        <v>35</v>
      </c>
    </row>
    <row r="60" spans="1:13" x14ac:dyDescent="0.3">
      <c r="A60" t="s">
        <v>251</v>
      </c>
      <c r="B60" t="s">
        <v>252</v>
      </c>
      <c r="C60" t="s">
        <v>253</v>
      </c>
      <c r="D60" s="7" t="s">
        <v>254</v>
      </c>
      <c r="E60" t="s">
        <v>32</v>
      </c>
      <c r="F60" t="s">
        <v>26</v>
      </c>
      <c r="G60" t="s">
        <v>118</v>
      </c>
      <c r="H60">
        <v>2</v>
      </c>
      <c r="I60">
        <v>202.54</v>
      </c>
      <c r="J60">
        <v>0.05</v>
      </c>
      <c r="K60">
        <v>384.83</v>
      </c>
      <c r="L60">
        <v>54.57</v>
      </c>
      <c r="M60" t="s">
        <v>20</v>
      </c>
    </row>
    <row r="61" spans="1:13" x14ac:dyDescent="0.3">
      <c r="A61" t="s">
        <v>255</v>
      </c>
      <c r="B61" t="s">
        <v>256</v>
      </c>
      <c r="C61" t="s">
        <v>257</v>
      </c>
      <c r="D61" s="7" t="s">
        <v>258</v>
      </c>
      <c r="E61" t="s">
        <v>17</v>
      </c>
      <c r="F61" t="s">
        <v>26</v>
      </c>
      <c r="G61" t="s">
        <v>84</v>
      </c>
      <c r="H61">
        <v>7</v>
      </c>
      <c r="I61">
        <v>164.46</v>
      </c>
      <c r="J61">
        <v>0</v>
      </c>
      <c r="K61">
        <v>1151.22</v>
      </c>
      <c r="L61">
        <v>267.23</v>
      </c>
      <c r="M61" t="s">
        <v>35</v>
      </c>
    </row>
    <row r="62" spans="1:13" x14ac:dyDescent="0.3">
      <c r="A62" t="s">
        <v>259</v>
      </c>
      <c r="B62" t="s">
        <v>260</v>
      </c>
      <c r="C62" t="s">
        <v>261</v>
      </c>
      <c r="D62" s="7" t="s">
        <v>262</v>
      </c>
      <c r="E62" t="s">
        <v>25</v>
      </c>
      <c r="F62" t="s">
        <v>89</v>
      </c>
      <c r="G62" t="s">
        <v>90</v>
      </c>
      <c r="H62">
        <v>7</v>
      </c>
      <c r="I62">
        <v>86.84</v>
      </c>
      <c r="J62">
        <v>0.15</v>
      </c>
      <c r="K62">
        <v>516.70000000000005</v>
      </c>
      <c r="L62">
        <v>71.48</v>
      </c>
      <c r="M62" t="s">
        <v>35</v>
      </c>
    </row>
    <row r="63" spans="1:13" x14ac:dyDescent="0.3">
      <c r="A63" t="s">
        <v>263</v>
      </c>
      <c r="B63" t="s">
        <v>264</v>
      </c>
      <c r="C63" t="s">
        <v>265</v>
      </c>
      <c r="D63" s="7" t="s">
        <v>266</v>
      </c>
      <c r="E63" t="s">
        <v>32</v>
      </c>
      <c r="F63" t="s">
        <v>33</v>
      </c>
      <c r="G63" t="s">
        <v>34</v>
      </c>
      <c r="H63">
        <v>1</v>
      </c>
      <c r="I63">
        <v>179.41</v>
      </c>
      <c r="J63">
        <v>0</v>
      </c>
      <c r="K63">
        <v>179.41</v>
      </c>
      <c r="L63">
        <v>20.58</v>
      </c>
      <c r="M63" t="s">
        <v>40</v>
      </c>
    </row>
    <row r="64" spans="1:13" x14ac:dyDescent="0.3">
      <c r="A64" t="s">
        <v>267</v>
      </c>
      <c r="B64" t="s">
        <v>268</v>
      </c>
      <c r="C64" t="s">
        <v>77</v>
      </c>
      <c r="D64" s="7" t="s">
        <v>269</v>
      </c>
      <c r="E64" t="s">
        <v>59</v>
      </c>
      <c r="F64" t="s">
        <v>18</v>
      </c>
      <c r="G64" t="s">
        <v>79</v>
      </c>
      <c r="H64">
        <v>8</v>
      </c>
      <c r="I64">
        <v>38.58</v>
      </c>
      <c r="J64">
        <v>0.1</v>
      </c>
      <c r="K64">
        <v>277.77999999999997</v>
      </c>
      <c r="L64">
        <v>59.74</v>
      </c>
      <c r="M64" t="s">
        <v>35</v>
      </c>
    </row>
    <row r="65" spans="1:13" x14ac:dyDescent="0.3">
      <c r="A65" t="s">
        <v>270</v>
      </c>
      <c r="B65" t="s">
        <v>271</v>
      </c>
      <c r="C65" t="s">
        <v>272</v>
      </c>
      <c r="D65" s="7" t="s">
        <v>273</v>
      </c>
      <c r="E65" t="s">
        <v>17</v>
      </c>
      <c r="F65" t="s">
        <v>33</v>
      </c>
      <c r="G65" t="s">
        <v>69</v>
      </c>
      <c r="H65">
        <v>4</v>
      </c>
      <c r="I65">
        <v>54.88</v>
      </c>
      <c r="J65">
        <v>0.15</v>
      </c>
      <c r="K65">
        <v>186.59</v>
      </c>
      <c r="L65">
        <v>17.04</v>
      </c>
      <c r="M65" t="s">
        <v>40</v>
      </c>
    </row>
    <row r="66" spans="1:13" x14ac:dyDescent="0.3">
      <c r="A66" t="s">
        <v>274</v>
      </c>
      <c r="B66" t="s">
        <v>275</v>
      </c>
      <c r="C66" t="s">
        <v>276</v>
      </c>
      <c r="D66" s="7" t="s">
        <v>145</v>
      </c>
      <c r="E66" t="s">
        <v>64</v>
      </c>
      <c r="F66" t="s">
        <v>33</v>
      </c>
      <c r="G66" t="s">
        <v>74</v>
      </c>
      <c r="H66">
        <v>2</v>
      </c>
      <c r="I66">
        <v>51.13</v>
      </c>
      <c r="J66">
        <v>0.05</v>
      </c>
      <c r="K66">
        <v>97.15</v>
      </c>
      <c r="L66">
        <v>10.1</v>
      </c>
      <c r="M66" t="s">
        <v>20</v>
      </c>
    </row>
    <row r="67" spans="1:13" x14ac:dyDescent="0.3">
      <c r="A67" t="s">
        <v>277</v>
      </c>
      <c r="B67" t="s">
        <v>278</v>
      </c>
      <c r="C67" t="s">
        <v>279</v>
      </c>
      <c r="D67" s="7" t="s">
        <v>280</v>
      </c>
      <c r="E67" t="s">
        <v>17</v>
      </c>
      <c r="F67" t="s">
        <v>89</v>
      </c>
      <c r="G67" t="s">
        <v>131</v>
      </c>
      <c r="H67">
        <v>5</v>
      </c>
      <c r="I67">
        <v>149.56</v>
      </c>
      <c r="J67">
        <v>0.05</v>
      </c>
      <c r="K67">
        <v>710.41</v>
      </c>
      <c r="L67">
        <v>157.75</v>
      </c>
      <c r="M67" t="s">
        <v>40</v>
      </c>
    </row>
    <row r="68" spans="1:13" x14ac:dyDescent="0.3">
      <c r="A68" t="s">
        <v>281</v>
      </c>
      <c r="B68" t="s">
        <v>282</v>
      </c>
      <c r="C68" t="s">
        <v>283</v>
      </c>
      <c r="D68" s="7" t="s">
        <v>284</v>
      </c>
      <c r="E68" t="s">
        <v>59</v>
      </c>
      <c r="F68" t="s">
        <v>33</v>
      </c>
      <c r="G68" t="s">
        <v>74</v>
      </c>
      <c r="H68">
        <v>5</v>
      </c>
      <c r="I68">
        <v>103.49</v>
      </c>
      <c r="J68">
        <v>0.15</v>
      </c>
      <c r="K68">
        <v>439.83</v>
      </c>
      <c r="L68">
        <v>53.17</v>
      </c>
      <c r="M68" t="s">
        <v>40</v>
      </c>
    </row>
    <row r="69" spans="1:13" x14ac:dyDescent="0.3">
      <c r="A69" t="s">
        <v>285</v>
      </c>
      <c r="B69" t="s">
        <v>286</v>
      </c>
      <c r="C69" t="s">
        <v>287</v>
      </c>
      <c r="D69" s="7" t="s">
        <v>288</v>
      </c>
      <c r="E69" t="s">
        <v>32</v>
      </c>
      <c r="F69" t="s">
        <v>89</v>
      </c>
      <c r="G69" t="s">
        <v>150</v>
      </c>
      <c r="H69">
        <v>7</v>
      </c>
      <c r="I69">
        <v>176.01</v>
      </c>
      <c r="J69">
        <v>0.15</v>
      </c>
      <c r="K69">
        <v>1047.26</v>
      </c>
      <c r="L69">
        <v>181.57</v>
      </c>
      <c r="M69" t="s">
        <v>40</v>
      </c>
    </row>
    <row r="70" spans="1:13" x14ac:dyDescent="0.3">
      <c r="A70" t="s">
        <v>289</v>
      </c>
      <c r="B70" t="s">
        <v>290</v>
      </c>
      <c r="C70" t="s">
        <v>291</v>
      </c>
      <c r="D70" s="7" t="s">
        <v>292</v>
      </c>
      <c r="E70" t="s">
        <v>17</v>
      </c>
      <c r="F70" t="s">
        <v>33</v>
      </c>
      <c r="G70" t="s">
        <v>74</v>
      </c>
      <c r="H70">
        <v>8</v>
      </c>
      <c r="I70">
        <v>122.47</v>
      </c>
      <c r="J70">
        <v>0.05</v>
      </c>
      <c r="K70">
        <v>930.77</v>
      </c>
      <c r="L70">
        <v>172.42</v>
      </c>
      <c r="M70" t="s">
        <v>20</v>
      </c>
    </row>
    <row r="71" spans="1:13" x14ac:dyDescent="0.3">
      <c r="A71" t="s">
        <v>293</v>
      </c>
      <c r="B71" t="s">
        <v>294</v>
      </c>
      <c r="C71" t="s">
        <v>295</v>
      </c>
      <c r="D71" s="7" t="s">
        <v>296</v>
      </c>
      <c r="E71" t="s">
        <v>25</v>
      </c>
      <c r="F71" t="s">
        <v>33</v>
      </c>
      <c r="G71" t="s">
        <v>74</v>
      </c>
      <c r="H71">
        <v>2</v>
      </c>
      <c r="I71">
        <v>145.34</v>
      </c>
      <c r="J71">
        <v>0.05</v>
      </c>
      <c r="K71">
        <v>276.14999999999998</v>
      </c>
      <c r="L71">
        <v>49.8</v>
      </c>
      <c r="M71" t="s">
        <v>40</v>
      </c>
    </row>
    <row r="72" spans="1:13" x14ac:dyDescent="0.3">
      <c r="A72" t="s">
        <v>297</v>
      </c>
      <c r="B72" t="s">
        <v>298</v>
      </c>
      <c r="C72" t="s">
        <v>299</v>
      </c>
      <c r="D72" s="7" t="s">
        <v>300</v>
      </c>
      <c r="E72" t="s">
        <v>32</v>
      </c>
      <c r="F72" t="s">
        <v>33</v>
      </c>
      <c r="G72" t="s">
        <v>74</v>
      </c>
      <c r="H72">
        <v>5</v>
      </c>
      <c r="I72">
        <v>198.92</v>
      </c>
      <c r="J72">
        <v>0.1</v>
      </c>
      <c r="K72">
        <v>895.14</v>
      </c>
      <c r="L72">
        <v>169.64</v>
      </c>
      <c r="M72" t="s">
        <v>40</v>
      </c>
    </row>
    <row r="73" spans="1:13" x14ac:dyDescent="0.3">
      <c r="A73" t="s">
        <v>301</v>
      </c>
      <c r="B73" t="s">
        <v>302</v>
      </c>
      <c r="C73" t="s">
        <v>303</v>
      </c>
      <c r="D73" s="7" t="s">
        <v>304</v>
      </c>
      <c r="E73" t="s">
        <v>32</v>
      </c>
      <c r="F73" t="s">
        <v>26</v>
      </c>
      <c r="G73" t="s">
        <v>118</v>
      </c>
      <c r="H73">
        <v>8</v>
      </c>
      <c r="I73">
        <v>233.12</v>
      </c>
      <c r="J73">
        <v>0.15</v>
      </c>
      <c r="K73">
        <v>1585.22</v>
      </c>
      <c r="L73">
        <v>466.67</v>
      </c>
      <c r="M73" t="s">
        <v>35</v>
      </c>
    </row>
    <row r="74" spans="1:13" x14ac:dyDescent="0.3">
      <c r="A74" t="s">
        <v>305</v>
      </c>
      <c r="B74" t="s">
        <v>306</v>
      </c>
      <c r="C74" t="s">
        <v>307</v>
      </c>
      <c r="D74" s="7" t="s">
        <v>244</v>
      </c>
      <c r="E74" t="s">
        <v>32</v>
      </c>
      <c r="F74" t="s">
        <v>33</v>
      </c>
      <c r="G74" t="s">
        <v>74</v>
      </c>
      <c r="H74">
        <v>2</v>
      </c>
      <c r="I74">
        <v>101.49</v>
      </c>
      <c r="J74">
        <v>0.05</v>
      </c>
      <c r="K74">
        <v>192.83</v>
      </c>
      <c r="L74">
        <v>30.7</v>
      </c>
      <c r="M74" t="s">
        <v>35</v>
      </c>
    </row>
    <row r="75" spans="1:13" x14ac:dyDescent="0.3">
      <c r="A75" t="s">
        <v>308</v>
      </c>
      <c r="B75" t="s">
        <v>309</v>
      </c>
      <c r="C75" t="s">
        <v>310</v>
      </c>
      <c r="D75" s="7" t="s">
        <v>311</v>
      </c>
      <c r="E75" t="s">
        <v>25</v>
      </c>
      <c r="F75" t="s">
        <v>26</v>
      </c>
      <c r="G75" t="s">
        <v>84</v>
      </c>
      <c r="H75">
        <v>5</v>
      </c>
      <c r="I75">
        <v>58.38</v>
      </c>
      <c r="J75">
        <v>0</v>
      </c>
      <c r="K75">
        <v>291.89999999999998</v>
      </c>
      <c r="L75">
        <v>69.37</v>
      </c>
      <c r="M75" t="s">
        <v>40</v>
      </c>
    </row>
    <row r="76" spans="1:13" x14ac:dyDescent="0.3">
      <c r="A76" t="s">
        <v>312</v>
      </c>
      <c r="B76" t="s">
        <v>313</v>
      </c>
      <c r="C76" t="s">
        <v>314</v>
      </c>
      <c r="D76" s="7" t="s">
        <v>315</v>
      </c>
      <c r="E76" t="s">
        <v>64</v>
      </c>
      <c r="F76" t="s">
        <v>89</v>
      </c>
      <c r="G76" t="s">
        <v>90</v>
      </c>
      <c r="H76">
        <v>8</v>
      </c>
      <c r="I76">
        <v>121.12</v>
      </c>
      <c r="J76">
        <v>0.05</v>
      </c>
      <c r="K76">
        <v>920.51</v>
      </c>
      <c r="L76">
        <v>257</v>
      </c>
      <c r="M76" t="s">
        <v>40</v>
      </c>
    </row>
    <row r="77" spans="1:13" x14ac:dyDescent="0.3">
      <c r="A77" t="s">
        <v>316</v>
      </c>
      <c r="B77" t="s">
        <v>317</v>
      </c>
      <c r="C77" t="s">
        <v>318</v>
      </c>
      <c r="D77" s="7" t="s">
        <v>254</v>
      </c>
      <c r="E77" t="s">
        <v>17</v>
      </c>
      <c r="F77" t="s">
        <v>26</v>
      </c>
      <c r="G77" t="s">
        <v>27</v>
      </c>
      <c r="H77">
        <v>1</v>
      </c>
      <c r="I77">
        <v>150.55000000000001</v>
      </c>
      <c r="J77">
        <v>0.1</v>
      </c>
      <c r="K77">
        <v>135.5</v>
      </c>
      <c r="L77">
        <v>21.02</v>
      </c>
      <c r="M77" t="s">
        <v>20</v>
      </c>
    </row>
    <row r="78" spans="1:13" x14ac:dyDescent="0.3">
      <c r="A78" t="s">
        <v>319</v>
      </c>
      <c r="B78" t="s">
        <v>320</v>
      </c>
      <c r="C78" t="s">
        <v>321</v>
      </c>
      <c r="D78" s="7" t="s">
        <v>322</v>
      </c>
      <c r="E78" t="s">
        <v>64</v>
      </c>
      <c r="F78" t="s">
        <v>26</v>
      </c>
      <c r="G78" t="s">
        <v>118</v>
      </c>
      <c r="H78">
        <v>4</v>
      </c>
      <c r="I78">
        <v>117.05</v>
      </c>
      <c r="J78">
        <v>0.1</v>
      </c>
      <c r="K78">
        <v>421.38</v>
      </c>
      <c r="L78">
        <v>125.57</v>
      </c>
      <c r="M78" t="s">
        <v>20</v>
      </c>
    </row>
    <row r="79" spans="1:13" x14ac:dyDescent="0.3">
      <c r="A79" t="s">
        <v>323</v>
      </c>
      <c r="B79" t="s">
        <v>324</v>
      </c>
      <c r="C79" t="s">
        <v>57</v>
      </c>
      <c r="D79" s="7" t="s">
        <v>325</v>
      </c>
      <c r="E79" t="s">
        <v>25</v>
      </c>
      <c r="F79" t="s">
        <v>89</v>
      </c>
      <c r="G79" t="s">
        <v>131</v>
      </c>
      <c r="H79">
        <v>6</v>
      </c>
      <c r="I79">
        <v>211.62</v>
      </c>
      <c r="J79">
        <v>0.15</v>
      </c>
      <c r="K79">
        <v>1079.26</v>
      </c>
      <c r="L79">
        <v>268.85000000000002</v>
      </c>
      <c r="M79" t="s">
        <v>20</v>
      </c>
    </row>
    <row r="80" spans="1:13" x14ac:dyDescent="0.3">
      <c r="A80" t="s">
        <v>326</v>
      </c>
      <c r="B80" t="s">
        <v>327</v>
      </c>
      <c r="C80" t="s">
        <v>328</v>
      </c>
      <c r="D80" s="7" t="s">
        <v>329</v>
      </c>
      <c r="E80" t="s">
        <v>25</v>
      </c>
      <c r="F80" t="s">
        <v>26</v>
      </c>
      <c r="G80" t="s">
        <v>27</v>
      </c>
      <c r="H80">
        <v>7</v>
      </c>
      <c r="I80">
        <v>24.54</v>
      </c>
      <c r="J80">
        <v>0.05</v>
      </c>
      <c r="K80">
        <v>163.19</v>
      </c>
      <c r="L80">
        <v>22.12</v>
      </c>
      <c r="M80" t="s">
        <v>35</v>
      </c>
    </row>
    <row r="81" spans="1:13" x14ac:dyDescent="0.3">
      <c r="A81" t="s">
        <v>330</v>
      </c>
      <c r="B81" t="s">
        <v>331</v>
      </c>
      <c r="C81" t="s">
        <v>332</v>
      </c>
      <c r="D81" s="7" t="s">
        <v>333</v>
      </c>
      <c r="E81" t="s">
        <v>64</v>
      </c>
      <c r="F81" t="s">
        <v>89</v>
      </c>
      <c r="G81" t="s">
        <v>150</v>
      </c>
      <c r="H81">
        <v>2</v>
      </c>
      <c r="I81">
        <v>11</v>
      </c>
      <c r="J81">
        <v>0.1</v>
      </c>
      <c r="K81">
        <v>19.8</v>
      </c>
      <c r="L81">
        <v>3.03</v>
      </c>
      <c r="M81" t="s">
        <v>20</v>
      </c>
    </row>
    <row r="82" spans="1:13" x14ac:dyDescent="0.3">
      <c r="A82" t="s">
        <v>334</v>
      </c>
      <c r="B82" t="s">
        <v>335</v>
      </c>
      <c r="C82" t="s">
        <v>43</v>
      </c>
      <c r="D82" s="7" t="s">
        <v>336</v>
      </c>
      <c r="E82" t="s">
        <v>59</v>
      </c>
      <c r="F82" t="s">
        <v>33</v>
      </c>
      <c r="G82" t="s">
        <v>50</v>
      </c>
      <c r="H82">
        <v>6</v>
      </c>
      <c r="I82">
        <v>104.45</v>
      </c>
      <c r="J82">
        <v>0.1</v>
      </c>
      <c r="K82">
        <v>564.03</v>
      </c>
      <c r="L82">
        <v>55.76</v>
      </c>
      <c r="M82" t="s">
        <v>40</v>
      </c>
    </row>
    <row r="83" spans="1:13" x14ac:dyDescent="0.3">
      <c r="A83" t="s">
        <v>337</v>
      </c>
      <c r="B83" t="s">
        <v>338</v>
      </c>
      <c r="C83" t="s">
        <v>339</v>
      </c>
      <c r="D83" s="7" t="s">
        <v>102</v>
      </c>
      <c r="E83" t="s">
        <v>59</v>
      </c>
      <c r="F83" t="s">
        <v>33</v>
      </c>
      <c r="G83" t="s">
        <v>34</v>
      </c>
      <c r="H83">
        <v>8</v>
      </c>
      <c r="I83">
        <v>177.4</v>
      </c>
      <c r="J83">
        <v>0.1</v>
      </c>
      <c r="K83">
        <v>1277.28</v>
      </c>
      <c r="L83">
        <v>286.76</v>
      </c>
      <c r="M83" t="s">
        <v>40</v>
      </c>
    </row>
    <row r="84" spans="1:13" x14ac:dyDescent="0.3">
      <c r="A84" t="s">
        <v>340</v>
      </c>
      <c r="B84" t="s">
        <v>341</v>
      </c>
      <c r="C84" t="s">
        <v>342</v>
      </c>
      <c r="D84" s="7" t="s">
        <v>343</v>
      </c>
      <c r="E84" t="s">
        <v>17</v>
      </c>
      <c r="F84" t="s">
        <v>26</v>
      </c>
      <c r="G84" t="s">
        <v>27</v>
      </c>
      <c r="H84">
        <v>7</v>
      </c>
      <c r="I84">
        <v>216.31</v>
      </c>
      <c r="J84">
        <v>0.1</v>
      </c>
      <c r="K84">
        <v>1362.75</v>
      </c>
      <c r="L84">
        <v>186.9</v>
      </c>
      <c r="M84" t="s">
        <v>40</v>
      </c>
    </row>
    <row r="85" spans="1:13" x14ac:dyDescent="0.3">
      <c r="A85" t="s">
        <v>344</v>
      </c>
      <c r="B85" t="s">
        <v>345</v>
      </c>
      <c r="C85" t="s">
        <v>346</v>
      </c>
      <c r="D85" s="7" t="s">
        <v>347</v>
      </c>
      <c r="E85" t="s">
        <v>59</v>
      </c>
      <c r="F85" t="s">
        <v>18</v>
      </c>
      <c r="G85" t="s">
        <v>19</v>
      </c>
      <c r="H85">
        <v>3</v>
      </c>
      <c r="I85">
        <v>12.21</v>
      </c>
      <c r="J85">
        <v>0.05</v>
      </c>
      <c r="K85">
        <v>34.799999999999997</v>
      </c>
      <c r="L85">
        <v>4.46</v>
      </c>
      <c r="M85" t="s">
        <v>20</v>
      </c>
    </row>
    <row r="86" spans="1:13" x14ac:dyDescent="0.3">
      <c r="A86" t="s">
        <v>348</v>
      </c>
      <c r="B86" t="s">
        <v>349</v>
      </c>
      <c r="C86" t="s">
        <v>350</v>
      </c>
      <c r="D86" s="7" t="s">
        <v>351</v>
      </c>
      <c r="E86" t="s">
        <v>17</v>
      </c>
      <c r="F86" t="s">
        <v>26</v>
      </c>
      <c r="G86" t="s">
        <v>27</v>
      </c>
      <c r="H86">
        <v>3</v>
      </c>
      <c r="I86">
        <v>141.80000000000001</v>
      </c>
      <c r="J86">
        <v>0.15</v>
      </c>
      <c r="K86">
        <v>361.59</v>
      </c>
      <c r="L86">
        <v>99.98</v>
      </c>
      <c r="M86" t="s">
        <v>40</v>
      </c>
    </row>
    <row r="87" spans="1:13" x14ac:dyDescent="0.3">
      <c r="A87" t="s">
        <v>352</v>
      </c>
      <c r="B87" t="s">
        <v>298</v>
      </c>
      <c r="C87" t="s">
        <v>353</v>
      </c>
      <c r="D87" s="7" t="s">
        <v>153</v>
      </c>
      <c r="E87" t="s">
        <v>32</v>
      </c>
      <c r="F87" t="s">
        <v>26</v>
      </c>
      <c r="G87" t="s">
        <v>118</v>
      </c>
      <c r="H87">
        <v>2</v>
      </c>
      <c r="I87">
        <v>228.82</v>
      </c>
      <c r="J87">
        <v>0.1</v>
      </c>
      <c r="K87">
        <v>411.88</v>
      </c>
      <c r="L87">
        <v>74.62</v>
      </c>
      <c r="M87" t="s">
        <v>20</v>
      </c>
    </row>
    <row r="88" spans="1:13" x14ac:dyDescent="0.3">
      <c r="A88" t="s">
        <v>354</v>
      </c>
      <c r="B88" t="s">
        <v>355</v>
      </c>
      <c r="C88" t="s">
        <v>356</v>
      </c>
      <c r="D88" s="7" t="s">
        <v>357</v>
      </c>
      <c r="E88" t="s">
        <v>32</v>
      </c>
      <c r="F88" t="s">
        <v>26</v>
      </c>
      <c r="G88" t="s">
        <v>27</v>
      </c>
      <c r="H88">
        <v>4</v>
      </c>
      <c r="I88">
        <v>151.41999999999999</v>
      </c>
      <c r="J88">
        <v>0.15</v>
      </c>
      <c r="K88">
        <v>514.83000000000004</v>
      </c>
      <c r="L88">
        <v>114.62</v>
      </c>
      <c r="M88" t="s">
        <v>35</v>
      </c>
    </row>
    <row r="89" spans="1:13" x14ac:dyDescent="0.3">
      <c r="A89" t="s">
        <v>358</v>
      </c>
      <c r="B89" t="s">
        <v>359</v>
      </c>
      <c r="C89" t="s">
        <v>125</v>
      </c>
      <c r="D89" s="7" t="s">
        <v>360</v>
      </c>
      <c r="E89" t="s">
        <v>25</v>
      </c>
      <c r="F89" t="s">
        <v>26</v>
      </c>
      <c r="G89" t="s">
        <v>84</v>
      </c>
      <c r="H89">
        <v>2</v>
      </c>
      <c r="I89">
        <v>146.01</v>
      </c>
      <c r="J89">
        <v>0</v>
      </c>
      <c r="K89">
        <v>292.02</v>
      </c>
      <c r="L89">
        <v>42.13</v>
      </c>
      <c r="M89" t="s">
        <v>40</v>
      </c>
    </row>
    <row r="90" spans="1:13" x14ac:dyDescent="0.3">
      <c r="A90" t="s">
        <v>361</v>
      </c>
      <c r="B90" t="s">
        <v>362</v>
      </c>
      <c r="C90" t="s">
        <v>164</v>
      </c>
      <c r="D90" s="7" t="s">
        <v>363</v>
      </c>
      <c r="E90" t="s">
        <v>25</v>
      </c>
      <c r="F90" t="s">
        <v>89</v>
      </c>
      <c r="G90" t="s">
        <v>90</v>
      </c>
      <c r="H90">
        <v>1</v>
      </c>
      <c r="I90">
        <v>77.010000000000005</v>
      </c>
      <c r="J90">
        <v>0.15</v>
      </c>
      <c r="K90">
        <v>65.459999999999994</v>
      </c>
      <c r="L90">
        <v>17.170000000000002</v>
      </c>
      <c r="M90" t="s">
        <v>40</v>
      </c>
    </row>
    <row r="91" spans="1:13" x14ac:dyDescent="0.3">
      <c r="A91" t="s">
        <v>364</v>
      </c>
      <c r="B91" t="s">
        <v>365</v>
      </c>
      <c r="C91" t="s">
        <v>366</v>
      </c>
      <c r="D91" s="7" t="s">
        <v>172</v>
      </c>
      <c r="E91" t="s">
        <v>25</v>
      </c>
      <c r="F91" t="s">
        <v>89</v>
      </c>
      <c r="G91" t="s">
        <v>90</v>
      </c>
      <c r="H91">
        <v>8</v>
      </c>
      <c r="I91">
        <v>123.65</v>
      </c>
      <c r="J91">
        <v>0.05</v>
      </c>
      <c r="K91">
        <v>939.74</v>
      </c>
      <c r="L91">
        <v>114.77</v>
      </c>
      <c r="M91" t="s">
        <v>20</v>
      </c>
    </row>
    <row r="92" spans="1:13" x14ac:dyDescent="0.3">
      <c r="A92" t="s">
        <v>367</v>
      </c>
      <c r="B92" t="s">
        <v>368</v>
      </c>
      <c r="C92" t="s">
        <v>369</v>
      </c>
      <c r="D92" s="7" t="s">
        <v>83</v>
      </c>
      <c r="E92" t="s">
        <v>64</v>
      </c>
      <c r="F92" t="s">
        <v>26</v>
      </c>
      <c r="G92" t="s">
        <v>84</v>
      </c>
      <c r="H92">
        <v>2</v>
      </c>
      <c r="I92">
        <v>73.59</v>
      </c>
      <c r="J92">
        <v>0.15</v>
      </c>
      <c r="K92">
        <v>125.1</v>
      </c>
      <c r="L92">
        <v>23.01</v>
      </c>
      <c r="M92" t="s">
        <v>35</v>
      </c>
    </row>
    <row r="93" spans="1:13" x14ac:dyDescent="0.3">
      <c r="A93" t="s">
        <v>370</v>
      </c>
      <c r="B93" t="s">
        <v>371</v>
      </c>
      <c r="C93" t="s">
        <v>372</v>
      </c>
      <c r="D93" s="7" t="s">
        <v>373</v>
      </c>
      <c r="E93" t="s">
        <v>17</v>
      </c>
      <c r="F93" t="s">
        <v>18</v>
      </c>
      <c r="G93" t="s">
        <v>79</v>
      </c>
      <c r="H93">
        <v>8</v>
      </c>
      <c r="I93">
        <v>55.18</v>
      </c>
      <c r="J93">
        <v>0.05</v>
      </c>
      <c r="K93">
        <v>419.37</v>
      </c>
      <c r="L93">
        <v>78.2</v>
      </c>
      <c r="M93" t="s">
        <v>40</v>
      </c>
    </row>
    <row r="94" spans="1:13" x14ac:dyDescent="0.3">
      <c r="A94" t="s">
        <v>374</v>
      </c>
      <c r="B94" t="s">
        <v>278</v>
      </c>
      <c r="C94" t="s">
        <v>375</v>
      </c>
      <c r="D94" s="7" t="s">
        <v>376</v>
      </c>
      <c r="E94" t="s">
        <v>17</v>
      </c>
      <c r="F94" t="s">
        <v>18</v>
      </c>
      <c r="G94" t="s">
        <v>79</v>
      </c>
      <c r="H94">
        <v>1</v>
      </c>
      <c r="I94">
        <v>97.76</v>
      </c>
      <c r="J94">
        <v>0.15</v>
      </c>
      <c r="K94">
        <v>83.1</v>
      </c>
      <c r="L94">
        <v>21.82</v>
      </c>
      <c r="M94" t="s">
        <v>35</v>
      </c>
    </row>
    <row r="95" spans="1:13" x14ac:dyDescent="0.3">
      <c r="A95" t="s">
        <v>377</v>
      </c>
      <c r="B95" t="s">
        <v>378</v>
      </c>
      <c r="C95" t="s">
        <v>379</v>
      </c>
      <c r="D95" s="7" t="s">
        <v>380</v>
      </c>
      <c r="E95" t="s">
        <v>17</v>
      </c>
      <c r="F95" t="s">
        <v>33</v>
      </c>
      <c r="G95" t="s">
        <v>69</v>
      </c>
      <c r="H95">
        <v>8</v>
      </c>
      <c r="I95">
        <v>173.25</v>
      </c>
      <c r="J95">
        <v>0</v>
      </c>
      <c r="K95">
        <v>1386</v>
      </c>
      <c r="L95">
        <v>395.31</v>
      </c>
      <c r="M95" t="s">
        <v>40</v>
      </c>
    </row>
    <row r="96" spans="1:13" x14ac:dyDescent="0.3">
      <c r="A96" t="s">
        <v>381</v>
      </c>
      <c r="B96" t="s">
        <v>86</v>
      </c>
      <c r="C96" t="s">
        <v>382</v>
      </c>
      <c r="D96" s="7" t="s">
        <v>383</v>
      </c>
      <c r="E96" t="s">
        <v>17</v>
      </c>
      <c r="F96" t="s">
        <v>33</v>
      </c>
      <c r="G96" t="s">
        <v>74</v>
      </c>
      <c r="H96">
        <v>2</v>
      </c>
      <c r="I96">
        <v>166.95</v>
      </c>
      <c r="J96">
        <v>0.1</v>
      </c>
      <c r="K96">
        <v>300.51</v>
      </c>
      <c r="L96">
        <v>80.84</v>
      </c>
      <c r="M96" t="s">
        <v>20</v>
      </c>
    </row>
    <row r="97" spans="1:13" x14ac:dyDescent="0.3">
      <c r="A97" t="s">
        <v>384</v>
      </c>
      <c r="B97" t="s">
        <v>385</v>
      </c>
      <c r="C97" t="s">
        <v>386</v>
      </c>
      <c r="D97" s="7" t="s">
        <v>186</v>
      </c>
      <c r="E97" t="s">
        <v>25</v>
      </c>
      <c r="F97" t="s">
        <v>89</v>
      </c>
      <c r="G97" t="s">
        <v>90</v>
      </c>
      <c r="H97">
        <v>7</v>
      </c>
      <c r="I97">
        <v>67.459999999999994</v>
      </c>
      <c r="J97">
        <v>0</v>
      </c>
      <c r="K97">
        <v>472.22</v>
      </c>
      <c r="L97">
        <v>53.28</v>
      </c>
      <c r="M97" t="s">
        <v>35</v>
      </c>
    </row>
    <row r="98" spans="1:13" x14ac:dyDescent="0.3">
      <c r="A98" t="s">
        <v>387</v>
      </c>
      <c r="B98" t="s">
        <v>388</v>
      </c>
      <c r="C98" t="s">
        <v>389</v>
      </c>
      <c r="D98" s="7" t="s">
        <v>390</v>
      </c>
      <c r="E98" t="s">
        <v>64</v>
      </c>
      <c r="F98" t="s">
        <v>33</v>
      </c>
      <c r="G98" t="s">
        <v>50</v>
      </c>
      <c r="H98">
        <v>5</v>
      </c>
      <c r="I98">
        <v>87.37</v>
      </c>
      <c r="J98">
        <v>0</v>
      </c>
      <c r="K98">
        <v>436.85</v>
      </c>
      <c r="L98">
        <v>72.94</v>
      </c>
      <c r="M98" t="s">
        <v>40</v>
      </c>
    </row>
    <row r="99" spans="1:13" x14ac:dyDescent="0.3">
      <c r="A99" t="s">
        <v>391</v>
      </c>
      <c r="B99" t="s">
        <v>392</v>
      </c>
      <c r="C99" t="s">
        <v>393</v>
      </c>
      <c r="D99" s="7" t="s">
        <v>394</v>
      </c>
      <c r="E99" t="s">
        <v>59</v>
      </c>
      <c r="F99" t="s">
        <v>26</v>
      </c>
      <c r="G99" t="s">
        <v>118</v>
      </c>
      <c r="H99">
        <v>6</v>
      </c>
      <c r="I99">
        <v>14.18</v>
      </c>
      <c r="J99">
        <v>0</v>
      </c>
      <c r="K99">
        <v>85.08</v>
      </c>
      <c r="L99">
        <v>21.28</v>
      </c>
      <c r="M99" t="s">
        <v>35</v>
      </c>
    </row>
    <row r="100" spans="1:13" x14ac:dyDescent="0.3">
      <c r="A100" t="s">
        <v>395</v>
      </c>
      <c r="B100" t="s">
        <v>396</v>
      </c>
      <c r="C100" t="s">
        <v>397</v>
      </c>
      <c r="D100" s="7" t="s">
        <v>398</v>
      </c>
      <c r="E100" t="s">
        <v>25</v>
      </c>
      <c r="F100" t="s">
        <v>33</v>
      </c>
      <c r="G100" t="s">
        <v>69</v>
      </c>
      <c r="H100">
        <v>6</v>
      </c>
      <c r="I100">
        <v>154.32</v>
      </c>
      <c r="J100">
        <v>0.15</v>
      </c>
      <c r="K100">
        <v>787.03</v>
      </c>
      <c r="L100">
        <v>70.14</v>
      </c>
      <c r="M100" t="s">
        <v>40</v>
      </c>
    </row>
    <row r="101" spans="1:13" x14ac:dyDescent="0.3">
      <c r="A101" t="s">
        <v>399</v>
      </c>
      <c r="B101" t="s">
        <v>400</v>
      </c>
      <c r="C101" t="s">
        <v>401</v>
      </c>
      <c r="D101" s="7" t="s">
        <v>402</v>
      </c>
      <c r="E101" t="s">
        <v>64</v>
      </c>
      <c r="F101" t="s">
        <v>18</v>
      </c>
      <c r="G101" t="s">
        <v>45</v>
      </c>
      <c r="H101">
        <v>6</v>
      </c>
      <c r="I101">
        <v>147.91999999999999</v>
      </c>
      <c r="J101">
        <v>0.05</v>
      </c>
      <c r="K101">
        <v>843.14</v>
      </c>
      <c r="L101">
        <v>88.94</v>
      </c>
      <c r="M101" t="s">
        <v>20</v>
      </c>
    </row>
    <row r="102" spans="1:13" x14ac:dyDescent="0.3">
      <c r="A102" t="s">
        <v>403</v>
      </c>
      <c r="B102" t="s">
        <v>404</v>
      </c>
      <c r="C102" t="s">
        <v>405</v>
      </c>
      <c r="D102" s="7" t="s">
        <v>406</v>
      </c>
      <c r="E102" t="s">
        <v>17</v>
      </c>
      <c r="F102" t="s">
        <v>33</v>
      </c>
      <c r="G102" t="s">
        <v>50</v>
      </c>
      <c r="H102">
        <v>1</v>
      </c>
      <c r="I102">
        <v>151.37</v>
      </c>
      <c r="J102">
        <v>0.1</v>
      </c>
      <c r="K102">
        <v>136.22999999999999</v>
      </c>
      <c r="L102">
        <v>17.47</v>
      </c>
      <c r="M102" t="s">
        <v>35</v>
      </c>
    </row>
    <row r="103" spans="1:13" x14ac:dyDescent="0.3">
      <c r="A103" t="s">
        <v>407</v>
      </c>
      <c r="B103" t="s">
        <v>408</v>
      </c>
      <c r="C103" t="s">
        <v>409</v>
      </c>
      <c r="D103" s="7" t="s">
        <v>410</v>
      </c>
      <c r="E103" t="s">
        <v>64</v>
      </c>
      <c r="F103" t="s">
        <v>89</v>
      </c>
      <c r="G103" t="s">
        <v>150</v>
      </c>
      <c r="H103">
        <v>8</v>
      </c>
      <c r="I103">
        <v>126.4</v>
      </c>
      <c r="J103">
        <v>0</v>
      </c>
      <c r="K103">
        <v>1011.2</v>
      </c>
      <c r="L103">
        <v>81.96</v>
      </c>
      <c r="M103" t="s">
        <v>20</v>
      </c>
    </row>
    <row r="104" spans="1:13" x14ac:dyDescent="0.3">
      <c r="A104" t="s">
        <v>411</v>
      </c>
      <c r="B104" t="s">
        <v>412</v>
      </c>
      <c r="C104" t="s">
        <v>413</v>
      </c>
      <c r="D104" s="7" t="s">
        <v>414</v>
      </c>
      <c r="E104" t="s">
        <v>59</v>
      </c>
      <c r="F104" t="s">
        <v>18</v>
      </c>
      <c r="G104" t="s">
        <v>45</v>
      </c>
      <c r="H104">
        <v>1</v>
      </c>
      <c r="I104">
        <v>203.83</v>
      </c>
      <c r="J104">
        <v>0.05</v>
      </c>
      <c r="K104">
        <v>193.64</v>
      </c>
      <c r="L104">
        <v>34.369999999999997</v>
      </c>
      <c r="M104" t="s">
        <v>35</v>
      </c>
    </row>
    <row r="105" spans="1:13" x14ac:dyDescent="0.3">
      <c r="A105" t="s">
        <v>415</v>
      </c>
      <c r="B105" t="s">
        <v>416</v>
      </c>
      <c r="C105" t="s">
        <v>417</v>
      </c>
      <c r="D105" s="7" t="s">
        <v>418</v>
      </c>
      <c r="E105" t="s">
        <v>25</v>
      </c>
      <c r="F105" t="s">
        <v>18</v>
      </c>
      <c r="G105" t="s">
        <v>19</v>
      </c>
      <c r="H105">
        <v>7</v>
      </c>
      <c r="I105">
        <v>203.37</v>
      </c>
      <c r="J105">
        <v>0.1</v>
      </c>
      <c r="K105">
        <v>1281.23</v>
      </c>
      <c r="L105">
        <v>129.99</v>
      </c>
      <c r="M105" t="s">
        <v>35</v>
      </c>
    </row>
    <row r="106" spans="1:13" x14ac:dyDescent="0.3">
      <c r="A106" t="s">
        <v>419</v>
      </c>
      <c r="B106" t="s">
        <v>420</v>
      </c>
      <c r="C106" t="s">
        <v>421</v>
      </c>
      <c r="D106" s="7" t="s">
        <v>98</v>
      </c>
      <c r="E106" t="s">
        <v>32</v>
      </c>
      <c r="F106" t="s">
        <v>89</v>
      </c>
      <c r="G106" t="s">
        <v>90</v>
      </c>
      <c r="H106">
        <v>5</v>
      </c>
      <c r="I106">
        <v>136.71</v>
      </c>
      <c r="J106">
        <v>0</v>
      </c>
      <c r="K106">
        <v>683.55</v>
      </c>
      <c r="L106">
        <v>197.62</v>
      </c>
      <c r="M106" t="s">
        <v>40</v>
      </c>
    </row>
    <row r="107" spans="1:13" x14ac:dyDescent="0.3">
      <c r="A107" t="s">
        <v>422</v>
      </c>
      <c r="B107" t="s">
        <v>423</v>
      </c>
      <c r="C107" t="s">
        <v>424</v>
      </c>
      <c r="D107" s="7" t="s">
        <v>425</v>
      </c>
      <c r="E107" t="s">
        <v>25</v>
      </c>
      <c r="F107" t="s">
        <v>26</v>
      </c>
      <c r="G107" t="s">
        <v>27</v>
      </c>
      <c r="H107">
        <v>1</v>
      </c>
      <c r="I107">
        <v>98.68</v>
      </c>
      <c r="J107">
        <v>0.1</v>
      </c>
      <c r="K107">
        <v>88.81</v>
      </c>
      <c r="L107">
        <v>16.66</v>
      </c>
      <c r="M107" t="s">
        <v>40</v>
      </c>
    </row>
    <row r="108" spans="1:13" x14ac:dyDescent="0.3">
      <c r="A108" t="s">
        <v>426</v>
      </c>
      <c r="B108" t="s">
        <v>278</v>
      </c>
      <c r="C108" t="s">
        <v>43</v>
      </c>
      <c r="D108" s="7" t="s">
        <v>427</v>
      </c>
      <c r="E108" t="s">
        <v>59</v>
      </c>
      <c r="F108" t="s">
        <v>18</v>
      </c>
      <c r="G108" t="s">
        <v>19</v>
      </c>
      <c r="H108">
        <v>2</v>
      </c>
      <c r="I108">
        <v>57.82</v>
      </c>
      <c r="J108">
        <v>0.05</v>
      </c>
      <c r="K108">
        <v>109.86</v>
      </c>
      <c r="L108">
        <v>17</v>
      </c>
      <c r="M108" t="s">
        <v>20</v>
      </c>
    </row>
    <row r="109" spans="1:13" x14ac:dyDescent="0.3">
      <c r="A109" t="s">
        <v>428</v>
      </c>
      <c r="B109" t="s">
        <v>335</v>
      </c>
      <c r="C109" t="s">
        <v>429</v>
      </c>
      <c r="D109" s="7" t="s">
        <v>430</v>
      </c>
      <c r="E109" t="s">
        <v>64</v>
      </c>
      <c r="F109" t="s">
        <v>89</v>
      </c>
      <c r="G109" t="s">
        <v>150</v>
      </c>
      <c r="H109">
        <v>5</v>
      </c>
      <c r="I109">
        <v>18.920000000000002</v>
      </c>
      <c r="J109">
        <v>0</v>
      </c>
      <c r="K109">
        <v>94.6</v>
      </c>
      <c r="L109">
        <v>26.47</v>
      </c>
      <c r="M109" t="s">
        <v>40</v>
      </c>
    </row>
    <row r="110" spans="1:13" x14ac:dyDescent="0.3">
      <c r="A110" t="s">
        <v>431</v>
      </c>
      <c r="B110" t="s">
        <v>432</v>
      </c>
      <c r="C110" t="s">
        <v>433</v>
      </c>
      <c r="D110" s="7" t="s">
        <v>434</v>
      </c>
      <c r="E110" t="s">
        <v>59</v>
      </c>
      <c r="F110" t="s">
        <v>26</v>
      </c>
      <c r="G110" t="s">
        <v>118</v>
      </c>
      <c r="H110">
        <v>7</v>
      </c>
      <c r="I110">
        <v>137.53</v>
      </c>
      <c r="J110">
        <v>0</v>
      </c>
      <c r="K110">
        <v>962.71</v>
      </c>
      <c r="L110">
        <v>132.09</v>
      </c>
      <c r="M110" t="s">
        <v>35</v>
      </c>
    </row>
    <row r="111" spans="1:13" x14ac:dyDescent="0.3">
      <c r="A111" t="s">
        <v>435</v>
      </c>
      <c r="B111" t="s">
        <v>416</v>
      </c>
      <c r="C111" t="s">
        <v>436</v>
      </c>
      <c r="D111" s="7" t="s">
        <v>437</v>
      </c>
      <c r="E111" t="s">
        <v>25</v>
      </c>
      <c r="F111" t="s">
        <v>33</v>
      </c>
      <c r="G111" t="s">
        <v>69</v>
      </c>
      <c r="H111">
        <v>7</v>
      </c>
      <c r="I111">
        <v>54.55</v>
      </c>
      <c r="J111">
        <v>0.15</v>
      </c>
      <c r="K111">
        <v>324.57</v>
      </c>
      <c r="L111">
        <v>54.13</v>
      </c>
      <c r="M111" t="s">
        <v>20</v>
      </c>
    </row>
    <row r="112" spans="1:13" x14ac:dyDescent="0.3">
      <c r="A112" t="s">
        <v>438</v>
      </c>
      <c r="B112" t="s">
        <v>439</v>
      </c>
      <c r="C112" t="s">
        <v>440</v>
      </c>
      <c r="D112" s="7" t="s">
        <v>441</v>
      </c>
      <c r="E112" t="s">
        <v>17</v>
      </c>
      <c r="F112" t="s">
        <v>33</v>
      </c>
      <c r="G112" t="s">
        <v>50</v>
      </c>
      <c r="H112">
        <v>7</v>
      </c>
      <c r="I112">
        <v>177.13</v>
      </c>
      <c r="J112">
        <v>0.15</v>
      </c>
      <c r="K112">
        <v>1053.92</v>
      </c>
      <c r="L112">
        <v>100.68</v>
      </c>
      <c r="M112" t="s">
        <v>40</v>
      </c>
    </row>
    <row r="113" spans="1:13" x14ac:dyDescent="0.3">
      <c r="A113" t="s">
        <v>442</v>
      </c>
      <c r="B113" t="s">
        <v>443</v>
      </c>
      <c r="C113" t="s">
        <v>444</v>
      </c>
      <c r="D113" s="7" t="s">
        <v>445</v>
      </c>
      <c r="E113" t="s">
        <v>17</v>
      </c>
      <c r="F113" t="s">
        <v>26</v>
      </c>
      <c r="G113" t="s">
        <v>27</v>
      </c>
      <c r="H113">
        <v>4</v>
      </c>
      <c r="I113">
        <v>130.76</v>
      </c>
      <c r="J113">
        <v>0</v>
      </c>
      <c r="K113">
        <v>523.04</v>
      </c>
      <c r="L113">
        <v>104.53</v>
      </c>
      <c r="M113" t="s">
        <v>20</v>
      </c>
    </row>
    <row r="114" spans="1:13" x14ac:dyDescent="0.3">
      <c r="A114" t="s">
        <v>446</v>
      </c>
      <c r="B114" t="s">
        <v>447</v>
      </c>
      <c r="C114" t="s">
        <v>448</v>
      </c>
      <c r="D114" s="7" t="s">
        <v>322</v>
      </c>
      <c r="E114" t="s">
        <v>25</v>
      </c>
      <c r="F114" t="s">
        <v>18</v>
      </c>
      <c r="G114" t="s">
        <v>45</v>
      </c>
      <c r="H114">
        <v>4</v>
      </c>
      <c r="I114">
        <v>166.12</v>
      </c>
      <c r="J114">
        <v>0.1</v>
      </c>
      <c r="K114">
        <v>598.03</v>
      </c>
      <c r="L114">
        <v>65.319999999999993</v>
      </c>
      <c r="M114" t="s">
        <v>40</v>
      </c>
    </row>
    <row r="115" spans="1:13" x14ac:dyDescent="0.3">
      <c r="A115" t="s">
        <v>449</v>
      </c>
      <c r="B115" t="s">
        <v>450</v>
      </c>
      <c r="C115" t="s">
        <v>451</v>
      </c>
      <c r="D115" s="7" t="s">
        <v>452</v>
      </c>
      <c r="E115" t="s">
        <v>64</v>
      </c>
      <c r="F115" t="s">
        <v>89</v>
      </c>
      <c r="G115" t="s">
        <v>150</v>
      </c>
      <c r="H115">
        <v>3</v>
      </c>
      <c r="I115">
        <v>88.01</v>
      </c>
      <c r="J115">
        <v>0.1</v>
      </c>
      <c r="K115">
        <v>237.63</v>
      </c>
      <c r="L115">
        <v>71.14</v>
      </c>
      <c r="M115" t="s">
        <v>35</v>
      </c>
    </row>
    <row r="116" spans="1:13" x14ac:dyDescent="0.3">
      <c r="A116" t="s">
        <v>453</v>
      </c>
      <c r="B116" t="s">
        <v>327</v>
      </c>
      <c r="C116" t="s">
        <v>454</v>
      </c>
      <c r="D116" s="7" t="s">
        <v>455</v>
      </c>
      <c r="E116" t="s">
        <v>59</v>
      </c>
      <c r="F116" t="s">
        <v>89</v>
      </c>
      <c r="G116" t="s">
        <v>150</v>
      </c>
      <c r="H116">
        <v>8</v>
      </c>
      <c r="I116">
        <v>12.6</v>
      </c>
      <c r="J116">
        <v>0</v>
      </c>
      <c r="K116">
        <v>100.8</v>
      </c>
      <c r="L116">
        <v>20.27</v>
      </c>
      <c r="M116" t="s">
        <v>40</v>
      </c>
    </row>
    <row r="117" spans="1:13" x14ac:dyDescent="0.3">
      <c r="A117" t="s">
        <v>456</v>
      </c>
      <c r="B117" t="s">
        <v>457</v>
      </c>
      <c r="C117" t="s">
        <v>458</v>
      </c>
      <c r="D117" s="7" t="s">
        <v>459</v>
      </c>
      <c r="E117" t="s">
        <v>64</v>
      </c>
      <c r="F117" t="s">
        <v>26</v>
      </c>
      <c r="G117" t="s">
        <v>118</v>
      </c>
      <c r="H117">
        <v>7</v>
      </c>
      <c r="I117">
        <v>116.18</v>
      </c>
      <c r="J117">
        <v>0.1</v>
      </c>
      <c r="K117">
        <v>731.93</v>
      </c>
      <c r="L117">
        <v>73.47</v>
      </c>
      <c r="M117" t="s">
        <v>40</v>
      </c>
    </row>
    <row r="118" spans="1:13" x14ac:dyDescent="0.3">
      <c r="A118" t="s">
        <v>460</v>
      </c>
      <c r="B118" t="s">
        <v>461</v>
      </c>
      <c r="C118" t="s">
        <v>291</v>
      </c>
      <c r="D118" s="7" t="s">
        <v>462</v>
      </c>
      <c r="E118" t="s">
        <v>25</v>
      </c>
      <c r="F118" t="s">
        <v>89</v>
      </c>
      <c r="G118" t="s">
        <v>131</v>
      </c>
      <c r="H118">
        <v>3</v>
      </c>
      <c r="I118">
        <v>170.27</v>
      </c>
      <c r="J118">
        <v>0.1</v>
      </c>
      <c r="K118">
        <v>459.73</v>
      </c>
      <c r="L118">
        <v>44.89</v>
      </c>
      <c r="M118" t="s">
        <v>35</v>
      </c>
    </row>
    <row r="119" spans="1:13" x14ac:dyDescent="0.3">
      <c r="A119" t="s">
        <v>463</v>
      </c>
      <c r="B119" t="s">
        <v>464</v>
      </c>
      <c r="C119" t="s">
        <v>465</v>
      </c>
      <c r="D119" s="7" t="s">
        <v>466</v>
      </c>
      <c r="E119" t="s">
        <v>59</v>
      </c>
      <c r="F119" t="s">
        <v>18</v>
      </c>
      <c r="G119" t="s">
        <v>45</v>
      </c>
      <c r="H119">
        <v>3</v>
      </c>
      <c r="I119">
        <v>194.81</v>
      </c>
      <c r="J119">
        <v>0.15</v>
      </c>
      <c r="K119">
        <v>496.77</v>
      </c>
      <c r="L119">
        <v>114.74</v>
      </c>
      <c r="M119" t="s">
        <v>35</v>
      </c>
    </row>
    <row r="120" spans="1:13" x14ac:dyDescent="0.3">
      <c r="A120" t="s">
        <v>467</v>
      </c>
      <c r="B120" t="s">
        <v>37</v>
      </c>
      <c r="C120" t="s">
        <v>468</v>
      </c>
      <c r="D120" s="7" t="s">
        <v>469</v>
      </c>
      <c r="E120" t="s">
        <v>17</v>
      </c>
      <c r="F120" t="s">
        <v>89</v>
      </c>
      <c r="G120" t="s">
        <v>150</v>
      </c>
      <c r="H120">
        <v>4</v>
      </c>
      <c r="I120">
        <v>191.95</v>
      </c>
      <c r="J120">
        <v>0.1</v>
      </c>
      <c r="K120">
        <v>691.02</v>
      </c>
      <c r="L120">
        <v>186.6</v>
      </c>
      <c r="M120" t="s">
        <v>20</v>
      </c>
    </row>
    <row r="121" spans="1:13" x14ac:dyDescent="0.3">
      <c r="A121" t="s">
        <v>470</v>
      </c>
      <c r="B121" t="s">
        <v>439</v>
      </c>
      <c r="C121" t="s">
        <v>471</v>
      </c>
      <c r="D121" s="7" t="s">
        <v>472</v>
      </c>
      <c r="E121" t="s">
        <v>64</v>
      </c>
      <c r="F121" t="s">
        <v>18</v>
      </c>
      <c r="G121" t="s">
        <v>79</v>
      </c>
      <c r="H121">
        <v>3</v>
      </c>
      <c r="I121">
        <v>26.94</v>
      </c>
      <c r="J121">
        <v>0</v>
      </c>
      <c r="K121">
        <v>80.819999999999993</v>
      </c>
      <c r="L121">
        <v>22.38</v>
      </c>
      <c r="M121" t="s">
        <v>20</v>
      </c>
    </row>
    <row r="122" spans="1:13" x14ac:dyDescent="0.3">
      <c r="A122" t="s">
        <v>473</v>
      </c>
      <c r="B122" t="s">
        <v>286</v>
      </c>
      <c r="C122" t="s">
        <v>474</v>
      </c>
      <c r="D122" s="7" t="s">
        <v>475</v>
      </c>
      <c r="E122" t="s">
        <v>32</v>
      </c>
      <c r="F122" t="s">
        <v>26</v>
      </c>
      <c r="G122" t="s">
        <v>118</v>
      </c>
      <c r="H122">
        <v>2</v>
      </c>
      <c r="I122">
        <v>134.16999999999999</v>
      </c>
      <c r="J122">
        <v>0.15</v>
      </c>
      <c r="K122">
        <v>228.09</v>
      </c>
      <c r="L122">
        <v>42.37</v>
      </c>
      <c r="M122" t="s">
        <v>40</v>
      </c>
    </row>
    <row r="123" spans="1:13" x14ac:dyDescent="0.3">
      <c r="A123" t="s">
        <v>476</v>
      </c>
      <c r="B123" t="s">
        <v>420</v>
      </c>
      <c r="C123" t="s">
        <v>477</v>
      </c>
      <c r="D123" s="7" t="s">
        <v>478</v>
      </c>
      <c r="E123" t="s">
        <v>64</v>
      </c>
      <c r="F123" t="s">
        <v>26</v>
      </c>
      <c r="G123" t="s">
        <v>84</v>
      </c>
      <c r="H123">
        <v>7</v>
      </c>
      <c r="I123">
        <v>185.53</v>
      </c>
      <c r="J123">
        <v>0.15</v>
      </c>
      <c r="K123">
        <v>1103.9000000000001</v>
      </c>
      <c r="L123">
        <v>296.54000000000002</v>
      </c>
      <c r="M123" t="s">
        <v>20</v>
      </c>
    </row>
    <row r="124" spans="1:13" x14ac:dyDescent="0.3">
      <c r="A124" t="s">
        <v>479</v>
      </c>
      <c r="B124" t="s">
        <v>104</v>
      </c>
      <c r="C124" t="s">
        <v>480</v>
      </c>
      <c r="D124" s="7" t="s">
        <v>481</v>
      </c>
      <c r="E124" t="s">
        <v>64</v>
      </c>
      <c r="F124" t="s">
        <v>18</v>
      </c>
      <c r="G124" t="s">
        <v>19</v>
      </c>
      <c r="H124">
        <v>1</v>
      </c>
      <c r="I124">
        <v>236.78</v>
      </c>
      <c r="J124">
        <v>0.1</v>
      </c>
      <c r="K124">
        <v>213.1</v>
      </c>
      <c r="L124">
        <v>32.869999999999997</v>
      </c>
      <c r="M124" t="s">
        <v>35</v>
      </c>
    </row>
    <row r="125" spans="1:13" x14ac:dyDescent="0.3">
      <c r="A125" t="s">
        <v>482</v>
      </c>
      <c r="B125" t="s">
        <v>483</v>
      </c>
      <c r="C125" t="s">
        <v>484</v>
      </c>
      <c r="D125" s="7" t="s">
        <v>466</v>
      </c>
      <c r="E125" t="s">
        <v>25</v>
      </c>
      <c r="F125" t="s">
        <v>89</v>
      </c>
      <c r="G125" t="s">
        <v>131</v>
      </c>
      <c r="H125">
        <v>7</v>
      </c>
      <c r="I125">
        <v>83.97</v>
      </c>
      <c r="J125">
        <v>0.15</v>
      </c>
      <c r="K125">
        <v>499.62</v>
      </c>
      <c r="L125">
        <v>121.17</v>
      </c>
      <c r="M125" t="s">
        <v>40</v>
      </c>
    </row>
    <row r="126" spans="1:13" x14ac:dyDescent="0.3">
      <c r="A126" t="s">
        <v>485</v>
      </c>
      <c r="B126" t="s">
        <v>396</v>
      </c>
      <c r="C126" t="s">
        <v>486</v>
      </c>
      <c r="D126" s="7" t="s">
        <v>487</v>
      </c>
      <c r="E126" t="s">
        <v>25</v>
      </c>
      <c r="F126" t="s">
        <v>33</v>
      </c>
      <c r="G126" t="s">
        <v>74</v>
      </c>
      <c r="H126">
        <v>7</v>
      </c>
      <c r="I126">
        <v>24.81</v>
      </c>
      <c r="J126">
        <v>0</v>
      </c>
      <c r="K126">
        <v>173.67</v>
      </c>
      <c r="L126">
        <v>45.77</v>
      </c>
      <c r="M126" t="s">
        <v>20</v>
      </c>
    </row>
    <row r="127" spans="1:13" x14ac:dyDescent="0.3">
      <c r="A127" t="s">
        <v>488</v>
      </c>
      <c r="B127" t="s">
        <v>489</v>
      </c>
      <c r="C127" t="s">
        <v>490</v>
      </c>
      <c r="D127" s="7" t="s">
        <v>491</v>
      </c>
      <c r="E127" t="s">
        <v>59</v>
      </c>
      <c r="F127" t="s">
        <v>26</v>
      </c>
      <c r="G127" t="s">
        <v>118</v>
      </c>
      <c r="H127">
        <v>2</v>
      </c>
      <c r="I127">
        <v>123.71</v>
      </c>
      <c r="J127">
        <v>0</v>
      </c>
      <c r="K127">
        <v>247.42</v>
      </c>
      <c r="L127">
        <v>22.65</v>
      </c>
      <c r="M127" t="s">
        <v>40</v>
      </c>
    </row>
    <row r="128" spans="1:13" x14ac:dyDescent="0.3">
      <c r="A128" t="s">
        <v>492</v>
      </c>
      <c r="B128" t="s">
        <v>493</v>
      </c>
      <c r="C128" t="s">
        <v>494</v>
      </c>
      <c r="D128" s="7" t="s">
        <v>495</v>
      </c>
      <c r="E128" t="s">
        <v>59</v>
      </c>
      <c r="F128" t="s">
        <v>26</v>
      </c>
      <c r="G128" t="s">
        <v>27</v>
      </c>
      <c r="H128">
        <v>6</v>
      </c>
      <c r="I128">
        <v>187.81</v>
      </c>
      <c r="J128">
        <v>0.1</v>
      </c>
      <c r="K128">
        <v>1014.17</v>
      </c>
      <c r="L128">
        <v>275.14</v>
      </c>
      <c r="M128" t="s">
        <v>40</v>
      </c>
    </row>
    <row r="129" spans="1:13" x14ac:dyDescent="0.3">
      <c r="A129" t="s">
        <v>496</v>
      </c>
      <c r="B129" t="s">
        <v>497</v>
      </c>
      <c r="C129" t="s">
        <v>253</v>
      </c>
      <c r="D129" s="7" t="s">
        <v>498</v>
      </c>
      <c r="E129" t="s">
        <v>32</v>
      </c>
      <c r="F129" t="s">
        <v>26</v>
      </c>
      <c r="G129" t="s">
        <v>84</v>
      </c>
      <c r="H129">
        <v>6</v>
      </c>
      <c r="I129">
        <v>229.42</v>
      </c>
      <c r="J129">
        <v>0.15</v>
      </c>
      <c r="K129">
        <v>1170.04</v>
      </c>
      <c r="L129">
        <v>300.82</v>
      </c>
      <c r="M129" t="s">
        <v>40</v>
      </c>
    </row>
    <row r="130" spans="1:13" x14ac:dyDescent="0.3">
      <c r="A130" t="s">
        <v>499</v>
      </c>
      <c r="B130" t="s">
        <v>500</v>
      </c>
      <c r="C130" t="s">
        <v>200</v>
      </c>
      <c r="D130" s="7" t="s">
        <v>501</v>
      </c>
      <c r="E130" t="s">
        <v>32</v>
      </c>
      <c r="F130" t="s">
        <v>89</v>
      </c>
      <c r="G130" t="s">
        <v>90</v>
      </c>
      <c r="H130">
        <v>6</v>
      </c>
      <c r="I130">
        <v>124.86</v>
      </c>
      <c r="J130">
        <v>0.05</v>
      </c>
      <c r="K130">
        <v>711.7</v>
      </c>
      <c r="L130">
        <v>73.98</v>
      </c>
      <c r="M130" t="s">
        <v>35</v>
      </c>
    </row>
    <row r="131" spans="1:13" x14ac:dyDescent="0.3">
      <c r="A131" t="s">
        <v>502</v>
      </c>
      <c r="B131" t="s">
        <v>503</v>
      </c>
      <c r="C131" t="s">
        <v>504</v>
      </c>
      <c r="D131" s="7" t="s">
        <v>149</v>
      </c>
      <c r="E131" t="s">
        <v>32</v>
      </c>
      <c r="F131" t="s">
        <v>33</v>
      </c>
      <c r="G131" t="s">
        <v>34</v>
      </c>
      <c r="H131">
        <v>6</v>
      </c>
      <c r="I131">
        <v>105.69</v>
      </c>
      <c r="J131">
        <v>0.1</v>
      </c>
      <c r="K131">
        <v>570.73</v>
      </c>
      <c r="L131">
        <v>74.8</v>
      </c>
      <c r="M131" t="s">
        <v>35</v>
      </c>
    </row>
    <row r="132" spans="1:13" x14ac:dyDescent="0.3">
      <c r="A132" t="s">
        <v>505</v>
      </c>
      <c r="B132" t="s">
        <v>506</v>
      </c>
      <c r="C132" t="s">
        <v>507</v>
      </c>
      <c r="D132" s="7" t="s">
        <v>508</v>
      </c>
      <c r="E132" t="s">
        <v>25</v>
      </c>
      <c r="F132" t="s">
        <v>89</v>
      </c>
      <c r="G132" t="s">
        <v>131</v>
      </c>
      <c r="H132">
        <v>4</v>
      </c>
      <c r="I132">
        <v>68.45</v>
      </c>
      <c r="J132">
        <v>0.15</v>
      </c>
      <c r="K132">
        <v>232.73</v>
      </c>
      <c r="L132">
        <v>59.47</v>
      </c>
      <c r="M132" t="s">
        <v>35</v>
      </c>
    </row>
    <row r="133" spans="1:13" x14ac:dyDescent="0.3">
      <c r="A133" t="s">
        <v>509</v>
      </c>
      <c r="B133" t="s">
        <v>510</v>
      </c>
      <c r="C133" t="s">
        <v>511</v>
      </c>
      <c r="D133" s="7" t="s">
        <v>512</v>
      </c>
      <c r="E133" t="s">
        <v>59</v>
      </c>
      <c r="F133" t="s">
        <v>33</v>
      </c>
      <c r="G133" t="s">
        <v>74</v>
      </c>
      <c r="H133">
        <v>8</v>
      </c>
      <c r="I133">
        <v>28.52</v>
      </c>
      <c r="J133">
        <v>0.05</v>
      </c>
      <c r="K133">
        <v>216.75</v>
      </c>
      <c r="L133">
        <v>23.7</v>
      </c>
      <c r="M133" t="s">
        <v>20</v>
      </c>
    </row>
    <row r="134" spans="1:13" x14ac:dyDescent="0.3">
      <c r="A134" t="s">
        <v>513</v>
      </c>
      <c r="B134" t="s">
        <v>331</v>
      </c>
      <c r="C134" t="s">
        <v>514</v>
      </c>
      <c r="D134" s="7" t="s">
        <v>193</v>
      </c>
      <c r="E134" t="s">
        <v>64</v>
      </c>
      <c r="F134" t="s">
        <v>33</v>
      </c>
      <c r="G134" t="s">
        <v>69</v>
      </c>
      <c r="H134">
        <v>1</v>
      </c>
      <c r="I134">
        <v>184.76</v>
      </c>
      <c r="J134">
        <v>0.05</v>
      </c>
      <c r="K134">
        <v>175.52</v>
      </c>
      <c r="L134">
        <v>47.73</v>
      </c>
      <c r="M134" t="s">
        <v>40</v>
      </c>
    </row>
    <row r="135" spans="1:13" x14ac:dyDescent="0.3">
      <c r="A135" t="s">
        <v>515</v>
      </c>
      <c r="B135" t="s">
        <v>516</v>
      </c>
      <c r="C135" t="s">
        <v>517</v>
      </c>
      <c r="D135" s="7" t="s">
        <v>518</v>
      </c>
      <c r="E135" t="s">
        <v>25</v>
      </c>
      <c r="F135" t="s">
        <v>33</v>
      </c>
      <c r="G135" t="s">
        <v>74</v>
      </c>
      <c r="H135">
        <v>5</v>
      </c>
      <c r="I135">
        <v>38.01</v>
      </c>
      <c r="J135">
        <v>0.1</v>
      </c>
      <c r="K135">
        <v>171.04</v>
      </c>
      <c r="L135">
        <v>15.64</v>
      </c>
      <c r="M135" t="s">
        <v>20</v>
      </c>
    </row>
    <row r="136" spans="1:13" x14ac:dyDescent="0.3">
      <c r="A136" t="s">
        <v>519</v>
      </c>
      <c r="B136" t="s">
        <v>271</v>
      </c>
      <c r="C136" t="s">
        <v>520</v>
      </c>
      <c r="D136" s="7" t="s">
        <v>521</v>
      </c>
      <c r="E136" t="s">
        <v>64</v>
      </c>
      <c r="F136" t="s">
        <v>26</v>
      </c>
      <c r="G136" t="s">
        <v>84</v>
      </c>
      <c r="H136">
        <v>3</v>
      </c>
      <c r="I136">
        <v>229.57</v>
      </c>
      <c r="J136">
        <v>0</v>
      </c>
      <c r="K136">
        <v>688.71</v>
      </c>
      <c r="L136">
        <v>107.32</v>
      </c>
      <c r="M136" t="s">
        <v>20</v>
      </c>
    </row>
    <row r="137" spans="1:13" x14ac:dyDescent="0.3">
      <c r="A137" t="s">
        <v>522</v>
      </c>
      <c r="B137" t="s">
        <v>523</v>
      </c>
      <c r="C137" t="s">
        <v>424</v>
      </c>
      <c r="D137" s="7" t="s">
        <v>524</v>
      </c>
      <c r="E137" t="s">
        <v>64</v>
      </c>
      <c r="F137" t="s">
        <v>26</v>
      </c>
      <c r="G137" t="s">
        <v>84</v>
      </c>
      <c r="H137">
        <v>3</v>
      </c>
      <c r="I137">
        <v>37.46</v>
      </c>
      <c r="J137">
        <v>0.1</v>
      </c>
      <c r="K137">
        <v>101.14</v>
      </c>
      <c r="L137">
        <v>17.77</v>
      </c>
      <c r="M137" t="s">
        <v>35</v>
      </c>
    </row>
    <row r="138" spans="1:13" x14ac:dyDescent="0.3">
      <c r="A138" t="s">
        <v>525</v>
      </c>
      <c r="B138" t="s">
        <v>526</v>
      </c>
      <c r="C138" t="s">
        <v>527</v>
      </c>
      <c r="D138" s="7" t="s">
        <v>528</v>
      </c>
      <c r="E138" t="s">
        <v>25</v>
      </c>
      <c r="F138" t="s">
        <v>33</v>
      </c>
      <c r="G138" t="s">
        <v>34</v>
      </c>
      <c r="H138">
        <v>2</v>
      </c>
      <c r="I138">
        <v>107.84</v>
      </c>
      <c r="J138">
        <v>0.05</v>
      </c>
      <c r="K138">
        <v>204.9</v>
      </c>
      <c r="L138">
        <v>54.9</v>
      </c>
      <c r="M138" t="s">
        <v>35</v>
      </c>
    </row>
    <row r="139" spans="1:13" x14ac:dyDescent="0.3">
      <c r="A139" t="s">
        <v>529</v>
      </c>
      <c r="B139" t="s">
        <v>530</v>
      </c>
      <c r="C139" t="s">
        <v>531</v>
      </c>
      <c r="D139" s="7" t="s">
        <v>532</v>
      </c>
      <c r="E139" t="s">
        <v>32</v>
      </c>
      <c r="F139" t="s">
        <v>18</v>
      </c>
      <c r="G139" t="s">
        <v>79</v>
      </c>
      <c r="H139">
        <v>2</v>
      </c>
      <c r="I139">
        <v>171.18</v>
      </c>
      <c r="J139">
        <v>0.15</v>
      </c>
      <c r="K139">
        <v>291.01</v>
      </c>
      <c r="L139">
        <v>40.22</v>
      </c>
      <c r="M139" t="s">
        <v>40</v>
      </c>
    </row>
    <row r="140" spans="1:13" x14ac:dyDescent="0.3">
      <c r="A140" t="s">
        <v>533</v>
      </c>
      <c r="B140" t="s">
        <v>534</v>
      </c>
      <c r="C140" t="s">
        <v>535</v>
      </c>
      <c r="D140" s="7" t="s">
        <v>501</v>
      </c>
      <c r="E140" t="s">
        <v>64</v>
      </c>
      <c r="F140" t="s">
        <v>26</v>
      </c>
      <c r="G140" t="s">
        <v>27</v>
      </c>
      <c r="H140">
        <v>8</v>
      </c>
      <c r="I140">
        <v>75.209999999999994</v>
      </c>
      <c r="J140">
        <v>0.1</v>
      </c>
      <c r="K140">
        <v>541.51</v>
      </c>
      <c r="L140">
        <v>67.069999999999993</v>
      </c>
      <c r="M140" t="s">
        <v>40</v>
      </c>
    </row>
    <row r="141" spans="1:13" x14ac:dyDescent="0.3">
      <c r="A141" t="s">
        <v>536</v>
      </c>
      <c r="B141" t="s">
        <v>420</v>
      </c>
      <c r="C141" t="s">
        <v>366</v>
      </c>
      <c r="D141" s="7" t="s">
        <v>537</v>
      </c>
      <c r="E141" t="s">
        <v>17</v>
      </c>
      <c r="F141" t="s">
        <v>89</v>
      </c>
      <c r="G141" t="s">
        <v>150</v>
      </c>
      <c r="H141">
        <v>7</v>
      </c>
      <c r="I141">
        <v>126.33</v>
      </c>
      <c r="J141">
        <v>0.15</v>
      </c>
      <c r="K141">
        <v>751.66</v>
      </c>
      <c r="L141">
        <v>112.59</v>
      </c>
      <c r="M141" t="s">
        <v>35</v>
      </c>
    </row>
    <row r="142" spans="1:13" x14ac:dyDescent="0.3">
      <c r="A142" t="s">
        <v>538</v>
      </c>
      <c r="B142" t="s">
        <v>66</v>
      </c>
      <c r="C142" t="s">
        <v>480</v>
      </c>
      <c r="D142" s="7" t="s">
        <v>73</v>
      </c>
      <c r="E142" t="s">
        <v>25</v>
      </c>
      <c r="F142" t="s">
        <v>33</v>
      </c>
      <c r="G142" t="s">
        <v>50</v>
      </c>
      <c r="H142">
        <v>4</v>
      </c>
      <c r="I142">
        <v>208.44</v>
      </c>
      <c r="J142">
        <v>0.1</v>
      </c>
      <c r="K142">
        <v>750.38</v>
      </c>
      <c r="L142">
        <v>60.62</v>
      </c>
      <c r="M142" t="s">
        <v>35</v>
      </c>
    </row>
    <row r="143" spans="1:13" x14ac:dyDescent="0.3">
      <c r="A143" t="s">
        <v>539</v>
      </c>
      <c r="B143" t="s">
        <v>540</v>
      </c>
      <c r="C143" t="s">
        <v>541</v>
      </c>
      <c r="D143" s="7" t="s">
        <v>542</v>
      </c>
      <c r="E143" t="s">
        <v>17</v>
      </c>
      <c r="F143" t="s">
        <v>18</v>
      </c>
      <c r="G143" t="s">
        <v>19</v>
      </c>
      <c r="H143">
        <v>2</v>
      </c>
      <c r="I143">
        <v>152.99</v>
      </c>
      <c r="J143">
        <v>0.05</v>
      </c>
      <c r="K143">
        <v>290.68</v>
      </c>
      <c r="L143">
        <v>77.95</v>
      </c>
      <c r="M143" t="s">
        <v>40</v>
      </c>
    </row>
    <row r="144" spans="1:13" x14ac:dyDescent="0.3">
      <c r="A144" t="s">
        <v>543</v>
      </c>
      <c r="B144" t="s">
        <v>544</v>
      </c>
      <c r="C144" t="s">
        <v>545</v>
      </c>
      <c r="D144" s="7" t="s">
        <v>546</v>
      </c>
      <c r="E144" t="s">
        <v>17</v>
      </c>
      <c r="F144" t="s">
        <v>18</v>
      </c>
      <c r="G144" t="s">
        <v>79</v>
      </c>
      <c r="H144">
        <v>8</v>
      </c>
      <c r="I144">
        <v>10.88</v>
      </c>
      <c r="J144">
        <v>0</v>
      </c>
      <c r="K144">
        <v>87.04</v>
      </c>
      <c r="L144">
        <v>14.93</v>
      </c>
      <c r="M144" t="s">
        <v>35</v>
      </c>
    </row>
    <row r="145" spans="1:13" x14ac:dyDescent="0.3">
      <c r="A145" t="s">
        <v>547</v>
      </c>
      <c r="B145" t="s">
        <v>548</v>
      </c>
      <c r="C145" t="s">
        <v>549</v>
      </c>
      <c r="D145" s="7" t="s">
        <v>550</v>
      </c>
      <c r="E145" t="s">
        <v>59</v>
      </c>
      <c r="F145" t="s">
        <v>89</v>
      </c>
      <c r="G145" t="s">
        <v>131</v>
      </c>
      <c r="H145">
        <v>8</v>
      </c>
      <c r="I145">
        <v>130.15</v>
      </c>
      <c r="J145">
        <v>0.15</v>
      </c>
      <c r="K145">
        <v>885.02</v>
      </c>
      <c r="L145">
        <v>176.02</v>
      </c>
      <c r="M145" t="s">
        <v>20</v>
      </c>
    </row>
    <row r="146" spans="1:13" x14ac:dyDescent="0.3">
      <c r="A146" t="s">
        <v>551</v>
      </c>
      <c r="B146" t="s">
        <v>170</v>
      </c>
      <c r="C146" t="s">
        <v>77</v>
      </c>
      <c r="D146" s="7" t="s">
        <v>552</v>
      </c>
      <c r="E146" t="s">
        <v>64</v>
      </c>
      <c r="F146" t="s">
        <v>89</v>
      </c>
      <c r="G146" t="s">
        <v>150</v>
      </c>
      <c r="H146">
        <v>4</v>
      </c>
      <c r="I146">
        <v>230.76</v>
      </c>
      <c r="J146">
        <v>0.05</v>
      </c>
      <c r="K146">
        <v>876.89</v>
      </c>
      <c r="L146">
        <v>211.82</v>
      </c>
      <c r="M146" t="s">
        <v>40</v>
      </c>
    </row>
    <row r="147" spans="1:13" x14ac:dyDescent="0.3">
      <c r="A147" t="s">
        <v>553</v>
      </c>
      <c r="B147" t="s">
        <v>554</v>
      </c>
      <c r="C147" t="s">
        <v>555</v>
      </c>
      <c r="D147" s="7" t="s">
        <v>556</v>
      </c>
      <c r="E147" t="s">
        <v>32</v>
      </c>
      <c r="F147" t="s">
        <v>33</v>
      </c>
      <c r="G147" t="s">
        <v>69</v>
      </c>
      <c r="H147">
        <v>8</v>
      </c>
      <c r="I147">
        <v>226.87</v>
      </c>
      <c r="J147">
        <v>0.15</v>
      </c>
      <c r="K147">
        <v>1542.72</v>
      </c>
      <c r="L147">
        <v>285.45999999999998</v>
      </c>
      <c r="M147" t="s">
        <v>35</v>
      </c>
    </row>
    <row r="148" spans="1:13" x14ac:dyDescent="0.3">
      <c r="A148" t="s">
        <v>557</v>
      </c>
      <c r="B148" t="s">
        <v>558</v>
      </c>
      <c r="C148" t="s">
        <v>559</v>
      </c>
      <c r="D148" s="7" t="s">
        <v>54</v>
      </c>
      <c r="E148" t="s">
        <v>32</v>
      </c>
      <c r="F148" t="s">
        <v>18</v>
      </c>
      <c r="G148" t="s">
        <v>19</v>
      </c>
      <c r="H148">
        <v>2</v>
      </c>
      <c r="I148">
        <v>194.62</v>
      </c>
      <c r="J148">
        <v>0.05</v>
      </c>
      <c r="K148">
        <v>369.78</v>
      </c>
      <c r="L148">
        <v>40.68</v>
      </c>
      <c r="M148" t="s">
        <v>35</v>
      </c>
    </row>
    <row r="149" spans="1:13" x14ac:dyDescent="0.3">
      <c r="A149" t="s">
        <v>560</v>
      </c>
      <c r="B149" t="s">
        <v>561</v>
      </c>
      <c r="C149" t="s">
        <v>562</v>
      </c>
      <c r="D149" s="7" t="s">
        <v>563</v>
      </c>
      <c r="E149" t="s">
        <v>17</v>
      </c>
      <c r="F149" t="s">
        <v>33</v>
      </c>
      <c r="G149" t="s">
        <v>50</v>
      </c>
      <c r="H149">
        <v>3</v>
      </c>
      <c r="I149">
        <v>138.16999999999999</v>
      </c>
      <c r="J149">
        <v>0.15</v>
      </c>
      <c r="K149">
        <v>352.33</v>
      </c>
      <c r="L149">
        <v>84.41</v>
      </c>
      <c r="M149" t="s">
        <v>35</v>
      </c>
    </row>
    <row r="150" spans="1:13" x14ac:dyDescent="0.3">
      <c r="A150" t="s">
        <v>564</v>
      </c>
      <c r="B150" t="s">
        <v>124</v>
      </c>
      <c r="C150" t="s">
        <v>565</v>
      </c>
      <c r="D150" s="7" t="s">
        <v>550</v>
      </c>
      <c r="E150" t="s">
        <v>32</v>
      </c>
      <c r="F150" t="s">
        <v>33</v>
      </c>
      <c r="G150" t="s">
        <v>50</v>
      </c>
      <c r="H150">
        <v>3</v>
      </c>
      <c r="I150">
        <v>249.22</v>
      </c>
      <c r="J150">
        <v>0</v>
      </c>
      <c r="K150">
        <v>747.66</v>
      </c>
      <c r="L150">
        <v>215.29</v>
      </c>
      <c r="M150" t="s">
        <v>35</v>
      </c>
    </row>
    <row r="151" spans="1:13" x14ac:dyDescent="0.3">
      <c r="A151" t="s">
        <v>566</v>
      </c>
      <c r="B151" t="s">
        <v>530</v>
      </c>
      <c r="C151" t="s">
        <v>567</v>
      </c>
      <c r="D151" s="7" t="s">
        <v>568</v>
      </c>
      <c r="E151" t="s">
        <v>25</v>
      </c>
      <c r="F151" t="s">
        <v>89</v>
      </c>
      <c r="G151" t="s">
        <v>131</v>
      </c>
      <c r="H151">
        <v>5</v>
      </c>
      <c r="I151">
        <v>215.12</v>
      </c>
      <c r="J151">
        <v>0.1</v>
      </c>
      <c r="K151">
        <v>968.04</v>
      </c>
      <c r="L151">
        <v>141.38</v>
      </c>
      <c r="M151" t="s">
        <v>35</v>
      </c>
    </row>
    <row r="152" spans="1:13" x14ac:dyDescent="0.3">
      <c r="A152" t="s">
        <v>569</v>
      </c>
      <c r="B152" t="s">
        <v>570</v>
      </c>
      <c r="C152" t="s">
        <v>571</v>
      </c>
      <c r="D152" s="7" t="s">
        <v>572</v>
      </c>
      <c r="E152" t="s">
        <v>59</v>
      </c>
      <c r="F152" t="s">
        <v>33</v>
      </c>
      <c r="G152" t="s">
        <v>69</v>
      </c>
      <c r="H152">
        <v>6</v>
      </c>
      <c r="I152">
        <v>145.41</v>
      </c>
      <c r="J152">
        <v>0.05</v>
      </c>
      <c r="K152">
        <v>828.84</v>
      </c>
      <c r="L152">
        <v>215.82</v>
      </c>
      <c r="M152" t="s">
        <v>20</v>
      </c>
    </row>
    <row r="153" spans="1:13" x14ac:dyDescent="0.3">
      <c r="A153" t="s">
        <v>573</v>
      </c>
      <c r="B153" t="s">
        <v>574</v>
      </c>
      <c r="C153" t="s">
        <v>575</v>
      </c>
      <c r="D153" s="7" t="s">
        <v>576</v>
      </c>
      <c r="E153" t="s">
        <v>64</v>
      </c>
      <c r="F153" t="s">
        <v>89</v>
      </c>
      <c r="G153" t="s">
        <v>150</v>
      </c>
      <c r="H153">
        <v>7</v>
      </c>
      <c r="I153">
        <v>50.37</v>
      </c>
      <c r="J153">
        <v>0.05</v>
      </c>
      <c r="K153">
        <v>334.96</v>
      </c>
      <c r="L153">
        <v>80.739999999999995</v>
      </c>
      <c r="M153" t="s">
        <v>20</v>
      </c>
    </row>
    <row r="154" spans="1:13" x14ac:dyDescent="0.3">
      <c r="A154" t="s">
        <v>577</v>
      </c>
      <c r="B154" t="s">
        <v>207</v>
      </c>
      <c r="C154" t="s">
        <v>578</v>
      </c>
      <c r="D154" s="7" t="s">
        <v>481</v>
      </c>
      <c r="E154" t="s">
        <v>17</v>
      </c>
      <c r="F154" t="s">
        <v>33</v>
      </c>
      <c r="G154" t="s">
        <v>69</v>
      </c>
      <c r="H154">
        <v>6</v>
      </c>
      <c r="I154">
        <v>14.93</v>
      </c>
      <c r="J154">
        <v>0.15</v>
      </c>
      <c r="K154">
        <v>76.14</v>
      </c>
      <c r="L154">
        <v>9.42</v>
      </c>
      <c r="M154" t="s">
        <v>40</v>
      </c>
    </row>
    <row r="155" spans="1:13" x14ac:dyDescent="0.3">
      <c r="A155" t="s">
        <v>579</v>
      </c>
      <c r="B155" t="s">
        <v>385</v>
      </c>
      <c r="C155" t="s">
        <v>580</v>
      </c>
      <c r="D155" s="7" t="s">
        <v>581</v>
      </c>
      <c r="E155" t="s">
        <v>64</v>
      </c>
      <c r="F155" t="s">
        <v>26</v>
      </c>
      <c r="G155" t="s">
        <v>84</v>
      </c>
      <c r="H155">
        <v>7</v>
      </c>
      <c r="I155">
        <v>91.51</v>
      </c>
      <c r="J155">
        <v>0.1</v>
      </c>
      <c r="K155">
        <v>576.51</v>
      </c>
      <c r="L155">
        <v>115.26</v>
      </c>
      <c r="M155" t="s">
        <v>35</v>
      </c>
    </row>
    <row r="156" spans="1:13" x14ac:dyDescent="0.3">
      <c r="A156" t="s">
        <v>582</v>
      </c>
      <c r="B156" t="s">
        <v>583</v>
      </c>
      <c r="C156" t="s">
        <v>584</v>
      </c>
      <c r="D156" s="7" t="s">
        <v>376</v>
      </c>
      <c r="E156" t="s">
        <v>25</v>
      </c>
      <c r="F156" t="s">
        <v>26</v>
      </c>
      <c r="G156" t="s">
        <v>118</v>
      </c>
      <c r="H156">
        <v>4</v>
      </c>
      <c r="I156">
        <v>80.98</v>
      </c>
      <c r="J156">
        <v>0.15</v>
      </c>
      <c r="K156">
        <v>275.33</v>
      </c>
      <c r="L156">
        <v>67.97</v>
      </c>
      <c r="M156" t="s">
        <v>40</v>
      </c>
    </row>
    <row r="157" spans="1:13" x14ac:dyDescent="0.3">
      <c r="A157" t="s">
        <v>585</v>
      </c>
      <c r="B157" t="s">
        <v>412</v>
      </c>
      <c r="C157" t="s">
        <v>586</v>
      </c>
      <c r="D157" s="7" t="s">
        <v>360</v>
      </c>
      <c r="E157" t="s">
        <v>25</v>
      </c>
      <c r="F157" t="s">
        <v>89</v>
      </c>
      <c r="G157" t="s">
        <v>90</v>
      </c>
      <c r="H157">
        <v>8</v>
      </c>
      <c r="I157">
        <v>161.6</v>
      </c>
      <c r="J157">
        <v>0.1</v>
      </c>
      <c r="K157">
        <v>1163.52</v>
      </c>
      <c r="L157">
        <v>212.62</v>
      </c>
      <c r="M157" t="s">
        <v>20</v>
      </c>
    </row>
    <row r="158" spans="1:13" x14ac:dyDescent="0.3">
      <c r="A158" t="s">
        <v>587</v>
      </c>
      <c r="B158" t="s">
        <v>558</v>
      </c>
      <c r="C158" t="s">
        <v>346</v>
      </c>
      <c r="D158" s="7" t="s">
        <v>588</v>
      </c>
      <c r="E158" t="s">
        <v>64</v>
      </c>
      <c r="F158" t="s">
        <v>18</v>
      </c>
      <c r="G158" t="s">
        <v>45</v>
      </c>
      <c r="H158">
        <v>1</v>
      </c>
      <c r="I158">
        <v>85.25</v>
      </c>
      <c r="J158">
        <v>0.1</v>
      </c>
      <c r="K158">
        <v>76.73</v>
      </c>
      <c r="L158">
        <v>11.56</v>
      </c>
      <c r="M158" t="s">
        <v>35</v>
      </c>
    </row>
    <row r="159" spans="1:13" x14ac:dyDescent="0.3">
      <c r="A159" t="s">
        <v>589</v>
      </c>
      <c r="B159" t="s">
        <v>143</v>
      </c>
      <c r="C159" t="s">
        <v>590</v>
      </c>
      <c r="D159" s="7" t="s">
        <v>427</v>
      </c>
      <c r="E159" t="s">
        <v>64</v>
      </c>
      <c r="F159" t="s">
        <v>89</v>
      </c>
      <c r="G159" t="s">
        <v>90</v>
      </c>
      <c r="H159">
        <v>6</v>
      </c>
      <c r="I159">
        <v>54.78</v>
      </c>
      <c r="J159">
        <v>0</v>
      </c>
      <c r="K159">
        <v>328.68</v>
      </c>
      <c r="L159">
        <v>65.709999999999994</v>
      </c>
      <c r="M159" t="s">
        <v>20</v>
      </c>
    </row>
    <row r="160" spans="1:13" x14ac:dyDescent="0.3">
      <c r="A160" t="s">
        <v>591</v>
      </c>
      <c r="B160" t="s">
        <v>592</v>
      </c>
      <c r="C160" t="s">
        <v>593</v>
      </c>
      <c r="D160" s="7" t="s">
        <v>594</v>
      </c>
      <c r="E160" t="s">
        <v>32</v>
      </c>
      <c r="F160" t="s">
        <v>26</v>
      </c>
      <c r="G160" t="s">
        <v>27</v>
      </c>
      <c r="H160">
        <v>3</v>
      </c>
      <c r="I160">
        <v>123.34</v>
      </c>
      <c r="J160">
        <v>0.1</v>
      </c>
      <c r="K160">
        <v>333.02</v>
      </c>
      <c r="L160">
        <v>60.77</v>
      </c>
      <c r="M160" t="s">
        <v>40</v>
      </c>
    </row>
    <row r="161" spans="1:13" x14ac:dyDescent="0.3">
      <c r="A161" t="s">
        <v>595</v>
      </c>
      <c r="B161" t="s">
        <v>596</v>
      </c>
      <c r="C161" t="s">
        <v>597</v>
      </c>
      <c r="D161" s="7" t="s">
        <v>598</v>
      </c>
      <c r="E161" t="s">
        <v>32</v>
      </c>
      <c r="F161" t="s">
        <v>89</v>
      </c>
      <c r="G161" t="s">
        <v>131</v>
      </c>
      <c r="H161">
        <v>3</v>
      </c>
      <c r="I161">
        <v>168.01</v>
      </c>
      <c r="J161">
        <v>0.1</v>
      </c>
      <c r="K161">
        <v>453.63</v>
      </c>
      <c r="L161">
        <v>41.05</v>
      </c>
      <c r="M161" t="s">
        <v>35</v>
      </c>
    </row>
    <row r="162" spans="1:13" x14ac:dyDescent="0.3">
      <c r="A162" t="s">
        <v>599</v>
      </c>
      <c r="B162" t="s">
        <v>76</v>
      </c>
      <c r="C162" t="s">
        <v>600</v>
      </c>
      <c r="D162" s="7" t="s">
        <v>601</v>
      </c>
      <c r="E162" t="s">
        <v>64</v>
      </c>
      <c r="F162" t="s">
        <v>18</v>
      </c>
      <c r="G162" t="s">
        <v>45</v>
      </c>
      <c r="H162">
        <v>5</v>
      </c>
      <c r="I162">
        <v>232.33</v>
      </c>
      <c r="J162">
        <v>0.15</v>
      </c>
      <c r="K162">
        <v>987.4</v>
      </c>
      <c r="L162">
        <v>249.77</v>
      </c>
      <c r="M162" t="s">
        <v>20</v>
      </c>
    </row>
    <row r="163" spans="1:13" x14ac:dyDescent="0.3">
      <c r="A163" t="s">
        <v>602</v>
      </c>
      <c r="B163" t="s">
        <v>603</v>
      </c>
      <c r="C163" t="s">
        <v>604</v>
      </c>
      <c r="D163" s="7" t="s">
        <v>605</v>
      </c>
      <c r="E163" t="s">
        <v>59</v>
      </c>
      <c r="F163" t="s">
        <v>18</v>
      </c>
      <c r="G163" t="s">
        <v>19</v>
      </c>
      <c r="H163">
        <v>3</v>
      </c>
      <c r="I163">
        <v>154.72999999999999</v>
      </c>
      <c r="J163">
        <v>0</v>
      </c>
      <c r="K163">
        <v>464.19</v>
      </c>
      <c r="L163">
        <v>120.82</v>
      </c>
      <c r="M163" t="s">
        <v>35</v>
      </c>
    </row>
    <row r="164" spans="1:13" x14ac:dyDescent="0.3">
      <c r="A164" t="s">
        <v>606</v>
      </c>
      <c r="B164" t="s">
        <v>607</v>
      </c>
      <c r="C164" t="s">
        <v>608</v>
      </c>
      <c r="D164" s="7" t="s">
        <v>609</v>
      </c>
      <c r="E164" t="s">
        <v>17</v>
      </c>
      <c r="F164" t="s">
        <v>89</v>
      </c>
      <c r="G164" t="s">
        <v>90</v>
      </c>
      <c r="H164">
        <v>8</v>
      </c>
      <c r="I164">
        <v>185.96</v>
      </c>
      <c r="J164">
        <v>0</v>
      </c>
      <c r="K164">
        <v>1487.68</v>
      </c>
      <c r="L164">
        <v>182.7</v>
      </c>
      <c r="M164" t="s">
        <v>40</v>
      </c>
    </row>
    <row r="165" spans="1:13" x14ac:dyDescent="0.3">
      <c r="A165" t="s">
        <v>610</v>
      </c>
      <c r="B165" t="s">
        <v>611</v>
      </c>
      <c r="C165" t="s">
        <v>451</v>
      </c>
      <c r="D165" s="7" t="s">
        <v>612</v>
      </c>
      <c r="E165" t="s">
        <v>32</v>
      </c>
      <c r="F165" t="s">
        <v>33</v>
      </c>
      <c r="G165" t="s">
        <v>34</v>
      </c>
      <c r="H165">
        <v>1</v>
      </c>
      <c r="I165">
        <v>96.05</v>
      </c>
      <c r="J165">
        <v>0.05</v>
      </c>
      <c r="K165">
        <v>91.25</v>
      </c>
      <c r="L165">
        <v>10.64</v>
      </c>
      <c r="M165" t="s">
        <v>35</v>
      </c>
    </row>
    <row r="166" spans="1:13" x14ac:dyDescent="0.3">
      <c r="A166" t="s">
        <v>613</v>
      </c>
      <c r="B166" t="s">
        <v>341</v>
      </c>
      <c r="C166" t="s">
        <v>614</v>
      </c>
      <c r="D166" s="7" t="s">
        <v>532</v>
      </c>
      <c r="E166" t="s">
        <v>32</v>
      </c>
      <c r="F166" t="s">
        <v>33</v>
      </c>
      <c r="G166" t="s">
        <v>69</v>
      </c>
      <c r="H166">
        <v>8</v>
      </c>
      <c r="I166">
        <v>22.33</v>
      </c>
      <c r="J166">
        <v>0</v>
      </c>
      <c r="K166">
        <v>178.64</v>
      </c>
      <c r="L166">
        <v>41.49</v>
      </c>
      <c r="M166" t="s">
        <v>35</v>
      </c>
    </row>
    <row r="167" spans="1:13" x14ac:dyDescent="0.3">
      <c r="A167" t="s">
        <v>615</v>
      </c>
      <c r="B167" t="s">
        <v>616</v>
      </c>
      <c r="C167" t="s">
        <v>617</v>
      </c>
      <c r="D167" s="7" t="s">
        <v>618</v>
      </c>
      <c r="E167" t="s">
        <v>32</v>
      </c>
      <c r="F167" t="s">
        <v>18</v>
      </c>
      <c r="G167" t="s">
        <v>79</v>
      </c>
      <c r="H167">
        <v>3</v>
      </c>
      <c r="I167">
        <v>209.44</v>
      </c>
      <c r="J167">
        <v>0.05</v>
      </c>
      <c r="K167">
        <v>596.9</v>
      </c>
      <c r="L167">
        <v>139.88</v>
      </c>
      <c r="M167" t="s">
        <v>35</v>
      </c>
    </row>
    <row r="168" spans="1:13" x14ac:dyDescent="0.3">
      <c r="A168" t="s">
        <v>619</v>
      </c>
      <c r="B168" t="s">
        <v>620</v>
      </c>
      <c r="C168" t="s">
        <v>87</v>
      </c>
      <c r="D168" s="7" t="s">
        <v>621</v>
      </c>
      <c r="E168" t="s">
        <v>32</v>
      </c>
      <c r="F168" t="s">
        <v>26</v>
      </c>
      <c r="G168" t="s">
        <v>27</v>
      </c>
      <c r="H168">
        <v>1</v>
      </c>
      <c r="I168">
        <v>16.510000000000002</v>
      </c>
      <c r="J168">
        <v>0.1</v>
      </c>
      <c r="K168">
        <v>14.86</v>
      </c>
      <c r="L168">
        <v>4.16</v>
      </c>
      <c r="M168" t="s">
        <v>35</v>
      </c>
    </row>
    <row r="169" spans="1:13" x14ac:dyDescent="0.3">
      <c r="A169" t="s">
        <v>622</v>
      </c>
      <c r="B169" t="s">
        <v>570</v>
      </c>
      <c r="C169" t="s">
        <v>623</v>
      </c>
      <c r="D169" s="7" t="s">
        <v>624</v>
      </c>
      <c r="E169" t="s">
        <v>17</v>
      </c>
      <c r="F169" t="s">
        <v>33</v>
      </c>
      <c r="G169" t="s">
        <v>74</v>
      </c>
      <c r="H169">
        <v>7</v>
      </c>
      <c r="I169">
        <v>82.11</v>
      </c>
      <c r="J169">
        <v>0</v>
      </c>
      <c r="K169">
        <v>574.77</v>
      </c>
      <c r="L169">
        <v>130.38</v>
      </c>
      <c r="M169" t="s">
        <v>35</v>
      </c>
    </row>
    <row r="170" spans="1:13" x14ac:dyDescent="0.3">
      <c r="A170" t="s">
        <v>625</v>
      </c>
      <c r="B170" t="s">
        <v>626</v>
      </c>
      <c r="C170" t="s">
        <v>627</v>
      </c>
      <c r="D170" s="7" t="s">
        <v>628</v>
      </c>
      <c r="E170" t="s">
        <v>32</v>
      </c>
      <c r="F170" t="s">
        <v>89</v>
      </c>
      <c r="G170" t="s">
        <v>90</v>
      </c>
      <c r="H170">
        <v>7</v>
      </c>
      <c r="I170">
        <v>152.97999999999999</v>
      </c>
      <c r="J170">
        <v>0.05</v>
      </c>
      <c r="K170">
        <v>1017.32</v>
      </c>
      <c r="L170">
        <v>145.5</v>
      </c>
      <c r="M170" t="s">
        <v>35</v>
      </c>
    </row>
    <row r="171" spans="1:13" x14ac:dyDescent="0.3">
      <c r="A171" t="s">
        <v>629</v>
      </c>
      <c r="B171" t="s">
        <v>630</v>
      </c>
      <c r="C171" t="s">
        <v>339</v>
      </c>
      <c r="D171" s="7" t="s">
        <v>631</v>
      </c>
      <c r="E171" t="s">
        <v>59</v>
      </c>
      <c r="F171" t="s">
        <v>18</v>
      </c>
      <c r="G171" t="s">
        <v>45</v>
      </c>
      <c r="H171">
        <v>2</v>
      </c>
      <c r="I171">
        <v>49.02</v>
      </c>
      <c r="J171">
        <v>0</v>
      </c>
      <c r="K171">
        <v>98.04</v>
      </c>
      <c r="L171">
        <v>10.96</v>
      </c>
      <c r="M171" t="s">
        <v>40</v>
      </c>
    </row>
    <row r="172" spans="1:13" x14ac:dyDescent="0.3">
      <c r="A172" t="s">
        <v>632</v>
      </c>
      <c r="B172" t="s">
        <v>306</v>
      </c>
      <c r="C172" t="s">
        <v>633</v>
      </c>
      <c r="D172" s="7" t="s">
        <v>634</v>
      </c>
      <c r="E172" t="s">
        <v>59</v>
      </c>
      <c r="F172" t="s">
        <v>33</v>
      </c>
      <c r="G172" t="s">
        <v>74</v>
      </c>
      <c r="H172">
        <v>6</v>
      </c>
      <c r="I172">
        <v>120.5</v>
      </c>
      <c r="J172">
        <v>0.05</v>
      </c>
      <c r="K172">
        <v>686.85</v>
      </c>
      <c r="L172">
        <v>164.19</v>
      </c>
      <c r="M172" t="s">
        <v>35</v>
      </c>
    </row>
    <row r="173" spans="1:13" x14ac:dyDescent="0.3">
      <c r="A173" t="s">
        <v>635</v>
      </c>
      <c r="B173" t="s">
        <v>636</v>
      </c>
      <c r="C173" t="s">
        <v>637</v>
      </c>
      <c r="D173" s="7" t="s">
        <v>237</v>
      </c>
      <c r="E173" t="s">
        <v>32</v>
      </c>
      <c r="F173" t="s">
        <v>33</v>
      </c>
      <c r="G173" t="s">
        <v>34</v>
      </c>
      <c r="H173">
        <v>8</v>
      </c>
      <c r="I173">
        <v>228.1</v>
      </c>
      <c r="J173">
        <v>0.15</v>
      </c>
      <c r="K173">
        <v>1551.08</v>
      </c>
      <c r="L173">
        <v>400.13</v>
      </c>
      <c r="M173" t="s">
        <v>40</v>
      </c>
    </row>
    <row r="174" spans="1:13" x14ac:dyDescent="0.3">
      <c r="A174" t="s">
        <v>638</v>
      </c>
      <c r="B174" t="s">
        <v>639</v>
      </c>
      <c r="C174" t="s">
        <v>640</v>
      </c>
      <c r="D174" s="7" t="s">
        <v>641</v>
      </c>
      <c r="E174" t="s">
        <v>59</v>
      </c>
      <c r="F174" t="s">
        <v>89</v>
      </c>
      <c r="G174" t="s">
        <v>150</v>
      </c>
      <c r="H174">
        <v>1</v>
      </c>
      <c r="I174">
        <v>107.36</v>
      </c>
      <c r="J174">
        <v>0.15</v>
      </c>
      <c r="K174">
        <v>91.26</v>
      </c>
      <c r="L174">
        <v>17.63</v>
      </c>
      <c r="M174" t="s">
        <v>40</v>
      </c>
    </row>
    <row r="175" spans="1:13" x14ac:dyDescent="0.3">
      <c r="A175" t="s">
        <v>642</v>
      </c>
      <c r="B175" t="s">
        <v>643</v>
      </c>
      <c r="C175" t="s">
        <v>644</v>
      </c>
      <c r="D175" s="7" t="s">
        <v>645</v>
      </c>
      <c r="E175" t="s">
        <v>59</v>
      </c>
      <c r="F175" t="s">
        <v>26</v>
      </c>
      <c r="G175" t="s">
        <v>27</v>
      </c>
      <c r="H175">
        <v>4</v>
      </c>
      <c r="I175">
        <v>175.33</v>
      </c>
      <c r="J175">
        <v>0.05</v>
      </c>
      <c r="K175">
        <v>666.25</v>
      </c>
      <c r="L175">
        <v>169.89</v>
      </c>
      <c r="M175" t="s">
        <v>20</v>
      </c>
    </row>
    <row r="176" spans="1:13" x14ac:dyDescent="0.3">
      <c r="A176" t="s">
        <v>646</v>
      </c>
      <c r="B176" t="s">
        <v>592</v>
      </c>
      <c r="C176" t="s">
        <v>647</v>
      </c>
      <c r="D176" s="7" t="s">
        <v>648</v>
      </c>
      <c r="E176" t="s">
        <v>64</v>
      </c>
      <c r="F176" t="s">
        <v>33</v>
      </c>
      <c r="G176" t="s">
        <v>50</v>
      </c>
      <c r="H176">
        <v>5</v>
      </c>
      <c r="I176">
        <v>243.02</v>
      </c>
      <c r="J176">
        <v>0.05</v>
      </c>
      <c r="K176">
        <v>1154.3499999999999</v>
      </c>
      <c r="L176">
        <v>186.64</v>
      </c>
      <c r="M176" t="s">
        <v>40</v>
      </c>
    </row>
    <row r="177" spans="1:13" x14ac:dyDescent="0.3">
      <c r="A177" t="s">
        <v>649</v>
      </c>
      <c r="B177" t="s">
        <v>650</v>
      </c>
      <c r="C177" t="s">
        <v>283</v>
      </c>
      <c r="D177" s="7" t="s">
        <v>651</v>
      </c>
      <c r="E177" t="s">
        <v>32</v>
      </c>
      <c r="F177" t="s">
        <v>18</v>
      </c>
      <c r="G177" t="s">
        <v>19</v>
      </c>
      <c r="H177">
        <v>8</v>
      </c>
      <c r="I177">
        <v>23.95</v>
      </c>
      <c r="J177">
        <v>0.15</v>
      </c>
      <c r="K177">
        <v>162.86000000000001</v>
      </c>
      <c r="L177">
        <v>46.41</v>
      </c>
      <c r="M177" t="s">
        <v>35</v>
      </c>
    </row>
    <row r="178" spans="1:13" x14ac:dyDescent="0.3">
      <c r="A178" t="s">
        <v>652</v>
      </c>
      <c r="B178" t="s">
        <v>653</v>
      </c>
      <c r="C178" t="s">
        <v>654</v>
      </c>
      <c r="D178" s="7" t="s">
        <v>655</v>
      </c>
      <c r="E178" t="s">
        <v>25</v>
      </c>
      <c r="F178" t="s">
        <v>33</v>
      </c>
      <c r="G178" t="s">
        <v>50</v>
      </c>
      <c r="H178">
        <v>1</v>
      </c>
      <c r="I178">
        <v>45.95</v>
      </c>
      <c r="J178">
        <v>0.1</v>
      </c>
      <c r="K178">
        <v>41.36</v>
      </c>
      <c r="L178">
        <v>11.18</v>
      </c>
      <c r="M178" t="s">
        <v>35</v>
      </c>
    </row>
    <row r="179" spans="1:13" x14ac:dyDescent="0.3">
      <c r="A179" t="s">
        <v>656</v>
      </c>
      <c r="B179" t="s">
        <v>657</v>
      </c>
      <c r="C179" t="s">
        <v>243</v>
      </c>
      <c r="D179" s="7" t="s">
        <v>658</v>
      </c>
      <c r="E179" t="s">
        <v>32</v>
      </c>
      <c r="F179" t="s">
        <v>33</v>
      </c>
      <c r="G179" t="s">
        <v>50</v>
      </c>
      <c r="H179">
        <v>8</v>
      </c>
      <c r="I179">
        <v>63.4</v>
      </c>
      <c r="J179">
        <v>0.05</v>
      </c>
      <c r="K179">
        <v>481.84</v>
      </c>
      <c r="L179">
        <v>124.45</v>
      </c>
      <c r="M179" t="s">
        <v>40</v>
      </c>
    </row>
    <row r="180" spans="1:13" x14ac:dyDescent="0.3">
      <c r="A180" t="s">
        <v>659</v>
      </c>
      <c r="B180" t="s">
        <v>362</v>
      </c>
      <c r="C180" t="s">
        <v>660</v>
      </c>
      <c r="D180" s="7" t="s">
        <v>661</v>
      </c>
      <c r="E180" t="s">
        <v>64</v>
      </c>
      <c r="F180" t="s">
        <v>18</v>
      </c>
      <c r="G180" t="s">
        <v>79</v>
      </c>
      <c r="H180">
        <v>1</v>
      </c>
      <c r="I180">
        <v>12.39</v>
      </c>
      <c r="J180">
        <v>0</v>
      </c>
      <c r="K180">
        <v>12.39</v>
      </c>
      <c r="L180">
        <v>2.5099999999999998</v>
      </c>
      <c r="M180" t="s">
        <v>20</v>
      </c>
    </row>
    <row r="181" spans="1:13" x14ac:dyDescent="0.3">
      <c r="A181" t="s">
        <v>662</v>
      </c>
      <c r="B181" t="s">
        <v>663</v>
      </c>
      <c r="C181" t="s">
        <v>640</v>
      </c>
      <c r="D181" s="7" t="s">
        <v>376</v>
      </c>
      <c r="E181" t="s">
        <v>59</v>
      </c>
      <c r="F181" t="s">
        <v>18</v>
      </c>
      <c r="G181" t="s">
        <v>19</v>
      </c>
      <c r="H181">
        <v>3</v>
      </c>
      <c r="I181">
        <v>131.1</v>
      </c>
      <c r="J181">
        <v>0.05</v>
      </c>
      <c r="K181">
        <v>373.63</v>
      </c>
      <c r="L181">
        <v>87.77</v>
      </c>
      <c r="M181" t="s">
        <v>40</v>
      </c>
    </row>
    <row r="182" spans="1:13" x14ac:dyDescent="0.3">
      <c r="A182" t="s">
        <v>664</v>
      </c>
      <c r="B182" t="s">
        <v>665</v>
      </c>
      <c r="C182" t="s">
        <v>578</v>
      </c>
      <c r="D182" s="7" t="s">
        <v>666</v>
      </c>
      <c r="E182" t="s">
        <v>25</v>
      </c>
      <c r="F182" t="s">
        <v>18</v>
      </c>
      <c r="G182" t="s">
        <v>45</v>
      </c>
      <c r="H182">
        <v>3</v>
      </c>
      <c r="I182">
        <v>113.38</v>
      </c>
      <c r="J182">
        <v>0.1</v>
      </c>
      <c r="K182">
        <v>306.13</v>
      </c>
      <c r="L182">
        <v>32.979999999999997</v>
      </c>
      <c r="M182" t="s">
        <v>40</v>
      </c>
    </row>
    <row r="183" spans="1:13" x14ac:dyDescent="0.3">
      <c r="A183" t="s">
        <v>667</v>
      </c>
      <c r="B183" t="s">
        <v>167</v>
      </c>
      <c r="C183" t="s">
        <v>668</v>
      </c>
      <c r="D183" s="7" t="s">
        <v>669</v>
      </c>
      <c r="E183" t="s">
        <v>25</v>
      </c>
      <c r="F183" t="s">
        <v>89</v>
      </c>
      <c r="G183" t="s">
        <v>90</v>
      </c>
      <c r="H183">
        <v>7</v>
      </c>
      <c r="I183">
        <v>128.03</v>
      </c>
      <c r="J183">
        <v>0.05</v>
      </c>
      <c r="K183">
        <v>851.4</v>
      </c>
      <c r="L183">
        <v>220.37</v>
      </c>
      <c r="M183" t="s">
        <v>40</v>
      </c>
    </row>
    <row r="184" spans="1:13" x14ac:dyDescent="0.3">
      <c r="A184" t="s">
        <v>670</v>
      </c>
      <c r="B184" t="s">
        <v>671</v>
      </c>
      <c r="C184" t="s">
        <v>310</v>
      </c>
      <c r="D184" s="7" t="s">
        <v>54</v>
      </c>
      <c r="E184" t="s">
        <v>64</v>
      </c>
      <c r="F184" t="s">
        <v>33</v>
      </c>
      <c r="G184" t="s">
        <v>74</v>
      </c>
      <c r="H184">
        <v>7</v>
      </c>
      <c r="I184">
        <v>106.4</v>
      </c>
      <c r="J184">
        <v>0</v>
      </c>
      <c r="K184">
        <v>744.8</v>
      </c>
      <c r="L184">
        <v>63.15</v>
      </c>
      <c r="M184" t="s">
        <v>35</v>
      </c>
    </row>
    <row r="185" spans="1:13" x14ac:dyDescent="0.3">
      <c r="A185" t="s">
        <v>672</v>
      </c>
      <c r="B185" t="s">
        <v>306</v>
      </c>
      <c r="C185" t="s">
        <v>673</v>
      </c>
      <c r="D185" s="7" t="s">
        <v>674</v>
      </c>
      <c r="E185" t="s">
        <v>32</v>
      </c>
      <c r="F185" t="s">
        <v>33</v>
      </c>
      <c r="G185" t="s">
        <v>69</v>
      </c>
      <c r="H185">
        <v>1</v>
      </c>
      <c r="I185">
        <v>248.26</v>
      </c>
      <c r="J185">
        <v>0.15</v>
      </c>
      <c r="K185">
        <v>211.02</v>
      </c>
      <c r="L185">
        <v>53.07</v>
      </c>
      <c r="M185" t="s">
        <v>20</v>
      </c>
    </row>
    <row r="186" spans="1:13" x14ac:dyDescent="0.3">
      <c r="A186" t="s">
        <v>675</v>
      </c>
      <c r="B186" t="s">
        <v>676</v>
      </c>
      <c r="C186" t="s">
        <v>67</v>
      </c>
      <c r="D186" s="7" t="s">
        <v>266</v>
      </c>
      <c r="E186" t="s">
        <v>25</v>
      </c>
      <c r="F186" t="s">
        <v>26</v>
      </c>
      <c r="G186" t="s">
        <v>27</v>
      </c>
      <c r="H186">
        <v>6</v>
      </c>
      <c r="I186">
        <v>39.119999999999997</v>
      </c>
      <c r="J186">
        <v>0</v>
      </c>
      <c r="K186">
        <v>234.72</v>
      </c>
      <c r="L186">
        <v>51.58</v>
      </c>
      <c r="M186" t="s">
        <v>20</v>
      </c>
    </row>
    <row r="187" spans="1:13" x14ac:dyDescent="0.3">
      <c r="A187" t="s">
        <v>677</v>
      </c>
      <c r="B187" t="s">
        <v>678</v>
      </c>
      <c r="C187" t="s">
        <v>93</v>
      </c>
      <c r="D187" s="7" t="s">
        <v>679</v>
      </c>
      <c r="E187" t="s">
        <v>64</v>
      </c>
      <c r="F187" t="s">
        <v>26</v>
      </c>
      <c r="G187" t="s">
        <v>84</v>
      </c>
      <c r="H187">
        <v>1</v>
      </c>
      <c r="I187">
        <v>143.06</v>
      </c>
      <c r="J187">
        <v>0.15</v>
      </c>
      <c r="K187">
        <v>121.6</v>
      </c>
      <c r="L187">
        <v>16.05</v>
      </c>
      <c r="M187" t="s">
        <v>40</v>
      </c>
    </row>
    <row r="188" spans="1:13" x14ac:dyDescent="0.3">
      <c r="A188" t="s">
        <v>680</v>
      </c>
      <c r="B188" t="s">
        <v>681</v>
      </c>
      <c r="C188" t="s">
        <v>682</v>
      </c>
      <c r="D188" s="7" t="s">
        <v>175</v>
      </c>
      <c r="E188" t="s">
        <v>17</v>
      </c>
      <c r="F188" t="s">
        <v>26</v>
      </c>
      <c r="G188" t="s">
        <v>27</v>
      </c>
      <c r="H188">
        <v>4</v>
      </c>
      <c r="I188">
        <v>101.58</v>
      </c>
      <c r="J188">
        <v>0.05</v>
      </c>
      <c r="K188">
        <v>386</v>
      </c>
      <c r="L188">
        <v>102.12</v>
      </c>
      <c r="M188" t="s">
        <v>35</v>
      </c>
    </row>
    <row r="189" spans="1:13" x14ac:dyDescent="0.3">
      <c r="A189" t="s">
        <v>683</v>
      </c>
      <c r="B189" t="s">
        <v>616</v>
      </c>
      <c r="C189" t="s">
        <v>684</v>
      </c>
      <c r="D189" s="7" t="s">
        <v>581</v>
      </c>
      <c r="E189" t="s">
        <v>25</v>
      </c>
      <c r="F189" t="s">
        <v>26</v>
      </c>
      <c r="G189" t="s">
        <v>118</v>
      </c>
      <c r="H189">
        <v>8</v>
      </c>
      <c r="I189">
        <v>11.54</v>
      </c>
      <c r="J189">
        <v>0.15</v>
      </c>
      <c r="K189">
        <v>78.47</v>
      </c>
      <c r="L189">
        <v>9.0299999999999994</v>
      </c>
      <c r="M189" t="s">
        <v>35</v>
      </c>
    </row>
    <row r="190" spans="1:13" x14ac:dyDescent="0.3">
      <c r="A190" t="s">
        <v>685</v>
      </c>
      <c r="B190" t="s">
        <v>686</v>
      </c>
      <c r="C190" t="s">
        <v>687</v>
      </c>
      <c r="D190" s="7" t="s">
        <v>688</v>
      </c>
      <c r="E190" t="s">
        <v>59</v>
      </c>
      <c r="F190" t="s">
        <v>33</v>
      </c>
      <c r="G190" t="s">
        <v>74</v>
      </c>
      <c r="H190">
        <v>1</v>
      </c>
      <c r="I190">
        <v>220.74</v>
      </c>
      <c r="J190">
        <v>0.05</v>
      </c>
      <c r="K190">
        <v>209.7</v>
      </c>
      <c r="L190">
        <v>31.87</v>
      </c>
      <c r="M190" t="s">
        <v>20</v>
      </c>
    </row>
    <row r="191" spans="1:13" x14ac:dyDescent="0.3">
      <c r="A191" t="s">
        <v>689</v>
      </c>
      <c r="B191" t="s">
        <v>690</v>
      </c>
      <c r="C191" t="s">
        <v>691</v>
      </c>
      <c r="D191" s="7" t="s">
        <v>692</v>
      </c>
      <c r="E191" t="s">
        <v>25</v>
      </c>
      <c r="F191" t="s">
        <v>18</v>
      </c>
      <c r="G191" t="s">
        <v>45</v>
      </c>
      <c r="H191">
        <v>6</v>
      </c>
      <c r="I191">
        <v>198.68</v>
      </c>
      <c r="J191">
        <v>0.1</v>
      </c>
      <c r="K191">
        <v>1072.8699999999999</v>
      </c>
      <c r="L191">
        <v>281.75</v>
      </c>
      <c r="M191" t="s">
        <v>40</v>
      </c>
    </row>
    <row r="192" spans="1:13" x14ac:dyDescent="0.3">
      <c r="A192" t="s">
        <v>693</v>
      </c>
      <c r="B192" t="s">
        <v>412</v>
      </c>
      <c r="C192" t="s">
        <v>694</v>
      </c>
      <c r="D192" s="7" t="s">
        <v>695</v>
      </c>
      <c r="E192" t="s">
        <v>59</v>
      </c>
      <c r="F192" t="s">
        <v>89</v>
      </c>
      <c r="G192" t="s">
        <v>150</v>
      </c>
      <c r="H192">
        <v>1</v>
      </c>
      <c r="I192">
        <v>154.77000000000001</v>
      </c>
      <c r="J192">
        <v>0.1</v>
      </c>
      <c r="K192">
        <v>139.29</v>
      </c>
      <c r="L192">
        <v>36.25</v>
      </c>
      <c r="M192" t="s">
        <v>35</v>
      </c>
    </row>
    <row r="193" spans="1:13" x14ac:dyDescent="0.3">
      <c r="A193" t="s">
        <v>696</v>
      </c>
      <c r="B193" t="s">
        <v>697</v>
      </c>
      <c r="C193" t="s">
        <v>698</v>
      </c>
      <c r="D193" s="7" t="s">
        <v>699</v>
      </c>
      <c r="E193" t="s">
        <v>32</v>
      </c>
      <c r="F193" t="s">
        <v>26</v>
      </c>
      <c r="G193" t="s">
        <v>84</v>
      </c>
      <c r="H193">
        <v>4</v>
      </c>
      <c r="I193">
        <v>77.3</v>
      </c>
      <c r="J193">
        <v>0.05</v>
      </c>
      <c r="K193">
        <v>293.74</v>
      </c>
      <c r="L193">
        <v>74.47</v>
      </c>
      <c r="M193" t="s">
        <v>20</v>
      </c>
    </row>
    <row r="194" spans="1:13" x14ac:dyDescent="0.3">
      <c r="A194" t="s">
        <v>700</v>
      </c>
      <c r="B194" t="s">
        <v>701</v>
      </c>
      <c r="C194" t="s">
        <v>702</v>
      </c>
      <c r="D194" s="7" t="s">
        <v>703</v>
      </c>
      <c r="E194" t="s">
        <v>59</v>
      </c>
      <c r="F194" t="s">
        <v>18</v>
      </c>
      <c r="G194" t="s">
        <v>19</v>
      </c>
      <c r="H194">
        <v>8</v>
      </c>
      <c r="I194">
        <v>81.12</v>
      </c>
      <c r="J194">
        <v>0</v>
      </c>
      <c r="K194">
        <v>648.96</v>
      </c>
      <c r="L194">
        <v>145.56</v>
      </c>
      <c r="M194" t="s">
        <v>35</v>
      </c>
    </row>
    <row r="195" spans="1:13" x14ac:dyDescent="0.3">
      <c r="A195" t="s">
        <v>704</v>
      </c>
      <c r="B195" t="s">
        <v>705</v>
      </c>
      <c r="C195" t="s">
        <v>706</v>
      </c>
      <c r="D195" s="7" t="s">
        <v>518</v>
      </c>
      <c r="E195" t="s">
        <v>64</v>
      </c>
      <c r="F195" t="s">
        <v>89</v>
      </c>
      <c r="G195" t="s">
        <v>131</v>
      </c>
      <c r="H195">
        <v>6</v>
      </c>
      <c r="I195">
        <v>31.78</v>
      </c>
      <c r="J195">
        <v>0</v>
      </c>
      <c r="K195">
        <v>190.68</v>
      </c>
      <c r="L195">
        <v>37.090000000000003</v>
      </c>
      <c r="M195" t="s">
        <v>40</v>
      </c>
    </row>
    <row r="196" spans="1:13" x14ac:dyDescent="0.3">
      <c r="A196" t="s">
        <v>707</v>
      </c>
      <c r="B196" t="s">
        <v>708</v>
      </c>
      <c r="C196" t="s">
        <v>709</v>
      </c>
      <c r="D196" s="7" t="s">
        <v>710</v>
      </c>
      <c r="E196" t="s">
        <v>25</v>
      </c>
      <c r="F196" t="s">
        <v>18</v>
      </c>
      <c r="G196" t="s">
        <v>79</v>
      </c>
      <c r="H196">
        <v>1</v>
      </c>
      <c r="I196">
        <v>194.55</v>
      </c>
      <c r="J196">
        <v>0.05</v>
      </c>
      <c r="K196">
        <v>184.82</v>
      </c>
      <c r="L196">
        <v>31.81</v>
      </c>
      <c r="M196" t="s">
        <v>35</v>
      </c>
    </row>
    <row r="197" spans="1:13" x14ac:dyDescent="0.3">
      <c r="A197" t="s">
        <v>711</v>
      </c>
      <c r="B197" t="s">
        <v>712</v>
      </c>
      <c r="C197" t="s">
        <v>713</v>
      </c>
      <c r="D197" s="7" t="s">
        <v>634</v>
      </c>
      <c r="E197" t="s">
        <v>32</v>
      </c>
      <c r="F197" t="s">
        <v>26</v>
      </c>
      <c r="G197" t="s">
        <v>27</v>
      </c>
      <c r="H197">
        <v>4</v>
      </c>
      <c r="I197">
        <v>52.31</v>
      </c>
      <c r="J197">
        <v>0.1</v>
      </c>
      <c r="K197">
        <v>188.32</v>
      </c>
      <c r="L197">
        <v>50.76</v>
      </c>
      <c r="M197" t="s">
        <v>20</v>
      </c>
    </row>
    <row r="198" spans="1:13" x14ac:dyDescent="0.3">
      <c r="A198" t="s">
        <v>714</v>
      </c>
      <c r="B198" t="s">
        <v>715</v>
      </c>
      <c r="C198" t="s">
        <v>668</v>
      </c>
      <c r="D198" s="7" t="s">
        <v>390</v>
      </c>
      <c r="E198" t="s">
        <v>59</v>
      </c>
      <c r="F198" t="s">
        <v>89</v>
      </c>
      <c r="G198" t="s">
        <v>90</v>
      </c>
      <c r="H198">
        <v>5</v>
      </c>
      <c r="I198">
        <v>28.1</v>
      </c>
      <c r="J198">
        <v>0.1</v>
      </c>
      <c r="K198">
        <v>126.45</v>
      </c>
      <c r="L198">
        <v>34.340000000000003</v>
      </c>
      <c r="M198" t="s">
        <v>35</v>
      </c>
    </row>
    <row r="199" spans="1:13" x14ac:dyDescent="0.3">
      <c r="A199" t="s">
        <v>716</v>
      </c>
      <c r="B199" t="s">
        <v>423</v>
      </c>
      <c r="C199" t="s">
        <v>717</v>
      </c>
      <c r="D199" s="7" t="s">
        <v>718</v>
      </c>
      <c r="E199" t="s">
        <v>32</v>
      </c>
      <c r="F199" t="s">
        <v>18</v>
      </c>
      <c r="G199" t="s">
        <v>19</v>
      </c>
      <c r="H199">
        <v>5</v>
      </c>
      <c r="I199">
        <v>74.83</v>
      </c>
      <c r="J199">
        <v>0.1</v>
      </c>
      <c r="K199">
        <v>336.74</v>
      </c>
      <c r="L199">
        <v>29.04</v>
      </c>
      <c r="M199" t="s">
        <v>20</v>
      </c>
    </row>
    <row r="200" spans="1:13" x14ac:dyDescent="0.3">
      <c r="A200" t="s">
        <v>719</v>
      </c>
      <c r="B200" t="s">
        <v>92</v>
      </c>
      <c r="C200" t="s">
        <v>720</v>
      </c>
      <c r="D200" s="7" t="s">
        <v>39</v>
      </c>
      <c r="E200" t="s">
        <v>59</v>
      </c>
      <c r="F200" t="s">
        <v>26</v>
      </c>
      <c r="G200" t="s">
        <v>84</v>
      </c>
      <c r="H200">
        <v>5</v>
      </c>
      <c r="I200">
        <v>153.91</v>
      </c>
      <c r="J200">
        <v>0.15</v>
      </c>
      <c r="K200">
        <v>654.12</v>
      </c>
      <c r="L200">
        <v>135.54</v>
      </c>
      <c r="M200" t="s">
        <v>40</v>
      </c>
    </row>
    <row r="201" spans="1:13" x14ac:dyDescent="0.3">
      <c r="A201" t="s">
        <v>721</v>
      </c>
      <c r="B201" t="s">
        <v>722</v>
      </c>
      <c r="C201" t="s">
        <v>276</v>
      </c>
      <c r="D201" s="7" t="s">
        <v>723</v>
      </c>
      <c r="E201" t="s">
        <v>25</v>
      </c>
      <c r="F201" t="s">
        <v>26</v>
      </c>
      <c r="G201" t="s">
        <v>27</v>
      </c>
      <c r="H201">
        <v>6</v>
      </c>
      <c r="I201">
        <v>113.06</v>
      </c>
      <c r="J201">
        <v>0</v>
      </c>
      <c r="K201">
        <v>678.36</v>
      </c>
      <c r="L201">
        <v>162.58000000000001</v>
      </c>
      <c r="M201" t="s">
        <v>20</v>
      </c>
    </row>
    <row r="202" spans="1:13" x14ac:dyDescent="0.3">
      <c r="A202" t="s">
        <v>724</v>
      </c>
      <c r="B202" t="s">
        <v>388</v>
      </c>
      <c r="C202" t="s">
        <v>725</v>
      </c>
      <c r="D202" s="7" t="s">
        <v>726</v>
      </c>
      <c r="E202" t="s">
        <v>59</v>
      </c>
      <c r="F202" t="s">
        <v>26</v>
      </c>
      <c r="G202" t="s">
        <v>118</v>
      </c>
      <c r="H202">
        <v>6</v>
      </c>
      <c r="I202">
        <v>11.63</v>
      </c>
      <c r="J202">
        <v>0.05</v>
      </c>
      <c r="K202">
        <v>66.290000000000006</v>
      </c>
      <c r="L202">
        <v>14.02</v>
      </c>
      <c r="M202" t="s">
        <v>40</v>
      </c>
    </row>
    <row r="203" spans="1:13" x14ac:dyDescent="0.3">
      <c r="A203" t="s">
        <v>727</v>
      </c>
      <c r="B203" t="s">
        <v>728</v>
      </c>
      <c r="C203" t="s">
        <v>729</v>
      </c>
      <c r="D203" s="7" t="s">
        <v>568</v>
      </c>
      <c r="E203" t="s">
        <v>64</v>
      </c>
      <c r="F203" t="s">
        <v>89</v>
      </c>
      <c r="G203" t="s">
        <v>131</v>
      </c>
      <c r="H203">
        <v>7</v>
      </c>
      <c r="I203">
        <v>11.72</v>
      </c>
      <c r="J203">
        <v>0</v>
      </c>
      <c r="K203">
        <v>82.04</v>
      </c>
      <c r="L203">
        <v>7.28</v>
      </c>
      <c r="M203" t="s">
        <v>35</v>
      </c>
    </row>
    <row r="204" spans="1:13" x14ac:dyDescent="0.3">
      <c r="A204" t="s">
        <v>730</v>
      </c>
      <c r="B204" t="s">
        <v>731</v>
      </c>
      <c r="C204" t="s">
        <v>732</v>
      </c>
      <c r="D204" s="7" t="s">
        <v>512</v>
      </c>
      <c r="E204" t="s">
        <v>17</v>
      </c>
      <c r="F204" t="s">
        <v>89</v>
      </c>
      <c r="G204" t="s">
        <v>150</v>
      </c>
      <c r="H204">
        <v>2</v>
      </c>
      <c r="I204">
        <v>16.100000000000001</v>
      </c>
      <c r="J204">
        <v>0.1</v>
      </c>
      <c r="K204">
        <v>28.98</v>
      </c>
      <c r="L204">
        <v>3.78</v>
      </c>
      <c r="M204" t="s">
        <v>35</v>
      </c>
    </row>
    <row r="205" spans="1:13" x14ac:dyDescent="0.3">
      <c r="A205" t="s">
        <v>733</v>
      </c>
      <c r="B205" t="s">
        <v>611</v>
      </c>
      <c r="C205" t="s">
        <v>734</v>
      </c>
      <c r="D205" s="7" t="s">
        <v>609</v>
      </c>
      <c r="E205" t="s">
        <v>32</v>
      </c>
      <c r="F205" t="s">
        <v>26</v>
      </c>
      <c r="G205" t="s">
        <v>27</v>
      </c>
      <c r="H205">
        <v>5</v>
      </c>
      <c r="I205">
        <v>193.08</v>
      </c>
      <c r="J205">
        <v>0.1</v>
      </c>
      <c r="K205">
        <v>868.86</v>
      </c>
      <c r="L205">
        <v>206.17</v>
      </c>
      <c r="M205" t="s">
        <v>35</v>
      </c>
    </row>
    <row r="206" spans="1:13" x14ac:dyDescent="0.3">
      <c r="A206" t="s">
        <v>735</v>
      </c>
      <c r="B206" t="s">
        <v>439</v>
      </c>
      <c r="C206" t="s">
        <v>562</v>
      </c>
      <c r="D206" s="7" t="s">
        <v>718</v>
      </c>
      <c r="E206" t="s">
        <v>25</v>
      </c>
      <c r="F206" t="s">
        <v>18</v>
      </c>
      <c r="G206" t="s">
        <v>45</v>
      </c>
      <c r="H206">
        <v>4</v>
      </c>
      <c r="I206">
        <v>60.81</v>
      </c>
      <c r="J206">
        <v>0.15</v>
      </c>
      <c r="K206">
        <v>206.75</v>
      </c>
      <c r="L206">
        <v>39.51</v>
      </c>
      <c r="M206" t="s">
        <v>20</v>
      </c>
    </row>
    <row r="207" spans="1:13" x14ac:dyDescent="0.3">
      <c r="A207" t="s">
        <v>736</v>
      </c>
      <c r="B207" t="s">
        <v>124</v>
      </c>
      <c r="C207" t="s">
        <v>737</v>
      </c>
      <c r="D207" s="7" t="s">
        <v>738</v>
      </c>
      <c r="E207" t="s">
        <v>32</v>
      </c>
      <c r="F207" t="s">
        <v>26</v>
      </c>
      <c r="G207" t="s">
        <v>84</v>
      </c>
      <c r="H207">
        <v>6</v>
      </c>
      <c r="I207">
        <v>125.88</v>
      </c>
      <c r="J207">
        <v>0.1</v>
      </c>
      <c r="K207">
        <v>679.75</v>
      </c>
      <c r="L207">
        <v>64.849999999999994</v>
      </c>
      <c r="M207" t="s">
        <v>20</v>
      </c>
    </row>
    <row r="208" spans="1:13" x14ac:dyDescent="0.3">
      <c r="A208" t="s">
        <v>739</v>
      </c>
      <c r="B208" t="s">
        <v>235</v>
      </c>
      <c r="C208" t="s">
        <v>740</v>
      </c>
      <c r="D208" s="7" t="s">
        <v>741</v>
      </c>
      <c r="E208" t="s">
        <v>59</v>
      </c>
      <c r="F208" t="s">
        <v>18</v>
      </c>
      <c r="G208" t="s">
        <v>19</v>
      </c>
      <c r="H208">
        <v>1</v>
      </c>
      <c r="I208">
        <v>171.91</v>
      </c>
      <c r="J208">
        <v>0.15</v>
      </c>
      <c r="K208">
        <v>146.12</v>
      </c>
      <c r="L208">
        <v>26.82</v>
      </c>
      <c r="M208" t="s">
        <v>40</v>
      </c>
    </row>
    <row r="209" spans="1:13" x14ac:dyDescent="0.3">
      <c r="A209" t="s">
        <v>742</v>
      </c>
      <c r="B209" t="s">
        <v>743</v>
      </c>
      <c r="C209" t="s">
        <v>744</v>
      </c>
      <c r="D209" s="7" t="s">
        <v>745</v>
      </c>
      <c r="E209" t="s">
        <v>59</v>
      </c>
      <c r="F209" t="s">
        <v>18</v>
      </c>
      <c r="G209" t="s">
        <v>45</v>
      </c>
      <c r="H209">
        <v>2</v>
      </c>
      <c r="I209">
        <v>112.85</v>
      </c>
      <c r="J209">
        <v>0.15</v>
      </c>
      <c r="K209">
        <v>191.84</v>
      </c>
      <c r="L209">
        <v>28.51</v>
      </c>
      <c r="M209" t="s">
        <v>20</v>
      </c>
    </row>
    <row r="210" spans="1:13" x14ac:dyDescent="0.3">
      <c r="A210" t="s">
        <v>746</v>
      </c>
      <c r="B210" t="s">
        <v>653</v>
      </c>
      <c r="C210" t="s">
        <v>129</v>
      </c>
      <c r="D210" s="7" t="s">
        <v>747</v>
      </c>
      <c r="E210" t="s">
        <v>64</v>
      </c>
      <c r="F210" t="s">
        <v>18</v>
      </c>
      <c r="G210" t="s">
        <v>79</v>
      </c>
      <c r="H210">
        <v>3</v>
      </c>
      <c r="I210">
        <v>140.75</v>
      </c>
      <c r="J210">
        <v>0.15</v>
      </c>
      <c r="K210">
        <v>358.91</v>
      </c>
      <c r="L210">
        <v>69.22</v>
      </c>
      <c r="M210" t="s">
        <v>20</v>
      </c>
    </row>
    <row r="211" spans="1:13" x14ac:dyDescent="0.3">
      <c r="A211" t="s">
        <v>748</v>
      </c>
      <c r="B211" t="s">
        <v>749</v>
      </c>
      <c r="C211" t="s">
        <v>346</v>
      </c>
      <c r="D211" s="7" t="s">
        <v>750</v>
      </c>
      <c r="E211" t="s">
        <v>17</v>
      </c>
      <c r="F211" t="s">
        <v>89</v>
      </c>
      <c r="G211" t="s">
        <v>90</v>
      </c>
      <c r="H211">
        <v>1</v>
      </c>
      <c r="I211">
        <v>53.83</v>
      </c>
      <c r="J211">
        <v>0.15</v>
      </c>
      <c r="K211">
        <v>45.76</v>
      </c>
      <c r="L211">
        <v>10.77</v>
      </c>
      <c r="M211" t="s">
        <v>20</v>
      </c>
    </row>
    <row r="212" spans="1:13" x14ac:dyDescent="0.3">
      <c r="A212" t="s">
        <v>751</v>
      </c>
      <c r="B212" t="s">
        <v>752</v>
      </c>
      <c r="C212" t="s">
        <v>753</v>
      </c>
      <c r="D212" s="7" t="s">
        <v>754</v>
      </c>
      <c r="E212" t="s">
        <v>64</v>
      </c>
      <c r="F212" t="s">
        <v>18</v>
      </c>
      <c r="G212" t="s">
        <v>19</v>
      </c>
      <c r="H212">
        <v>6</v>
      </c>
      <c r="I212">
        <v>189.49</v>
      </c>
      <c r="J212">
        <v>0.15</v>
      </c>
      <c r="K212">
        <v>966.4</v>
      </c>
      <c r="L212">
        <v>112.87</v>
      </c>
      <c r="M212" t="s">
        <v>20</v>
      </c>
    </row>
    <row r="213" spans="1:13" x14ac:dyDescent="0.3">
      <c r="A213" t="s">
        <v>755</v>
      </c>
      <c r="B213" t="s">
        <v>756</v>
      </c>
      <c r="C213" t="s">
        <v>757</v>
      </c>
      <c r="D213" s="7" t="s">
        <v>758</v>
      </c>
      <c r="E213" t="s">
        <v>59</v>
      </c>
      <c r="F213" t="s">
        <v>26</v>
      </c>
      <c r="G213" t="s">
        <v>84</v>
      </c>
      <c r="H213">
        <v>5</v>
      </c>
      <c r="I213">
        <v>147.97</v>
      </c>
      <c r="J213">
        <v>0.1</v>
      </c>
      <c r="K213">
        <v>665.87</v>
      </c>
      <c r="L213">
        <v>168.03</v>
      </c>
      <c r="M213" t="s">
        <v>35</v>
      </c>
    </row>
    <row r="214" spans="1:13" x14ac:dyDescent="0.3">
      <c r="A214" t="s">
        <v>759</v>
      </c>
      <c r="B214" t="s">
        <v>760</v>
      </c>
      <c r="C214" t="s">
        <v>504</v>
      </c>
      <c r="D214" s="7" t="s">
        <v>761</v>
      </c>
      <c r="E214" t="s">
        <v>59</v>
      </c>
      <c r="F214" t="s">
        <v>26</v>
      </c>
      <c r="G214" t="s">
        <v>118</v>
      </c>
      <c r="H214">
        <v>8</v>
      </c>
      <c r="I214">
        <v>53.43</v>
      </c>
      <c r="J214">
        <v>0.05</v>
      </c>
      <c r="K214">
        <v>406.07</v>
      </c>
      <c r="L214">
        <v>39.17</v>
      </c>
      <c r="M214" t="s">
        <v>20</v>
      </c>
    </row>
    <row r="215" spans="1:13" x14ac:dyDescent="0.3">
      <c r="A215" t="s">
        <v>762</v>
      </c>
      <c r="B215" t="s">
        <v>76</v>
      </c>
      <c r="C215" t="s">
        <v>389</v>
      </c>
      <c r="D215" s="7" t="s">
        <v>54</v>
      </c>
      <c r="E215" t="s">
        <v>17</v>
      </c>
      <c r="F215" t="s">
        <v>18</v>
      </c>
      <c r="G215" t="s">
        <v>19</v>
      </c>
      <c r="H215">
        <v>2</v>
      </c>
      <c r="I215">
        <v>139.63</v>
      </c>
      <c r="J215">
        <v>0.1</v>
      </c>
      <c r="K215">
        <v>251.33</v>
      </c>
      <c r="L215">
        <v>54.55</v>
      </c>
      <c r="M215" t="s">
        <v>35</v>
      </c>
    </row>
    <row r="216" spans="1:13" x14ac:dyDescent="0.3">
      <c r="A216" t="s">
        <v>763</v>
      </c>
      <c r="B216" t="s">
        <v>764</v>
      </c>
      <c r="C216" t="s">
        <v>204</v>
      </c>
      <c r="D216" s="7" t="s">
        <v>16</v>
      </c>
      <c r="E216" t="s">
        <v>25</v>
      </c>
      <c r="F216" t="s">
        <v>26</v>
      </c>
      <c r="G216" t="s">
        <v>84</v>
      </c>
      <c r="H216">
        <v>5</v>
      </c>
      <c r="I216">
        <v>120.82</v>
      </c>
      <c r="J216">
        <v>0.15</v>
      </c>
      <c r="K216">
        <v>513.48</v>
      </c>
      <c r="L216">
        <v>42.97</v>
      </c>
      <c r="M216" t="s">
        <v>40</v>
      </c>
    </row>
    <row r="217" spans="1:13" x14ac:dyDescent="0.3">
      <c r="A217" t="s">
        <v>765</v>
      </c>
      <c r="B217" t="s">
        <v>396</v>
      </c>
      <c r="C217" t="s">
        <v>766</v>
      </c>
      <c r="D217" s="7" t="s">
        <v>679</v>
      </c>
      <c r="E217" t="s">
        <v>64</v>
      </c>
      <c r="F217" t="s">
        <v>89</v>
      </c>
      <c r="G217" t="s">
        <v>150</v>
      </c>
      <c r="H217">
        <v>8</v>
      </c>
      <c r="I217">
        <v>96.08</v>
      </c>
      <c r="J217">
        <v>0.15</v>
      </c>
      <c r="K217">
        <v>653.34</v>
      </c>
      <c r="L217">
        <v>131.52000000000001</v>
      </c>
      <c r="M217" t="s">
        <v>20</v>
      </c>
    </row>
    <row r="218" spans="1:13" x14ac:dyDescent="0.3">
      <c r="A218" t="s">
        <v>767</v>
      </c>
      <c r="B218" t="s">
        <v>768</v>
      </c>
      <c r="C218" t="s">
        <v>769</v>
      </c>
      <c r="D218" s="7" t="s">
        <v>157</v>
      </c>
      <c r="E218" t="s">
        <v>25</v>
      </c>
      <c r="F218" t="s">
        <v>18</v>
      </c>
      <c r="G218" t="s">
        <v>19</v>
      </c>
      <c r="H218">
        <v>6</v>
      </c>
      <c r="I218">
        <v>170.32</v>
      </c>
      <c r="J218">
        <v>0.15</v>
      </c>
      <c r="K218">
        <v>868.63</v>
      </c>
      <c r="L218">
        <v>174.29</v>
      </c>
      <c r="M218" t="s">
        <v>35</v>
      </c>
    </row>
    <row r="219" spans="1:13" x14ac:dyDescent="0.3">
      <c r="A219" t="s">
        <v>770</v>
      </c>
      <c r="B219" t="s">
        <v>771</v>
      </c>
      <c r="C219" t="s">
        <v>772</v>
      </c>
      <c r="D219" s="7" t="s">
        <v>773</v>
      </c>
      <c r="E219" t="s">
        <v>17</v>
      </c>
      <c r="F219" t="s">
        <v>89</v>
      </c>
      <c r="G219" t="s">
        <v>90</v>
      </c>
      <c r="H219">
        <v>4</v>
      </c>
      <c r="I219">
        <v>44.73</v>
      </c>
      <c r="J219">
        <v>0.15</v>
      </c>
      <c r="K219">
        <v>152.08000000000001</v>
      </c>
      <c r="L219">
        <v>25.56</v>
      </c>
      <c r="M219" t="s">
        <v>35</v>
      </c>
    </row>
    <row r="220" spans="1:13" x14ac:dyDescent="0.3">
      <c r="A220" t="s">
        <v>774</v>
      </c>
      <c r="B220" t="s">
        <v>775</v>
      </c>
      <c r="C220" t="s">
        <v>413</v>
      </c>
      <c r="D220" s="7" t="s">
        <v>776</v>
      </c>
      <c r="E220" t="s">
        <v>64</v>
      </c>
      <c r="F220" t="s">
        <v>18</v>
      </c>
      <c r="G220" t="s">
        <v>45</v>
      </c>
      <c r="H220">
        <v>3</v>
      </c>
      <c r="I220">
        <v>162.19</v>
      </c>
      <c r="J220">
        <v>0.15</v>
      </c>
      <c r="K220">
        <v>413.58</v>
      </c>
      <c r="L220">
        <v>41.63</v>
      </c>
      <c r="M220" t="s">
        <v>35</v>
      </c>
    </row>
    <row r="221" spans="1:13" x14ac:dyDescent="0.3">
      <c r="A221" t="s">
        <v>777</v>
      </c>
      <c r="B221" t="s">
        <v>278</v>
      </c>
      <c r="C221" t="s">
        <v>778</v>
      </c>
      <c r="D221" s="7" t="s">
        <v>550</v>
      </c>
      <c r="E221" t="s">
        <v>25</v>
      </c>
      <c r="F221" t="s">
        <v>26</v>
      </c>
      <c r="G221" t="s">
        <v>118</v>
      </c>
      <c r="H221">
        <v>5</v>
      </c>
      <c r="I221">
        <v>185.14</v>
      </c>
      <c r="J221">
        <v>0.05</v>
      </c>
      <c r="K221">
        <v>879.41</v>
      </c>
      <c r="L221">
        <v>119.75</v>
      </c>
      <c r="M221" t="s">
        <v>35</v>
      </c>
    </row>
    <row r="222" spans="1:13" x14ac:dyDescent="0.3">
      <c r="A222" t="s">
        <v>779</v>
      </c>
      <c r="B222" t="s">
        <v>771</v>
      </c>
      <c r="C222" t="s">
        <v>769</v>
      </c>
      <c r="D222" s="7" t="s">
        <v>780</v>
      </c>
      <c r="E222" t="s">
        <v>32</v>
      </c>
      <c r="F222" t="s">
        <v>18</v>
      </c>
      <c r="G222" t="s">
        <v>79</v>
      </c>
      <c r="H222">
        <v>6</v>
      </c>
      <c r="I222">
        <v>56.41</v>
      </c>
      <c r="J222">
        <v>0.15</v>
      </c>
      <c r="K222">
        <v>287.69</v>
      </c>
      <c r="L222">
        <v>83.14</v>
      </c>
      <c r="M222" t="s">
        <v>20</v>
      </c>
    </row>
    <row r="223" spans="1:13" x14ac:dyDescent="0.3">
      <c r="A223" t="s">
        <v>781</v>
      </c>
      <c r="B223" t="s">
        <v>782</v>
      </c>
      <c r="C223" t="s">
        <v>783</v>
      </c>
      <c r="D223" s="7" t="s">
        <v>784</v>
      </c>
      <c r="E223" t="s">
        <v>17</v>
      </c>
      <c r="F223" t="s">
        <v>33</v>
      </c>
      <c r="G223" t="s">
        <v>69</v>
      </c>
      <c r="H223">
        <v>3</v>
      </c>
      <c r="I223">
        <v>23.64</v>
      </c>
      <c r="J223">
        <v>0.1</v>
      </c>
      <c r="K223">
        <v>63.83</v>
      </c>
      <c r="L223">
        <v>5.87</v>
      </c>
      <c r="M223" t="s">
        <v>20</v>
      </c>
    </row>
    <row r="224" spans="1:13" x14ac:dyDescent="0.3">
      <c r="A224" t="s">
        <v>785</v>
      </c>
      <c r="B224" t="s">
        <v>416</v>
      </c>
      <c r="C224" t="s">
        <v>772</v>
      </c>
      <c r="D224" s="7" t="s">
        <v>786</v>
      </c>
      <c r="E224" t="s">
        <v>32</v>
      </c>
      <c r="F224" t="s">
        <v>18</v>
      </c>
      <c r="G224" t="s">
        <v>79</v>
      </c>
      <c r="H224">
        <v>2</v>
      </c>
      <c r="I224">
        <v>19.190000000000001</v>
      </c>
      <c r="J224">
        <v>0.15</v>
      </c>
      <c r="K224">
        <v>32.619999999999997</v>
      </c>
      <c r="L224">
        <v>4.49</v>
      </c>
      <c r="M224" t="s">
        <v>20</v>
      </c>
    </row>
    <row r="225" spans="1:13" x14ac:dyDescent="0.3">
      <c r="A225" t="s">
        <v>787</v>
      </c>
      <c r="B225" t="s">
        <v>788</v>
      </c>
      <c r="C225" t="s">
        <v>121</v>
      </c>
      <c r="D225" s="7" t="s">
        <v>789</v>
      </c>
      <c r="E225" t="s">
        <v>64</v>
      </c>
      <c r="F225" t="s">
        <v>26</v>
      </c>
      <c r="G225" t="s">
        <v>84</v>
      </c>
      <c r="H225">
        <v>4</v>
      </c>
      <c r="I225">
        <v>168.58</v>
      </c>
      <c r="J225">
        <v>0.15</v>
      </c>
      <c r="K225">
        <v>573.16999999999996</v>
      </c>
      <c r="L225">
        <v>152.86000000000001</v>
      </c>
      <c r="M225" t="s">
        <v>40</v>
      </c>
    </row>
    <row r="226" spans="1:13" x14ac:dyDescent="0.3">
      <c r="A226" t="s">
        <v>790</v>
      </c>
      <c r="B226" t="s">
        <v>180</v>
      </c>
      <c r="C226" t="s">
        <v>444</v>
      </c>
      <c r="D226" s="7" t="s">
        <v>791</v>
      </c>
      <c r="E226" t="s">
        <v>64</v>
      </c>
      <c r="F226" t="s">
        <v>26</v>
      </c>
      <c r="G226" t="s">
        <v>84</v>
      </c>
      <c r="H226">
        <v>1</v>
      </c>
      <c r="I226">
        <v>136.03</v>
      </c>
      <c r="J226">
        <v>0</v>
      </c>
      <c r="K226">
        <v>136.03</v>
      </c>
      <c r="L226">
        <v>39.89</v>
      </c>
      <c r="M226" t="s">
        <v>40</v>
      </c>
    </row>
    <row r="227" spans="1:13" x14ac:dyDescent="0.3">
      <c r="A227" t="s">
        <v>792</v>
      </c>
      <c r="B227" t="s">
        <v>793</v>
      </c>
      <c r="C227" t="s">
        <v>794</v>
      </c>
      <c r="D227" s="7" t="s">
        <v>576</v>
      </c>
      <c r="E227" t="s">
        <v>17</v>
      </c>
      <c r="F227" t="s">
        <v>18</v>
      </c>
      <c r="G227" t="s">
        <v>19</v>
      </c>
      <c r="H227">
        <v>4</v>
      </c>
      <c r="I227">
        <v>36.090000000000003</v>
      </c>
      <c r="J227">
        <v>0.15</v>
      </c>
      <c r="K227">
        <v>122.71</v>
      </c>
      <c r="L227">
        <v>10.36</v>
      </c>
      <c r="M227" t="s">
        <v>35</v>
      </c>
    </row>
    <row r="228" spans="1:13" x14ac:dyDescent="0.3">
      <c r="A228" t="s">
        <v>795</v>
      </c>
      <c r="B228" t="s">
        <v>796</v>
      </c>
      <c r="C228" t="s">
        <v>627</v>
      </c>
      <c r="D228" s="7" t="s">
        <v>406</v>
      </c>
      <c r="E228" t="s">
        <v>64</v>
      </c>
      <c r="F228" t="s">
        <v>26</v>
      </c>
      <c r="G228" t="s">
        <v>118</v>
      </c>
      <c r="H228">
        <v>5</v>
      </c>
      <c r="I228">
        <v>135.03</v>
      </c>
      <c r="J228">
        <v>0.05</v>
      </c>
      <c r="K228">
        <v>641.39</v>
      </c>
      <c r="L228">
        <v>137.75</v>
      </c>
      <c r="M228" t="s">
        <v>35</v>
      </c>
    </row>
    <row r="229" spans="1:13" x14ac:dyDescent="0.3">
      <c r="A229" t="s">
        <v>797</v>
      </c>
      <c r="B229" t="s">
        <v>798</v>
      </c>
      <c r="C229" t="s">
        <v>627</v>
      </c>
      <c r="D229" s="7" t="s">
        <v>518</v>
      </c>
      <c r="E229" t="s">
        <v>25</v>
      </c>
      <c r="F229" t="s">
        <v>18</v>
      </c>
      <c r="G229" t="s">
        <v>19</v>
      </c>
      <c r="H229">
        <v>2</v>
      </c>
      <c r="I229">
        <v>138.35</v>
      </c>
      <c r="J229">
        <v>0</v>
      </c>
      <c r="K229">
        <v>276.7</v>
      </c>
      <c r="L229">
        <v>26.67</v>
      </c>
      <c r="M229" t="s">
        <v>40</v>
      </c>
    </row>
    <row r="230" spans="1:13" x14ac:dyDescent="0.3">
      <c r="A230" t="s">
        <v>799</v>
      </c>
      <c r="B230" t="s">
        <v>294</v>
      </c>
      <c r="C230" t="s">
        <v>800</v>
      </c>
      <c r="D230" s="7" t="s">
        <v>394</v>
      </c>
      <c r="E230" t="s">
        <v>25</v>
      </c>
      <c r="F230" t="s">
        <v>89</v>
      </c>
      <c r="G230" t="s">
        <v>90</v>
      </c>
      <c r="H230">
        <v>1</v>
      </c>
      <c r="I230">
        <v>70.42</v>
      </c>
      <c r="J230">
        <v>0</v>
      </c>
      <c r="K230">
        <v>70.42</v>
      </c>
      <c r="L230">
        <v>14.24</v>
      </c>
      <c r="M230" t="s">
        <v>20</v>
      </c>
    </row>
    <row r="231" spans="1:13" x14ac:dyDescent="0.3">
      <c r="A231" t="s">
        <v>801</v>
      </c>
      <c r="B231" t="s">
        <v>583</v>
      </c>
      <c r="C231" t="s">
        <v>802</v>
      </c>
      <c r="D231" s="7" t="s">
        <v>803</v>
      </c>
      <c r="E231" t="s">
        <v>17</v>
      </c>
      <c r="F231" t="s">
        <v>33</v>
      </c>
      <c r="G231" t="s">
        <v>34</v>
      </c>
      <c r="H231">
        <v>3</v>
      </c>
      <c r="I231">
        <v>104.19</v>
      </c>
      <c r="J231">
        <v>0</v>
      </c>
      <c r="K231">
        <v>312.57</v>
      </c>
      <c r="L231">
        <v>49.23</v>
      </c>
      <c r="M231" t="s">
        <v>40</v>
      </c>
    </row>
    <row r="232" spans="1:13" x14ac:dyDescent="0.3">
      <c r="A232" t="s">
        <v>804</v>
      </c>
      <c r="B232" t="s">
        <v>362</v>
      </c>
      <c r="C232" t="s">
        <v>200</v>
      </c>
      <c r="D232" s="7" t="s">
        <v>805</v>
      </c>
      <c r="E232" t="s">
        <v>25</v>
      </c>
      <c r="F232" t="s">
        <v>89</v>
      </c>
      <c r="G232" t="s">
        <v>131</v>
      </c>
      <c r="H232">
        <v>1</v>
      </c>
      <c r="I232">
        <v>119.51</v>
      </c>
      <c r="J232">
        <v>0.15</v>
      </c>
      <c r="K232">
        <v>101.58</v>
      </c>
      <c r="L232">
        <v>27.96</v>
      </c>
      <c r="M232" t="s">
        <v>40</v>
      </c>
    </row>
    <row r="233" spans="1:13" x14ac:dyDescent="0.3">
      <c r="A233" t="s">
        <v>806</v>
      </c>
      <c r="B233" t="s">
        <v>195</v>
      </c>
      <c r="C233" t="s">
        <v>807</v>
      </c>
      <c r="D233" s="7" t="s">
        <v>808</v>
      </c>
      <c r="E233" t="s">
        <v>17</v>
      </c>
      <c r="F233" t="s">
        <v>18</v>
      </c>
      <c r="G233" t="s">
        <v>45</v>
      </c>
      <c r="H233">
        <v>5</v>
      </c>
      <c r="I233">
        <v>168.55</v>
      </c>
      <c r="J233">
        <v>0.15</v>
      </c>
      <c r="K233">
        <v>716.34</v>
      </c>
      <c r="L233">
        <v>136.86000000000001</v>
      </c>
      <c r="M233" t="s">
        <v>35</v>
      </c>
    </row>
    <row r="234" spans="1:13" x14ac:dyDescent="0.3">
      <c r="A234" t="s">
        <v>809</v>
      </c>
      <c r="B234" t="s">
        <v>810</v>
      </c>
      <c r="C234" t="s">
        <v>440</v>
      </c>
      <c r="D234" s="7" t="s">
        <v>811</v>
      </c>
      <c r="E234" t="s">
        <v>17</v>
      </c>
      <c r="F234" t="s">
        <v>33</v>
      </c>
      <c r="G234" t="s">
        <v>69</v>
      </c>
      <c r="H234">
        <v>7</v>
      </c>
      <c r="I234">
        <v>162.35</v>
      </c>
      <c r="J234">
        <v>0.05</v>
      </c>
      <c r="K234">
        <v>1079.6300000000001</v>
      </c>
      <c r="L234">
        <v>206.39</v>
      </c>
      <c r="M234" t="s">
        <v>20</v>
      </c>
    </row>
    <row r="235" spans="1:13" x14ac:dyDescent="0.3">
      <c r="A235" t="s">
        <v>812</v>
      </c>
      <c r="B235" t="s">
        <v>423</v>
      </c>
      <c r="C235" t="s">
        <v>15</v>
      </c>
      <c r="D235" s="7" t="s">
        <v>813</v>
      </c>
      <c r="E235" t="s">
        <v>32</v>
      </c>
      <c r="F235" t="s">
        <v>33</v>
      </c>
      <c r="G235" t="s">
        <v>74</v>
      </c>
      <c r="H235">
        <v>7</v>
      </c>
      <c r="I235">
        <v>106.37</v>
      </c>
      <c r="J235">
        <v>0.1</v>
      </c>
      <c r="K235">
        <v>670.13</v>
      </c>
      <c r="L235">
        <v>56.01</v>
      </c>
      <c r="M235" t="s">
        <v>20</v>
      </c>
    </row>
    <row r="236" spans="1:13" x14ac:dyDescent="0.3">
      <c r="A236" t="s">
        <v>814</v>
      </c>
      <c r="B236" t="s">
        <v>815</v>
      </c>
      <c r="C236" t="s">
        <v>116</v>
      </c>
      <c r="D236" s="7" t="s">
        <v>816</v>
      </c>
      <c r="E236" t="s">
        <v>17</v>
      </c>
      <c r="F236" t="s">
        <v>89</v>
      </c>
      <c r="G236" t="s">
        <v>131</v>
      </c>
      <c r="H236">
        <v>3</v>
      </c>
      <c r="I236">
        <v>210.46</v>
      </c>
      <c r="J236">
        <v>0</v>
      </c>
      <c r="K236">
        <v>631.38</v>
      </c>
      <c r="L236">
        <v>119.76</v>
      </c>
      <c r="M236" t="s">
        <v>20</v>
      </c>
    </row>
    <row r="237" spans="1:13" x14ac:dyDescent="0.3">
      <c r="A237" t="s">
        <v>817</v>
      </c>
      <c r="B237" t="s">
        <v>61</v>
      </c>
      <c r="C237" t="s">
        <v>818</v>
      </c>
      <c r="D237" s="7" t="s">
        <v>819</v>
      </c>
      <c r="E237" t="s">
        <v>32</v>
      </c>
      <c r="F237" t="s">
        <v>26</v>
      </c>
      <c r="G237" t="s">
        <v>27</v>
      </c>
      <c r="H237">
        <v>3</v>
      </c>
      <c r="I237">
        <v>125.75</v>
      </c>
      <c r="J237">
        <v>0.15</v>
      </c>
      <c r="K237">
        <v>320.66000000000003</v>
      </c>
      <c r="L237">
        <v>95.41</v>
      </c>
      <c r="M237" t="s">
        <v>35</v>
      </c>
    </row>
    <row r="238" spans="1:13" x14ac:dyDescent="0.3">
      <c r="A238" t="s">
        <v>820</v>
      </c>
      <c r="B238" t="s">
        <v>788</v>
      </c>
      <c r="C238" t="s">
        <v>174</v>
      </c>
      <c r="D238" s="7" t="s">
        <v>821</v>
      </c>
      <c r="E238" t="s">
        <v>17</v>
      </c>
      <c r="F238" t="s">
        <v>89</v>
      </c>
      <c r="G238" t="s">
        <v>90</v>
      </c>
      <c r="H238">
        <v>1</v>
      </c>
      <c r="I238">
        <v>96.73</v>
      </c>
      <c r="J238">
        <v>0</v>
      </c>
      <c r="K238">
        <v>96.73</v>
      </c>
      <c r="L238">
        <v>17.61</v>
      </c>
      <c r="M238" t="s">
        <v>35</v>
      </c>
    </row>
    <row r="239" spans="1:13" x14ac:dyDescent="0.3">
      <c r="A239" t="s">
        <v>822</v>
      </c>
      <c r="B239" t="s">
        <v>823</v>
      </c>
      <c r="C239" t="s">
        <v>824</v>
      </c>
      <c r="D239" s="7" t="s">
        <v>825</v>
      </c>
      <c r="E239" t="s">
        <v>32</v>
      </c>
      <c r="F239" t="s">
        <v>33</v>
      </c>
      <c r="G239" t="s">
        <v>34</v>
      </c>
      <c r="H239">
        <v>1</v>
      </c>
      <c r="I239">
        <v>10.02</v>
      </c>
      <c r="J239">
        <v>0.15</v>
      </c>
      <c r="K239">
        <v>8.52</v>
      </c>
      <c r="L239">
        <v>1.36</v>
      </c>
      <c r="M239" t="s">
        <v>40</v>
      </c>
    </row>
    <row r="240" spans="1:13" x14ac:dyDescent="0.3">
      <c r="A240" t="s">
        <v>826</v>
      </c>
      <c r="B240" t="s">
        <v>128</v>
      </c>
      <c r="C240" t="s">
        <v>827</v>
      </c>
      <c r="D240" s="7" t="s">
        <v>315</v>
      </c>
      <c r="E240" t="s">
        <v>64</v>
      </c>
      <c r="F240" t="s">
        <v>18</v>
      </c>
      <c r="G240" t="s">
        <v>79</v>
      </c>
      <c r="H240">
        <v>7</v>
      </c>
      <c r="I240">
        <v>85.22</v>
      </c>
      <c r="J240">
        <v>0</v>
      </c>
      <c r="K240">
        <v>596.54</v>
      </c>
      <c r="L240">
        <v>136.58000000000001</v>
      </c>
      <c r="M240" t="s">
        <v>20</v>
      </c>
    </row>
    <row r="241" spans="1:13" x14ac:dyDescent="0.3">
      <c r="A241" t="s">
        <v>828</v>
      </c>
      <c r="B241" t="s">
        <v>108</v>
      </c>
      <c r="C241" t="s">
        <v>160</v>
      </c>
      <c r="D241" s="7" t="s">
        <v>829</v>
      </c>
      <c r="E241" t="s">
        <v>25</v>
      </c>
      <c r="F241" t="s">
        <v>26</v>
      </c>
      <c r="G241" t="s">
        <v>27</v>
      </c>
      <c r="H241">
        <v>4</v>
      </c>
      <c r="I241">
        <v>16.7</v>
      </c>
      <c r="J241">
        <v>0</v>
      </c>
      <c r="K241">
        <v>66.8</v>
      </c>
      <c r="L241">
        <v>13.4</v>
      </c>
      <c r="M241" t="s">
        <v>40</v>
      </c>
    </row>
    <row r="242" spans="1:13" x14ac:dyDescent="0.3">
      <c r="A242" t="s">
        <v>830</v>
      </c>
      <c r="B242" t="s">
        <v>124</v>
      </c>
      <c r="C242" t="s">
        <v>831</v>
      </c>
      <c r="D242" s="7" t="s">
        <v>832</v>
      </c>
      <c r="E242" t="s">
        <v>25</v>
      </c>
      <c r="F242" t="s">
        <v>89</v>
      </c>
      <c r="G242" t="s">
        <v>90</v>
      </c>
      <c r="H242">
        <v>5</v>
      </c>
      <c r="I242">
        <v>202.16</v>
      </c>
      <c r="J242">
        <v>0.1</v>
      </c>
      <c r="K242">
        <v>909.72</v>
      </c>
      <c r="L242">
        <v>224.1</v>
      </c>
      <c r="M242" t="s">
        <v>35</v>
      </c>
    </row>
    <row r="243" spans="1:13" x14ac:dyDescent="0.3">
      <c r="A243" t="s">
        <v>833</v>
      </c>
      <c r="B243" t="s">
        <v>561</v>
      </c>
      <c r="C243" t="s">
        <v>834</v>
      </c>
      <c r="D243" s="7" t="s">
        <v>835</v>
      </c>
      <c r="E243" t="s">
        <v>59</v>
      </c>
      <c r="F243" t="s">
        <v>18</v>
      </c>
      <c r="G243" t="s">
        <v>79</v>
      </c>
      <c r="H243">
        <v>7</v>
      </c>
      <c r="I243">
        <v>167.02</v>
      </c>
      <c r="J243">
        <v>0.1</v>
      </c>
      <c r="K243">
        <v>1052.23</v>
      </c>
      <c r="L243">
        <v>295.26</v>
      </c>
      <c r="M243" t="s">
        <v>20</v>
      </c>
    </row>
    <row r="244" spans="1:13" x14ac:dyDescent="0.3">
      <c r="A244" t="s">
        <v>836</v>
      </c>
      <c r="B244" t="s">
        <v>439</v>
      </c>
      <c r="C244" t="s">
        <v>339</v>
      </c>
      <c r="D244" s="7" t="s">
        <v>300</v>
      </c>
      <c r="E244" t="s">
        <v>64</v>
      </c>
      <c r="F244" t="s">
        <v>33</v>
      </c>
      <c r="G244" t="s">
        <v>50</v>
      </c>
      <c r="H244">
        <v>7</v>
      </c>
      <c r="I244">
        <v>66.81</v>
      </c>
      <c r="J244">
        <v>0</v>
      </c>
      <c r="K244">
        <v>467.67</v>
      </c>
      <c r="L244">
        <v>70.930000000000007</v>
      </c>
      <c r="M244" t="s">
        <v>40</v>
      </c>
    </row>
    <row r="245" spans="1:13" x14ac:dyDescent="0.3">
      <c r="A245" t="s">
        <v>837</v>
      </c>
      <c r="B245" t="s">
        <v>223</v>
      </c>
      <c r="C245" t="s">
        <v>838</v>
      </c>
      <c r="D245" s="7" t="s">
        <v>839</v>
      </c>
      <c r="E245" t="s">
        <v>17</v>
      </c>
      <c r="F245" t="s">
        <v>33</v>
      </c>
      <c r="G245" t="s">
        <v>74</v>
      </c>
      <c r="H245">
        <v>3</v>
      </c>
      <c r="I245">
        <v>215.22</v>
      </c>
      <c r="J245">
        <v>0.1</v>
      </c>
      <c r="K245">
        <v>581.09</v>
      </c>
      <c r="L245">
        <v>56.51</v>
      </c>
      <c r="M245" t="s">
        <v>20</v>
      </c>
    </row>
    <row r="246" spans="1:13" x14ac:dyDescent="0.3">
      <c r="A246" t="s">
        <v>840</v>
      </c>
      <c r="B246" t="s">
        <v>503</v>
      </c>
      <c r="C246" t="s">
        <v>287</v>
      </c>
      <c r="D246" s="7" t="s">
        <v>841</v>
      </c>
      <c r="E246" t="s">
        <v>59</v>
      </c>
      <c r="F246" t="s">
        <v>18</v>
      </c>
      <c r="G246" t="s">
        <v>19</v>
      </c>
      <c r="H246">
        <v>5</v>
      </c>
      <c r="I246">
        <v>83.27</v>
      </c>
      <c r="J246">
        <v>0.1</v>
      </c>
      <c r="K246">
        <v>374.71</v>
      </c>
      <c r="L246">
        <v>99.35</v>
      </c>
      <c r="M246" t="s">
        <v>40</v>
      </c>
    </row>
    <row r="247" spans="1:13" x14ac:dyDescent="0.3">
      <c r="A247" t="s">
        <v>842</v>
      </c>
      <c r="B247" t="s">
        <v>313</v>
      </c>
      <c r="C247" t="s">
        <v>843</v>
      </c>
      <c r="D247" s="7" t="s">
        <v>844</v>
      </c>
      <c r="E247" t="s">
        <v>17</v>
      </c>
      <c r="F247" t="s">
        <v>33</v>
      </c>
      <c r="G247" t="s">
        <v>69</v>
      </c>
      <c r="H247">
        <v>4</v>
      </c>
      <c r="I247">
        <v>172.48</v>
      </c>
      <c r="J247">
        <v>0.1</v>
      </c>
      <c r="K247">
        <v>620.92999999999995</v>
      </c>
      <c r="L247">
        <v>142.44999999999999</v>
      </c>
      <c r="M247" t="s">
        <v>35</v>
      </c>
    </row>
    <row r="248" spans="1:13" x14ac:dyDescent="0.3">
      <c r="A248" t="s">
        <v>845</v>
      </c>
      <c r="B248" t="s">
        <v>523</v>
      </c>
      <c r="C248" t="s">
        <v>846</v>
      </c>
      <c r="D248" s="7" t="s">
        <v>58</v>
      </c>
      <c r="E248" t="s">
        <v>64</v>
      </c>
      <c r="F248" t="s">
        <v>89</v>
      </c>
      <c r="G248" t="s">
        <v>131</v>
      </c>
      <c r="H248">
        <v>3</v>
      </c>
      <c r="I248">
        <v>145.97999999999999</v>
      </c>
      <c r="J248">
        <v>0.15</v>
      </c>
      <c r="K248">
        <v>372.25</v>
      </c>
      <c r="L248">
        <v>67.08</v>
      </c>
      <c r="M248" t="s">
        <v>35</v>
      </c>
    </row>
    <row r="249" spans="1:13" x14ac:dyDescent="0.3">
      <c r="A249" t="s">
        <v>847</v>
      </c>
      <c r="B249" t="s">
        <v>242</v>
      </c>
      <c r="C249" t="s">
        <v>827</v>
      </c>
      <c r="D249" s="7" t="s">
        <v>848</v>
      </c>
      <c r="E249" t="s">
        <v>64</v>
      </c>
      <c r="F249" t="s">
        <v>26</v>
      </c>
      <c r="G249" t="s">
        <v>118</v>
      </c>
      <c r="H249">
        <v>5</v>
      </c>
      <c r="I249">
        <v>56.51</v>
      </c>
      <c r="J249">
        <v>0.05</v>
      </c>
      <c r="K249">
        <v>268.42</v>
      </c>
      <c r="L249">
        <v>49.22</v>
      </c>
      <c r="M249" t="s">
        <v>20</v>
      </c>
    </row>
    <row r="250" spans="1:13" x14ac:dyDescent="0.3">
      <c r="A250" t="s">
        <v>849</v>
      </c>
      <c r="B250" t="s">
        <v>850</v>
      </c>
      <c r="C250" t="s">
        <v>156</v>
      </c>
      <c r="D250" s="7" t="s">
        <v>851</v>
      </c>
      <c r="E250" t="s">
        <v>64</v>
      </c>
      <c r="F250" t="s">
        <v>18</v>
      </c>
      <c r="G250" t="s">
        <v>79</v>
      </c>
      <c r="H250">
        <v>6</v>
      </c>
      <c r="I250">
        <v>231.36</v>
      </c>
      <c r="J250">
        <v>0</v>
      </c>
      <c r="K250">
        <v>1388.16</v>
      </c>
      <c r="L250">
        <v>248.54</v>
      </c>
      <c r="M250" t="s">
        <v>20</v>
      </c>
    </row>
    <row r="251" spans="1:13" x14ac:dyDescent="0.3">
      <c r="A251" t="s">
        <v>852</v>
      </c>
      <c r="B251" t="s">
        <v>526</v>
      </c>
      <c r="C251" t="s">
        <v>853</v>
      </c>
      <c r="D251" s="7" t="s">
        <v>854</v>
      </c>
      <c r="E251" t="s">
        <v>64</v>
      </c>
      <c r="F251" t="s">
        <v>89</v>
      </c>
      <c r="G251" t="s">
        <v>150</v>
      </c>
      <c r="H251">
        <v>5</v>
      </c>
      <c r="I251">
        <v>168.64</v>
      </c>
      <c r="J251">
        <v>0.1</v>
      </c>
      <c r="K251">
        <v>758.88</v>
      </c>
      <c r="L251">
        <v>222.79</v>
      </c>
      <c r="M251" t="s">
        <v>35</v>
      </c>
    </row>
    <row r="252" spans="1:13" x14ac:dyDescent="0.3">
      <c r="A252" t="s">
        <v>855</v>
      </c>
      <c r="B252" t="s">
        <v>856</v>
      </c>
      <c r="C252" t="s">
        <v>857</v>
      </c>
      <c r="D252" s="7" t="s">
        <v>858</v>
      </c>
      <c r="E252" t="s">
        <v>17</v>
      </c>
      <c r="F252" t="s">
        <v>89</v>
      </c>
      <c r="G252" t="s">
        <v>131</v>
      </c>
      <c r="H252">
        <v>8</v>
      </c>
      <c r="I252">
        <v>190.5</v>
      </c>
      <c r="J252">
        <v>0.1</v>
      </c>
      <c r="K252">
        <v>1371.6</v>
      </c>
      <c r="L252">
        <v>339.97</v>
      </c>
      <c r="M252" t="s">
        <v>35</v>
      </c>
    </row>
    <row r="253" spans="1:13" x14ac:dyDescent="0.3">
      <c r="A253" t="s">
        <v>859</v>
      </c>
      <c r="B253" t="s">
        <v>432</v>
      </c>
      <c r="C253" t="s">
        <v>366</v>
      </c>
      <c r="D253" s="7" t="s">
        <v>455</v>
      </c>
      <c r="E253" t="s">
        <v>59</v>
      </c>
      <c r="F253" t="s">
        <v>26</v>
      </c>
      <c r="G253" t="s">
        <v>118</v>
      </c>
      <c r="H253">
        <v>4</v>
      </c>
      <c r="I253">
        <v>223.71</v>
      </c>
      <c r="J253">
        <v>0</v>
      </c>
      <c r="K253">
        <v>894.84</v>
      </c>
      <c r="L253">
        <v>225.23</v>
      </c>
      <c r="M253" t="s">
        <v>20</v>
      </c>
    </row>
    <row r="254" spans="1:13" x14ac:dyDescent="0.3">
      <c r="A254" t="s">
        <v>860</v>
      </c>
      <c r="B254" t="s">
        <v>768</v>
      </c>
      <c r="C254" t="s">
        <v>861</v>
      </c>
      <c r="D254" s="7" t="s">
        <v>648</v>
      </c>
      <c r="E254" t="s">
        <v>64</v>
      </c>
      <c r="F254" t="s">
        <v>26</v>
      </c>
      <c r="G254" t="s">
        <v>84</v>
      </c>
      <c r="H254">
        <v>6</v>
      </c>
      <c r="I254">
        <v>63.66</v>
      </c>
      <c r="J254">
        <v>0.05</v>
      </c>
      <c r="K254">
        <v>362.86</v>
      </c>
      <c r="L254">
        <v>98.87</v>
      </c>
      <c r="M254" t="s">
        <v>20</v>
      </c>
    </row>
    <row r="255" spans="1:13" x14ac:dyDescent="0.3">
      <c r="A255" t="s">
        <v>862</v>
      </c>
      <c r="B255" t="s">
        <v>92</v>
      </c>
      <c r="C255" t="s">
        <v>863</v>
      </c>
      <c r="D255" s="7" t="s">
        <v>658</v>
      </c>
      <c r="E255" t="s">
        <v>64</v>
      </c>
      <c r="F255" t="s">
        <v>18</v>
      </c>
      <c r="G255" t="s">
        <v>19</v>
      </c>
      <c r="H255">
        <v>6</v>
      </c>
      <c r="I255">
        <v>26.5</v>
      </c>
      <c r="J255">
        <v>0.05</v>
      </c>
      <c r="K255">
        <v>151.05000000000001</v>
      </c>
      <c r="L255">
        <v>14.08</v>
      </c>
      <c r="M255" t="s">
        <v>40</v>
      </c>
    </row>
    <row r="256" spans="1:13" x14ac:dyDescent="0.3">
      <c r="A256" t="s">
        <v>864</v>
      </c>
      <c r="B256" t="s">
        <v>457</v>
      </c>
      <c r="C256" t="s">
        <v>865</v>
      </c>
      <c r="D256" s="7" t="s">
        <v>475</v>
      </c>
      <c r="E256" t="s">
        <v>25</v>
      </c>
      <c r="F256" t="s">
        <v>18</v>
      </c>
      <c r="G256" t="s">
        <v>19</v>
      </c>
      <c r="H256">
        <v>7</v>
      </c>
      <c r="I256">
        <v>175.03</v>
      </c>
      <c r="J256">
        <v>0.05</v>
      </c>
      <c r="K256">
        <v>1163.95</v>
      </c>
      <c r="L256">
        <v>301.92</v>
      </c>
      <c r="M256" t="s">
        <v>35</v>
      </c>
    </row>
    <row r="257" spans="1:13" x14ac:dyDescent="0.3">
      <c r="A257" t="s">
        <v>866</v>
      </c>
      <c r="B257" t="s">
        <v>302</v>
      </c>
      <c r="C257" t="s">
        <v>867</v>
      </c>
      <c r="D257" s="7" t="s">
        <v>868</v>
      </c>
      <c r="E257" t="s">
        <v>17</v>
      </c>
      <c r="F257" t="s">
        <v>18</v>
      </c>
      <c r="G257" t="s">
        <v>19</v>
      </c>
      <c r="H257">
        <v>1</v>
      </c>
      <c r="I257">
        <v>179.5</v>
      </c>
      <c r="J257">
        <v>0.1</v>
      </c>
      <c r="K257">
        <v>161.55000000000001</v>
      </c>
      <c r="L257">
        <v>45.66</v>
      </c>
      <c r="M257" t="s">
        <v>20</v>
      </c>
    </row>
    <row r="258" spans="1:13" x14ac:dyDescent="0.3">
      <c r="A258" t="s">
        <v>869</v>
      </c>
      <c r="B258" t="s">
        <v>500</v>
      </c>
      <c r="C258" t="s">
        <v>870</v>
      </c>
      <c r="D258" s="7" t="s">
        <v>871</v>
      </c>
      <c r="E258" t="s">
        <v>32</v>
      </c>
      <c r="F258" t="s">
        <v>26</v>
      </c>
      <c r="G258" t="s">
        <v>84</v>
      </c>
      <c r="H258">
        <v>1</v>
      </c>
      <c r="I258">
        <v>90.42</v>
      </c>
      <c r="J258">
        <v>0.15</v>
      </c>
      <c r="K258">
        <v>76.86</v>
      </c>
      <c r="L258">
        <v>9.61</v>
      </c>
      <c r="M258" t="s">
        <v>20</v>
      </c>
    </row>
    <row r="259" spans="1:13" x14ac:dyDescent="0.3">
      <c r="A259" t="s">
        <v>872</v>
      </c>
      <c r="B259" t="s">
        <v>873</v>
      </c>
      <c r="C259" t="s">
        <v>717</v>
      </c>
      <c r="D259" s="7" t="s">
        <v>874</v>
      </c>
      <c r="E259" t="s">
        <v>64</v>
      </c>
      <c r="F259" t="s">
        <v>89</v>
      </c>
      <c r="G259" t="s">
        <v>150</v>
      </c>
      <c r="H259">
        <v>3</v>
      </c>
      <c r="I259">
        <v>100.42</v>
      </c>
      <c r="J259">
        <v>0.05</v>
      </c>
      <c r="K259">
        <v>286.2</v>
      </c>
      <c r="L259">
        <v>78.16</v>
      </c>
      <c r="M259" t="s">
        <v>40</v>
      </c>
    </row>
    <row r="260" spans="1:13" x14ac:dyDescent="0.3">
      <c r="A260" t="s">
        <v>875</v>
      </c>
      <c r="B260" t="s">
        <v>324</v>
      </c>
      <c r="C260" t="s">
        <v>876</v>
      </c>
      <c r="D260" s="7" t="s">
        <v>406</v>
      </c>
      <c r="E260" t="s">
        <v>32</v>
      </c>
      <c r="F260" t="s">
        <v>89</v>
      </c>
      <c r="G260" t="s">
        <v>131</v>
      </c>
      <c r="H260">
        <v>1</v>
      </c>
      <c r="I260">
        <v>16.489999999999998</v>
      </c>
      <c r="J260">
        <v>0.05</v>
      </c>
      <c r="K260">
        <v>15.67</v>
      </c>
      <c r="L260">
        <v>1.73</v>
      </c>
      <c r="M260" t="s">
        <v>20</v>
      </c>
    </row>
    <row r="261" spans="1:13" x14ac:dyDescent="0.3">
      <c r="A261" t="s">
        <v>877</v>
      </c>
      <c r="B261" t="s">
        <v>878</v>
      </c>
      <c r="C261" t="s">
        <v>879</v>
      </c>
      <c r="D261" s="7" t="s">
        <v>880</v>
      </c>
      <c r="E261" t="s">
        <v>25</v>
      </c>
      <c r="F261" t="s">
        <v>26</v>
      </c>
      <c r="G261" t="s">
        <v>118</v>
      </c>
      <c r="H261">
        <v>4</v>
      </c>
      <c r="I261">
        <v>150.83000000000001</v>
      </c>
      <c r="J261">
        <v>0</v>
      </c>
      <c r="K261">
        <v>603.32000000000005</v>
      </c>
      <c r="L261">
        <v>157.99</v>
      </c>
      <c r="M261" t="s">
        <v>35</v>
      </c>
    </row>
    <row r="262" spans="1:13" x14ac:dyDescent="0.3">
      <c r="A262" t="s">
        <v>881</v>
      </c>
      <c r="B262" t="s">
        <v>882</v>
      </c>
      <c r="C262" t="s">
        <v>883</v>
      </c>
      <c r="D262" s="7" t="s">
        <v>572</v>
      </c>
      <c r="E262" t="s">
        <v>32</v>
      </c>
      <c r="F262" t="s">
        <v>26</v>
      </c>
      <c r="G262" t="s">
        <v>84</v>
      </c>
      <c r="H262">
        <v>5</v>
      </c>
      <c r="I262">
        <v>133.28</v>
      </c>
      <c r="J262">
        <v>0.05</v>
      </c>
      <c r="K262">
        <v>633.08000000000004</v>
      </c>
      <c r="L262">
        <v>159.21</v>
      </c>
      <c r="M262" t="s">
        <v>35</v>
      </c>
    </row>
    <row r="263" spans="1:13" x14ac:dyDescent="0.3">
      <c r="A263" t="s">
        <v>884</v>
      </c>
      <c r="B263" t="s">
        <v>885</v>
      </c>
      <c r="C263" t="s">
        <v>886</v>
      </c>
      <c r="D263" s="7" t="s">
        <v>887</v>
      </c>
      <c r="E263" t="s">
        <v>25</v>
      </c>
      <c r="F263" t="s">
        <v>26</v>
      </c>
      <c r="G263" t="s">
        <v>84</v>
      </c>
      <c r="H263">
        <v>1</v>
      </c>
      <c r="I263">
        <v>64.92</v>
      </c>
      <c r="J263">
        <v>0.15</v>
      </c>
      <c r="K263">
        <v>55.18</v>
      </c>
      <c r="L263">
        <v>16.48</v>
      </c>
      <c r="M263" t="s">
        <v>35</v>
      </c>
    </row>
    <row r="264" spans="1:13" x14ac:dyDescent="0.3">
      <c r="A264" t="s">
        <v>888</v>
      </c>
      <c r="B264" t="s">
        <v>889</v>
      </c>
      <c r="C264" t="s">
        <v>890</v>
      </c>
      <c r="D264" s="7" t="s">
        <v>891</v>
      </c>
      <c r="E264" t="s">
        <v>25</v>
      </c>
      <c r="F264" t="s">
        <v>89</v>
      </c>
      <c r="G264" t="s">
        <v>131</v>
      </c>
      <c r="H264">
        <v>1</v>
      </c>
      <c r="I264">
        <v>39.409999999999997</v>
      </c>
      <c r="J264">
        <v>0.15</v>
      </c>
      <c r="K264">
        <v>33.5</v>
      </c>
      <c r="L264">
        <v>5.03</v>
      </c>
      <c r="M264" t="s">
        <v>20</v>
      </c>
    </row>
    <row r="265" spans="1:13" x14ac:dyDescent="0.3">
      <c r="A265" t="s">
        <v>892</v>
      </c>
      <c r="B265" t="s">
        <v>893</v>
      </c>
      <c r="C265" t="s">
        <v>894</v>
      </c>
      <c r="D265" s="7" t="s">
        <v>895</v>
      </c>
      <c r="E265" t="s">
        <v>32</v>
      </c>
      <c r="F265" t="s">
        <v>33</v>
      </c>
      <c r="G265" t="s">
        <v>74</v>
      </c>
      <c r="H265">
        <v>8</v>
      </c>
      <c r="I265">
        <v>197.75</v>
      </c>
      <c r="J265">
        <v>0.15</v>
      </c>
      <c r="K265">
        <v>1344.7</v>
      </c>
      <c r="L265">
        <v>117.65</v>
      </c>
      <c r="M265" t="s">
        <v>20</v>
      </c>
    </row>
    <row r="266" spans="1:13" x14ac:dyDescent="0.3">
      <c r="A266" t="s">
        <v>896</v>
      </c>
      <c r="B266" t="s">
        <v>548</v>
      </c>
      <c r="C266" t="s">
        <v>897</v>
      </c>
      <c r="D266" s="7" t="s">
        <v>898</v>
      </c>
      <c r="E266" t="s">
        <v>17</v>
      </c>
      <c r="F266" t="s">
        <v>89</v>
      </c>
      <c r="G266" t="s">
        <v>131</v>
      </c>
      <c r="H266">
        <v>7</v>
      </c>
      <c r="I266">
        <v>138.30000000000001</v>
      </c>
      <c r="J266">
        <v>0</v>
      </c>
      <c r="K266">
        <v>968.1</v>
      </c>
      <c r="L266">
        <v>283.56</v>
      </c>
      <c r="M266" t="s">
        <v>20</v>
      </c>
    </row>
    <row r="267" spans="1:13" x14ac:dyDescent="0.3">
      <c r="A267" t="s">
        <v>899</v>
      </c>
      <c r="B267" t="s">
        <v>900</v>
      </c>
      <c r="C267" t="s">
        <v>901</v>
      </c>
      <c r="D267" s="7" t="s">
        <v>902</v>
      </c>
      <c r="E267" t="s">
        <v>32</v>
      </c>
      <c r="F267" t="s">
        <v>33</v>
      </c>
      <c r="G267" t="s">
        <v>50</v>
      </c>
      <c r="H267">
        <v>3</v>
      </c>
      <c r="I267">
        <v>217.23</v>
      </c>
      <c r="J267">
        <v>0</v>
      </c>
      <c r="K267">
        <v>651.69000000000005</v>
      </c>
      <c r="L267">
        <v>61.74</v>
      </c>
      <c r="M267" t="s">
        <v>40</v>
      </c>
    </row>
    <row r="268" spans="1:13" x14ac:dyDescent="0.3">
      <c r="A268" t="s">
        <v>903</v>
      </c>
      <c r="B268" t="s">
        <v>904</v>
      </c>
      <c r="C268" t="s">
        <v>725</v>
      </c>
      <c r="D268" s="7" t="s">
        <v>49</v>
      </c>
      <c r="E268" t="s">
        <v>25</v>
      </c>
      <c r="F268" t="s">
        <v>18</v>
      </c>
      <c r="G268" t="s">
        <v>45</v>
      </c>
      <c r="H268">
        <v>5</v>
      </c>
      <c r="I268">
        <v>93.14</v>
      </c>
      <c r="J268">
        <v>0.15</v>
      </c>
      <c r="K268">
        <v>395.84</v>
      </c>
      <c r="L268">
        <v>66.260000000000005</v>
      </c>
      <c r="M268" t="s">
        <v>35</v>
      </c>
    </row>
    <row r="269" spans="1:13" x14ac:dyDescent="0.3">
      <c r="A269" t="s">
        <v>905</v>
      </c>
      <c r="B269" t="s">
        <v>500</v>
      </c>
      <c r="C269" t="s">
        <v>604</v>
      </c>
      <c r="D269" s="7" t="s">
        <v>906</v>
      </c>
      <c r="E269" t="s">
        <v>25</v>
      </c>
      <c r="F269" t="s">
        <v>26</v>
      </c>
      <c r="G269" t="s">
        <v>118</v>
      </c>
      <c r="H269">
        <v>6</v>
      </c>
      <c r="I269">
        <v>157.97999999999999</v>
      </c>
      <c r="J269">
        <v>0</v>
      </c>
      <c r="K269">
        <v>947.88</v>
      </c>
      <c r="L269">
        <v>108.24</v>
      </c>
      <c r="M269" t="s">
        <v>40</v>
      </c>
    </row>
    <row r="270" spans="1:13" x14ac:dyDescent="0.3">
      <c r="A270" t="s">
        <v>907</v>
      </c>
      <c r="B270" t="s">
        <v>908</v>
      </c>
      <c r="C270" t="s">
        <v>909</v>
      </c>
      <c r="D270" s="7" t="s">
        <v>910</v>
      </c>
      <c r="E270" t="s">
        <v>32</v>
      </c>
      <c r="F270" t="s">
        <v>26</v>
      </c>
      <c r="G270" t="s">
        <v>27</v>
      </c>
      <c r="H270">
        <v>8</v>
      </c>
      <c r="I270">
        <v>75.83</v>
      </c>
      <c r="J270">
        <v>0.15</v>
      </c>
      <c r="K270">
        <v>515.64</v>
      </c>
      <c r="L270">
        <v>102.11</v>
      </c>
      <c r="M270" t="s">
        <v>35</v>
      </c>
    </row>
    <row r="271" spans="1:13" x14ac:dyDescent="0.3">
      <c r="A271" t="s">
        <v>911</v>
      </c>
      <c r="B271" t="s">
        <v>815</v>
      </c>
      <c r="C271" t="s">
        <v>912</v>
      </c>
      <c r="D271" s="7" t="s">
        <v>648</v>
      </c>
      <c r="E271" t="s">
        <v>32</v>
      </c>
      <c r="F271" t="s">
        <v>18</v>
      </c>
      <c r="G271" t="s">
        <v>45</v>
      </c>
      <c r="H271">
        <v>2</v>
      </c>
      <c r="I271">
        <v>142.5</v>
      </c>
      <c r="J271">
        <v>0</v>
      </c>
      <c r="K271">
        <v>285</v>
      </c>
      <c r="L271">
        <v>50.99</v>
      </c>
      <c r="M271" t="s">
        <v>20</v>
      </c>
    </row>
    <row r="272" spans="1:13" x14ac:dyDescent="0.3">
      <c r="A272" t="s">
        <v>913</v>
      </c>
      <c r="B272" t="s">
        <v>523</v>
      </c>
      <c r="C272" t="s">
        <v>654</v>
      </c>
      <c r="D272" s="7" t="s">
        <v>322</v>
      </c>
      <c r="E272" t="s">
        <v>64</v>
      </c>
      <c r="F272" t="s">
        <v>33</v>
      </c>
      <c r="G272" t="s">
        <v>34</v>
      </c>
      <c r="H272">
        <v>3</v>
      </c>
      <c r="I272">
        <v>204.61</v>
      </c>
      <c r="J272">
        <v>0.15</v>
      </c>
      <c r="K272">
        <v>521.76</v>
      </c>
      <c r="L272">
        <v>83.9</v>
      </c>
      <c r="M272" t="s">
        <v>40</v>
      </c>
    </row>
    <row r="273" spans="1:13" x14ac:dyDescent="0.3">
      <c r="A273" t="s">
        <v>914</v>
      </c>
      <c r="B273" t="s">
        <v>915</v>
      </c>
      <c r="C273" t="s">
        <v>916</v>
      </c>
      <c r="D273" s="7" t="s">
        <v>621</v>
      </c>
      <c r="E273" t="s">
        <v>59</v>
      </c>
      <c r="F273" t="s">
        <v>18</v>
      </c>
      <c r="G273" t="s">
        <v>19</v>
      </c>
      <c r="H273">
        <v>5</v>
      </c>
      <c r="I273">
        <v>134.65</v>
      </c>
      <c r="J273">
        <v>0.15</v>
      </c>
      <c r="K273">
        <v>572.26</v>
      </c>
      <c r="L273">
        <v>76.73</v>
      </c>
      <c r="M273" t="s">
        <v>40</v>
      </c>
    </row>
    <row r="274" spans="1:13" x14ac:dyDescent="0.3">
      <c r="A274" t="s">
        <v>917</v>
      </c>
      <c r="B274" t="s">
        <v>918</v>
      </c>
      <c r="C274" t="s">
        <v>514</v>
      </c>
      <c r="D274" s="7" t="s">
        <v>919</v>
      </c>
      <c r="E274" t="s">
        <v>32</v>
      </c>
      <c r="F274" t="s">
        <v>33</v>
      </c>
      <c r="G274" t="s">
        <v>69</v>
      </c>
      <c r="H274">
        <v>3</v>
      </c>
      <c r="I274">
        <v>93.29</v>
      </c>
      <c r="J274">
        <v>0.1</v>
      </c>
      <c r="K274">
        <v>251.88</v>
      </c>
      <c r="L274">
        <v>55.67</v>
      </c>
      <c r="M274" t="s">
        <v>20</v>
      </c>
    </row>
    <row r="275" spans="1:13" x14ac:dyDescent="0.3">
      <c r="A275" t="s">
        <v>920</v>
      </c>
      <c r="B275" t="s">
        <v>404</v>
      </c>
      <c r="C275" t="s">
        <v>921</v>
      </c>
      <c r="D275" s="7" t="s">
        <v>922</v>
      </c>
      <c r="E275" t="s">
        <v>25</v>
      </c>
      <c r="F275" t="s">
        <v>26</v>
      </c>
      <c r="G275" t="s">
        <v>27</v>
      </c>
      <c r="H275">
        <v>4</v>
      </c>
      <c r="I275">
        <v>139.96</v>
      </c>
      <c r="J275">
        <v>0</v>
      </c>
      <c r="K275">
        <v>559.84</v>
      </c>
      <c r="L275">
        <v>138.03</v>
      </c>
      <c r="M275" t="s">
        <v>40</v>
      </c>
    </row>
    <row r="276" spans="1:13" x14ac:dyDescent="0.3">
      <c r="A276" t="s">
        <v>923</v>
      </c>
      <c r="B276" t="s">
        <v>924</v>
      </c>
      <c r="C276" t="s">
        <v>393</v>
      </c>
      <c r="D276" s="7" t="s">
        <v>427</v>
      </c>
      <c r="E276" t="s">
        <v>64</v>
      </c>
      <c r="F276" t="s">
        <v>18</v>
      </c>
      <c r="G276" t="s">
        <v>45</v>
      </c>
      <c r="H276">
        <v>7</v>
      </c>
      <c r="I276">
        <v>192.72</v>
      </c>
      <c r="J276">
        <v>0</v>
      </c>
      <c r="K276">
        <v>1349.04</v>
      </c>
      <c r="L276">
        <v>394.91</v>
      </c>
      <c r="M276" t="s">
        <v>35</v>
      </c>
    </row>
    <row r="277" spans="1:13" x14ac:dyDescent="0.3">
      <c r="A277" t="s">
        <v>925</v>
      </c>
      <c r="B277" t="s">
        <v>214</v>
      </c>
      <c r="C277" t="s">
        <v>926</v>
      </c>
      <c r="D277" s="7" t="s">
        <v>927</v>
      </c>
      <c r="E277" t="s">
        <v>17</v>
      </c>
      <c r="F277" t="s">
        <v>26</v>
      </c>
      <c r="G277" t="s">
        <v>118</v>
      </c>
      <c r="H277">
        <v>8</v>
      </c>
      <c r="I277">
        <v>66.739999999999995</v>
      </c>
      <c r="J277">
        <v>0.15</v>
      </c>
      <c r="K277">
        <v>453.83</v>
      </c>
      <c r="L277">
        <v>109.74</v>
      </c>
      <c r="M277" t="s">
        <v>40</v>
      </c>
    </row>
    <row r="278" spans="1:13" x14ac:dyDescent="0.3">
      <c r="A278" t="s">
        <v>928</v>
      </c>
      <c r="B278" t="s">
        <v>929</v>
      </c>
      <c r="C278" t="s">
        <v>930</v>
      </c>
      <c r="D278" s="7" t="s">
        <v>931</v>
      </c>
      <c r="E278" t="s">
        <v>64</v>
      </c>
      <c r="F278" t="s">
        <v>26</v>
      </c>
      <c r="G278" t="s">
        <v>118</v>
      </c>
      <c r="H278">
        <v>3</v>
      </c>
      <c r="I278">
        <v>180.58</v>
      </c>
      <c r="J278">
        <v>0</v>
      </c>
      <c r="K278">
        <v>541.74</v>
      </c>
      <c r="L278">
        <v>75.099999999999994</v>
      </c>
      <c r="M278" t="s">
        <v>20</v>
      </c>
    </row>
    <row r="279" spans="1:13" x14ac:dyDescent="0.3">
      <c r="A279" t="s">
        <v>932</v>
      </c>
      <c r="B279" t="s">
        <v>286</v>
      </c>
      <c r="C279" t="s">
        <v>933</v>
      </c>
      <c r="D279" s="7" t="s">
        <v>934</v>
      </c>
      <c r="E279" t="s">
        <v>64</v>
      </c>
      <c r="F279" t="s">
        <v>18</v>
      </c>
      <c r="G279" t="s">
        <v>19</v>
      </c>
      <c r="H279">
        <v>4</v>
      </c>
      <c r="I279">
        <v>173.23</v>
      </c>
      <c r="J279">
        <v>0.05</v>
      </c>
      <c r="K279">
        <v>658.27</v>
      </c>
      <c r="L279">
        <v>142.13</v>
      </c>
      <c r="M279" t="s">
        <v>20</v>
      </c>
    </row>
    <row r="280" spans="1:13" x14ac:dyDescent="0.3">
      <c r="A280" t="s">
        <v>935</v>
      </c>
      <c r="B280" t="s">
        <v>71</v>
      </c>
      <c r="C280" t="s">
        <v>936</v>
      </c>
      <c r="D280" s="7" t="s">
        <v>937</v>
      </c>
      <c r="E280" t="s">
        <v>32</v>
      </c>
      <c r="F280" t="s">
        <v>89</v>
      </c>
      <c r="G280" t="s">
        <v>90</v>
      </c>
      <c r="H280">
        <v>6</v>
      </c>
      <c r="I280">
        <v>128.61000000000001</v>
      </c>
      <c r="J280">
        <v>0</v>
      </c>
      <c r="K280">
        <v>771.66</v>
      </c>
      <c r="L280">
        <v>216.89</v>
      </c>
      <c r="M280" t="s">
        <v>20</v>
      </c>
    </row>
    <row r="281" spans="1:13" x14ac:dyDescent="0.3">
      <c r="A281" t="s">
        <v>938</v>
      </c>
      <c r="B281" t="s">
        <v>223</v>
      </c>
      <c r="C281" t="s">
        <v>97</v>
      </c>
      <c r="D281" s="7" t="s">
        <v>546</v>
      </c>
      <c r="E281" t="s">
        <v>64</v>
      </c>
      <c r="F281" t="s">
        <v>26</v>
      </c>
      <c r="G281" t="s">
        <v>118</v>
      </c>
      <c r="H281">
        <v>6</v>
      </c>
      <c r="I281">
        <v>102.68</v>
      </c>
      <c r="J281">
        <v>0.1</v>
      </c>
      <c r="K281">
        <v>554.47</v>
      </c>
      <c r="L281">
        <v>84.54</v>
      </c>
      <c r="M281" t="s">
        <v>20</v>
      </c>
    </row>
    <row r="282" spans="1:13" x14ac:dyDescent="0.3">
      <c r="A282" t="s">
        <v>939</v>
      </c>
      <c r="B282" t="s">
        <v>940</v>
      </c>
      <c r="C282" t="s">
        <v>941</v>
      </c>
      <c r="D282" s="7" t="s">
        <v>791</v>
      </c>
      <c r="E282" t="s">
        <v>25</v>
      </c>
      <c r="F282" t="s">
        <v>89</v>
      </c>
      <c r="G282" t="s">
        <v>150</v>
      </c>
      <c r="H282">
        <v>2</v>
      </c>
      <c r="I282">
        <v>174</v>
      </c>
      <c r="J282">
        <v>0.05</v>
      </c>
      <c r="K282">
        <v>330.6</v>
      </c>
      <c r="L282">
        <v>33.4</v>
      </c>
      <c r="M282" t="s">
        <v>40</v>
      </c>
    </row>
    <row r="283" spans="1:13" x14ac:dyDescent="0.3">
      <c r="A283" t="s">
        <v>942</v>
      </c>
      <c r="B283" t="s">
        <v>943</v>
      </c>
      <c r="C283" t="s">
        <v>531</v>
      </c>
      <c r="D283" s="7" t="s">
        <v>944</v>
      </c>
      <c r="E283" t="s">
        <v>32</v>
      </c>
      <c r="F283" t="s">
        <v>18</v>
      </c>
      <c r="G283" t="s">
        <v>45</v>
      </c>
      <c r="H283">
        <v>3</v>
      </c>
      <c r="I283">
        <v>98.57</v>
      </c>
      <c r="J283">
        <v>0.05</v>
      </c>
      <c r="K283">
        <v>280.92</v>
      </c>
      <c r="L283">
        <v>60.48</v>
      </c>
      <c r="M283" t="s">
        <v>20</v>
      </c>
    </row>
    <row r="284" spans="1:13" x14ac:dyDescent="0.3">
      <c r="A284" t="s">
        <v>945</v>
      </c>
      <c r="B284" t="s">
        <v>235</v>
      </c>
      <c r="C284" t="s">
        <v>946</v>
      </c>
      <c r="D284" s="7" t="s">
        <v>947</v>
      </c>
      <c r="E284" t="s">
        <v>59</v>
      </c>
      <c r="F284" t="s">
        <v>33</v>
      </c>
      <c r="G284" t="s">
        <v>34</v>
      </c>
      <c r="H284">
        <v>7</v>
      </c>
      <c r="I284">
        <v>180.52</v>
      </c>
      <c r="J284">
        <v>0</v>
      </c>
      <c r="K284">
        <v>1263.6400000000001</v>
      </c>
      <c r="L284">
        <v>259.52999999999997</v>
      </c>
      <c r="M284" t="s">
        <v>35</v>
      </c>
    </row>
    <row r="285" spans="1:13" x14ac:dyDescent="0.3">
      <c r="A285" t="s">
        <v>948</v>
      </c>
      <c r="B285" t="s">
        <v>949</v>
      </c>
      <c r="C285" t="s">
        <v>950</v>
      </c>
      <c r="D285" s="7" t="s">
        <v>951</v>
      </c>
      <c r="E285" t="s">
        <v>17</v>
      </c>
      <c r="F285" t="s">
        <v>33</v>
      </c>
      <c r="G285" t="s">
        <v>34</v>
      </c>
      <c r="H285">
        <v>1</v>
      </c>
      <c r="I285">
        <v>83.13</v>
      </c>
      <c r="J285">
        <v>0</v>
      </c>
      <c r="K285">
        <v>83.13</v>
      </c>
      <c r="L285">
        <v>11.17</v>
      </c>
      <c r="M285" t="s">
        <v>20</v>
      </c>
    </row>
    <row r="286" spans="1:13" x14ac:dyDescent="0.3">
      <c r="A286" t="s">
        <v>952</v>
      </c>
      <c r="B286" t="s">
        <v>264</v>
      </c>
      <c r="C286" t="s">
        <v>953</v>
      </c>
      <c r="D286" s="7" t="s">
        <v>475</v>
      </c>
      <c r="E286" t="s">
        <v>64</v>
      </c>
      <c r="F286" t="s">
        <v>89</v>
      </c>
      <c r="G286" t="s">
        <v>90</v>
      </c>
      <c r="H286">
        <v>7</v>
      </c>
      <c r="I286">
        <v>159.12</v>
      </c>
      <c r="J286">
        <v>0.05</v>
      </c>
      <c r="K286">
        <v>1058.1500000000001</v>
      </c>
      <c r="L286">
        <v>140.53</v>
      </c>
      <c r="M286" t="s">
        <v>20</v>
      </c>
    </row>
    <row r="287" spans="1:13" x14ac:dyDescent="0.3">
      <c r="A287" t="s">
        <v>954</v>
      </c>
      <c r="B287" t="s">
        <v>317</v>
      </c>
      <c r="C287" t="s">
        <v>955</v>
      </c>
      <c r="D287" s="7" t="s">
        <v>674</v>
      </c>
      <c r="E287" t="s">
        <v>17</v>
      </c>
      <c r="F287" t="s">
        <v>18</v>
      </c>
      <c r="G287" t="s">
        <v>19</v>
      </c>
      <c r="H287">
        <v>4</v>
      </c>
      <c r="I287">
        <v>210.59</v>
      </c>
      <c r="J287">
        <v>0.05</v>
      </c>
      <c r="K287">
        <v>800.24</v>
      </c>
      <c r="L287">
        <v>85.88</v>
      </c>
      <c r="M287" t="s">
        <v>40</v>
      </c>
    </row>
    <row r="288" spans="1:13" x14ac:dyDescent="0.3">
      <c r="A288" t="s">
        <v>956</v>
      </c>
      <c r="B288" t="s">
        <v>957</v>
      </c>
      <c r="C288" t="s">
        <v>958</v>
      </c>
      <c r="D288" s="7" t="s">
        <v>54</v>
      </c>
      <c r="E288" t="s">
        <v>32</v>
      </c>
      <c r="F288" t="s">
        <v>33</v>
      </c>
      <c r="G288" t="s">
        <v>50</v>
      </c>
      <c r="H288">
        <v>2</v>
      </c>
      <c r="I288">
        <v>91.7</v>
      </c>
      <c r="J288">
        <v>0.1</v>
      </c>
      <c r="K288">
        <v>165.06</v>
      </c>
      <c r="L288">
        <v>43.19</v>
      </c>
      <c r="M288" t="s">
        <v>20</v>
      </c>
    </row>
    <row r="289" spans="1:13" x14ac:dyDescent="0.3">
      <c r="A289" t="s">
        <v>959</v>
      </c>
      <c r="B289" t="s">
        <v>210</v>
      </c>
      <c r="C289" t="s">
        <v>224</v>
      </c>
      <c r="D289" s="7" t="s">
        <v>459</v>
      </c>
      <c r="E289" t="s">
        <v>59</v>
      </c>
      <c r="F289" t="s">
        <v>33</v>
      </c>
      <c r="G289" t="s">
        <v>50</v>
      </c>
      <c r="H289">
        <v>6</v>
      </c>
      <c r="I289">
        <v>186.72</v>
      </c>
      <c r="J289">
        <v>0.05</v>
      </c>
      <c r="K289">
        <v>1064.3</v>
      </c>
      <c r="L289">
        <v>284.39</v>
      </c>
      <c r="M289" t="s">
        <v>35</v>
      </c>
    </row>
    <row r="290" spans="1:13" x14ac:dyDescent="0.3">
      <c r="A290" t="s">
        <v>960</v>
      </c>
      <c r="B290" t="s">
        <v>423</v>
      </c>
      <c r="C290" t="s">
        <v>961</v>
      </c>
      <c r="D290" s="7" t="s">
        <v>962</v>
      </c>
      <c r="E290" t="s">
        <v>32</v>
      </c>
      <c r="F290" t="s">
        <v>89</v>
      </c>
      <c r="G290" t="s">
        <v>150</v>
      </c>
      <c r="H290">
        <v>6</v>
      </c>
      <c r="I290">
        <v>228.46</v>
      </c>
      <c r="J290">
        <v>0.15</v>
      </c>
      <c r="K290">
        <v>1165.1500000000001</v>
      </c>
      <c r="L290">
        <v>114.2</v>
      </c>
      <c r="M290" t="s">
        <v>35</v>
      </c>
    </row>
    <row r="291" spans="1:13" x14ac:dyDescent="0.3">
      <c r="A291" t="s">
        <v>963</v>
      </c>
      <c r="B291" t="s">
        <v>964</v>
      </c>
      <c r="C291" t="s">
        <v>413</v>
      </c>
      <c r="D291" s="7" t="s">
        <v>965</v>
      </c>
      <c r="E291" t="s">
        <v>17</v>
      </c>
      <c r="F291" t="s">
        <v>18</v>
      </c>
      <c r="G291" t="s">
        <v>79</v>
      </c>
      <c r="H291">
        <v>4</v>
      </c>
      <c r="I291">
        <v>161.05000000000001</v>
      </c>
      <c r="J291">
        <v>0.1</v>
      </c>
      <c r="K291">
        <v>579.78</v>
      </c>
      <c r="L291">
        <v>161.96</v>
      </c>
      <c r="M291" t="s">
        <v>35</v>
      </c>
    </row>
    <row r="292" spans="1:13" x14ac:dyDescent="0.3">
      <c r="A292" t="s">
        <v>966</v>
      </c>
      <c r="B292" t="s">
        <v>420</v>
      </c>
      <c r="C292" t="s">
        <v>967</v>
      </c>
      <c r="D292" s="7" t="s">
        <v>968</v>
      </c>
      <c r="E292" t="s">
        <v>64</v>
      </c>
      <c r="F292" t="s">
        <v>33</v>
      </c>
      <c r="G292" t="s">
        <v>50</v>
      </c>
      <c r="H292">
        <v>3</v>
      </c>
      <c r="I292">
        <v>46.19</v>
      </c>
      <c r="J292">
        <v>0.05</v>
      </c>
      <c r="K292">
        <v>131.63999999999999</v>
      </c>
      <c r="L292">
        <v>17.510000000000002</v>
      </c>
      <c r="M292" t="s">
        <v>35</v>
      </c>
    </row>
    <row r="293" spans="1:13" x14ac:dyDescent="0.3">
      <c r="A293" t="s">
        <v>969</v>
      </c>
      <c r="B293" t="s">
        <v>970</v>
      </c>
      <c r="C293" t="s">
        <v>465</v>
      </c>
      <c r="D293" s="7" t="s">
        <v>495</v>
      </c>
      <c r="E293" t="s">
        <v>25</v>
      </c>
      <c r="F293" t="s">
        <v>33</v>
      </c>
      <c r="G293" t="s">
        <v>50</v>
      </c>
      <c r="H293">
        <v>8</v>
      </c>
      <c r="I293">
        <v>181.01</v>
      </c>
      <c r="J293">
        <v>0</v>
      </c>
      <c r="K293">
        <v>1448.08</v>
      </c>
      <c r="L293">
        <v>328.68</v>
      </c>
      <c r="M293" t="s">
        <v>35</v>
      </c>
    </row>
    <row r="294" spans="1:13" x14ac:dyDescent="0.3">
      <c r="A294" t="s">
        <v>971</v>
      </c>
      <c r="B294" t="s">
        <v>972</v>
      </c>
      <c r="C294" t="s">
        <v>393</v>
      </c>
      <c r="D294" s="7" t="s">
        <v>88</v>
      </c>
      <c r="E294" t="s">
        <v>64</v>
      </c>
      <c r="F294" t="s">
        <v>18</v>
      </c>
      <c r="G294" t="s">
        <v>45</v>
      </c>
      <c r="H294">
        <v>8</v>
      </c>
      <c r="I294">
        <v>159.97999999999999</v>
      </c>
      <c r="J294">
        <v>0</v>
      </c>
      <c r="K294">
        <v>1279.8399999999999</v>
      </c>
      <c r="L294">
        <v>267.55</v>
      </c>
      <c r="M294" t="s">
        <v>35</v>
      </c>
    </row>
    <row r="295" spans="1:13" x14ac:dyDescent="0.3">
      <c r="A295" t="s">
        <v>973</v>
      </c>
      <c r="B295" t="s">
        <v>974</v>
      </c>
      <c r="C295" t="s">
        <v>975</v>
      </c>
      <c r="D295" s="7" t="s">
        <v>976</v>
      </c>
      <c r="E295" t="s">
        <v>25</v>
      </c>
      <c r="F295" t="s">
        <v>89</v>
      </c>
      <c r="G295" t="s">
        <v>90</v>
      </c>
      <c r="H295">
        <v>5</v>
      </c>
      <c r="I295">
        <v>49.13</v>
      </c>
      <c r="J295">
        <v>0.1</v>
      </c>
      <c r="K295">
        <v>221.09</v>
      </c>
      <c r="L295">
        <v>64.83</v>
      </c>
      <c r="M295" t="s">
        <v>20</v>
      </c>
    </row>
    <row r="296" spans="1:13" x14ac:dyDescent="0.3">
      <c r="A296" t="s">
        <v>977</v>
      </c>
      <c r="B296" t="s">
        <v>900</v>
      </c>
      <c r="C296" t="s">
        <v>978</v>
      </c>
      <c r="D296" s="7" t="s">
        <v>329</v>
      </c>
      <c r="E296" t="s">
        <v>32</v>
      </c>
      <c r="F296" t="s">
        <v>33</v>
      </c>
      <c r="G296" t="s">
        <v>74</v>
      </c>
      <c r="H296">
        <v>5</v>
      </c>
      <c r="I296">
        <v>204.55</v>
      </c>
      <c r="J296">
        <v>0.1</v>
      </c>
      <c r="K296">
        <v>920.48</v>
      </c>
      <c r="L296">
        <v>131.6</v>
      </c>
      <c r="M296" t="s">
        <v>35</v>
      </c>
    </row>
    <row r="297" spans="1:13" x14ac:dyDescent="0.3">
      <c r="A297" t="s">
        <v>979</v>
      </c>
      <c r="B297" t="s">
        <v>908</v>
      </c>
      <c r="C297" t="s">
        <v>980</v>
      </c>
      <c r="D297" s="7" t="s">
        <v>521</v>
      </c>
      <c r="E297" t="s">
        <v>59</v>
      </c>
      <c r="F297" t="s">
        <v>26</v>
      </c>
      <c r="G297" t="s">
        <v>84</v>
      </c>
      <c r="H297">
        <v>8</v>
      </c>
      <c r="I297">
        <v>127.28</v>
      </c>
      <c r="J297">
        <v>0.1</v>
      </c>
      <c r="K297">
        <v>916.42</v>
      </c>
      <c r="L297">
        <v>116.48</v>
      </c>
      <c r="M297" t="s">
        <v>40</v>
      </c>
    </row>
    <row r="298" spans="1:13" x14ac:dyDescent="0.3">
      <c r="A298" t="s">
        <v>981</v>
      </c>
      <c r="B298" t="s">
        <v>155</v>
      </c>
      <c r="C298" t="s">
        <v>236</v>
      </c>
      <c r="D298" s="7" t="s">
        <v>78</v>
      </c>
      <c r="E298" t="s">
        <v>32</v>
      </c>
      <c r="F298" t="s">
        <v>33</v>
      </c>
      <c r="G298" t="s">
        <v>34</v>
      </c>
      <c r="H298">
        <v>2</v>
      </c>
      <c r="I298">
        <v>146.82</v>
      </c>
      <c r="J298">
        <v>0.05</v>
      </c>
      <c r="K298">
        <v>278.95999999999998</v>
      </c>
      <c r="L298">
        <v>61.89</v>
      </c>
      <c r="M298" t="s">
        <v>40</v>
      </c>
    </row>
    <row r="299" spans="1:13" x14ac:dyDescent="0.3">
      <c r="A299" t="s">
        <v>982</v>
      </c>
      <c r="B299" t="s">
        <v>983</v>
      </c>
      <c r="C299" t="s">
        <v>984</v>
      </c>
      <c r="D299" s="7" t="s">
        <v>985</v>
      </c>
      <c r="E299" t="s">
        <v>59</v>
      </c>
      <c r="F299" t="s">
        <v>26</v>
      </c>
      <c r="G299" t="s">
        <v>27</v>
      </c>
      <c r="H299">
        <v>5</v>
      </c>
      <c r="I299">
        <v>66.59</v>
      </c>
      <c r="J299">
        <v>0</v>
      </c>
      <c r="K299">
        <v>332.95</v>
      </c>
      <c r="L299">
        <v>29.99</v>
      </c>
      <c r="M299" t="s">
        <v>35</v>
      </c>
    </row>
    <row r="300" spans="1:13" x14ac:dyDescent="0.3">
      <c r="A300" t="s">
        <v>986</v>
      </c>
      <c r="B300" t="s">
        <v>432</v>
      </c>
      <c r="C300" t="s">
        <v>879</v>
      </c>
      <c r="D300" s="7" t="s">
        <v>360</v>
      </c>
      <c r="E300" t="s">
        <v>25</v>
      </c>
      <c r="F300" t="s">
        <v>89</v>
      </c>
      <c r="G300" t="s">
        <v>131</v>
      </c>
      <c r="H300">
        <v>1</v>
      </c>
      <c r="I300">
        <v>142.96</v>
      </c>
      <c r="J300">
        <v>0.1</v>
      </c>
      <c r="K300">
        <v>128.66</v>
      </c>
      <c r="L300">
        <v>14.3</v>
      </c>
      <c r="M300" t="s">
        <v>40</v>
      </c>
    </row>
    <row r="301" spans="1:13" x14ac:dyDescent="0.3">
      <c r="A301" t="s">
        <v>987</v>
      </c>
      <c r="B301" t="s">
        <v>988</v>
      </c>
      <c r="C301" t="s">
        <v>97</v>
      </c>
      <c r="D301" s="7" t="s">
        <v>738</v>
      </c>
      <c r="E301" t="s">
        <v>32</v>
      </c>
      <c r="F301" t="s">
        <v>18</v>
      </c>
      <c r="G301" t="s">
        <v>79</v>
      </c>
      <c r="H301">
        <v>3</v>
      </c>
      <c r="I301">
        <v>88.11</v>
      </c>
      <c r="J301">
        <v>0.15</v>
      </c>
      <c r="K301">
        <v>224.68</v>
      </c>
      <c r="L301">
        <v>54.3</v>
      </c>
      <c r="M301" t="s">
        <v>20</v>
      </c>
    </row>
    <row r="302" spans="1:13" x14ac:dyDescent="0.3">
      <c r="A302" t="s">
        <v>989</v>
      </c>
      <c r="B302" t="s">
        <v>385</v>
      </c>
      <c r="C302" t="s">
        <v>486</v>
      </c>
      <c r="D302" s="7" t="s">
        <v>703</v>
      </c>
      <c r="E302" t="s">
        <v>64</v>
      </c>
      <c r="F302" t="s">
        <v>89</v>
      </c>
      <c r="G302" t="s">
        <v>131</v>
      </c>
      <c r="H302">
        <v>3</v>
      </c>
      <c r="I302">
        <v>167.6</v>
      </c>
      <c r="J302">
        <v>0</v>
      </c>
      <c r="K302">
        <v>502.8</v>
      </c>
      <c r="L302">
        <v>67.78</v>
      </c>
      <c r="M302" t="s">
        <v>20</v>
      </c>
    </row>
    <row r="303" spans="1:13" x14ac:dyDescent="0.3">
      <c r="A303" t="s">
        <v>990</v>
      </c>
      <c r="B303" t="s">
        <v>788</v>
      </c>
      <c r="C303" t="s">
        <v>991</v>
      </c>
      <c r="D303" s="7" t="s">
        <v>992</v>
      </c>
      <c r="E303" t="s">
        <v>64</v>
      </c>
      <c r="F303" t="s">
        <v>89</v>
      </c>
      <c r="G303" t="s">
        <v>150</v>
      </c>
      <c r="H303">
        <v>8</v>
      </c>
      <c r="I303">
        <v>206.4</v>
      </c>
      <c r="J303">
        <v>0.1</v>
      </c>
      <c r="K303">
        <v>1486.08</v>
      </c>
      <c r="L303">
        <v>198.7</v>
      </c>
      <c r="M303" t="s">
        <v>20</v>
      </c>
    </row>
    <row r="304" spans="1:13" x14ac:dyDescent="0.3">
      <c r="A304" t="s">
        <v>993</v>
      </c>
      <c r="B304" t="s">
        <v>56</v>
      </c>
      <c r="C304" t="s">
        <v>994</v>
      </c>
      <c r="D304" s="7" t="s">
        <v>995</v>
      </c>
      <c r="E304" t="s">
        <v>17</v>
      </c>
      <c r="F304" t="s">
        <v>26</v>
      </c>
      <c r="G304" t="s">
        <v>27</v>
      </c>
      <c r="H304">
        <v>1</v>
      </c>
      <c r="I304">
        <v>79.22</v>
      </c>
      <c r="J304">
        <v>0.15</v>
      </c>
      <c r="K304">
        <v>67.34</v>
      </c>
      <c r="L304">
        <v>8.49</v>
      </c>
      <c r="M304" t="s">
        <v>35</v>
      </c>
    </row>
    <row r="305" spans="1:13" x14ac:dyDescent="0.3">
      <c r="A305" t="s">
        <v>996</v>
      </c>
      <c r="B305" t="s">
        <v>500</v>
      </c>
      <c r="C305" t="s">
        <v>846</v>
      </c>
      <c r="D305" s="7" t="s">
        <v>997</v>
      </c>
      <c r="E305" t="s">
        <v>59</v>
      </c>
      <c r="F305" t="s">
        <v>33</v>
      </c>
      <c r="G305" t="s">
        <v>69</v>
      </c>
      <c r="H305">
        <v>5</v>
      </c>
      <c r="I305">
        <v>138.9</v>
      </c>
      <c r="J305">
        <v>0.15</v>
      </c>
      <c r="K305">
        <v>590.32000000000005</v>
      </c>
      <c r="L305">
        <v>64.650000000000006</v>
      </c>
      <c r="M305" t="s">
        <v>40</v>
      </c>
    </row>
    <row r="306" spans="1:13" x14ac:dyDescent="0.3">
      <c r="A306" t="s">
        <v>998</v>
      </c>
      <c r="B306" t="s">
        <v>999</v>
      </c>
      <c r="C306" t="s">
        <v>1000</v>
      </c>
      <c r="D306" s="7" t="s">
        <v>1001</v>
      </c>
      <c r="E306" t="s">
        <v>59</v>
      </c>
      <c r="F306" t="s">
        <v>26</v>
      </c>
      <c r="G306" t="s">
        <v>118</v>
      </c>
      <c r="H306">
        <v>8</v>
      </c>
      <c r="I306">
        <v>193.43</v>
      </c>
      <c r="J306">
        <v>0.05</v>
      </c>
      <c r="K306">
        <v>1470.07</v>
      </c>
      <c r="L306">
        <v>392.99</v>
      </c>
      <c r="M306" t="s">
        <v>20</v>
      </c>
    </row>
    <row r="307" spans="1:13" x14ac:dyDescent="0.3">
      <c r="A307" t="s">
        <v>1002</v>
      </c>
      <c r="B307" t="s">
        <v>705</v>
      </c>
      <c r="C307" t="s">
        <v>1003</v>
      </c>
      <c r="D307" s="7" t="s">
        <v>927</v>
      </c>
      <c r="E307" t="s">
        <v>64</v>
      </c>
      <c r="F307" t="s">
        <v>89</v>
      </c>
      <c r="G307" t="s">
        <v>131</v>
      </c>
      <c r="H307">
        <v>7</v>
      </c>
      <c r="I307">
        <v>50.89</v>
      </c>
      <c r="J307">
        <v>0.1</v>
      </c>
      <c r="K307">
        <v>320.61</v>
      </c>
      <c r="L307">
        <v>35.54</v>
      </c>
      <c r="M307" t="s">
        <v>35</v>
      </c>
    </row>
    <row r="308" spans="1:13" x14ac:dyDescent="0.3">
      <c r="A308" t="s">
        <v>1004</v>
      </c>
      <c r="B308" t="s">
        <v>1005</v>
      </c>
      <c r="C308" t="s">
        <v>1006</v>
      </c>
      <c r="D308" s="7" t="s">
        <v>887</v>
      </c>
      <c r="E308" t="s">
        <v>25</v>
      </c>
      <c r="F308" t="s">
        <v>18</v>
      </c>
      <c r="G308" t="s">
        <v>79</v>
      </c>
      <c r="H308">
        <v>8</v>
      </c>
      <c r="I308">
        <v>17.28</v>
      </c>
      <c r="J308">
        <v>0.05</v>
      </c>
      <c r="K308">
        <v>131.33000000000001</v>
      </c>
      <c r="L308">
        <v>10.74</v>
      </c>
      <c r="M308" t="s">
        <v>35</v>
      </c>
    </row>
    <row r="309" spans="1:13" x14ac:dyDescent="0.3">
      <c r="A309" t="s">
        <v>1007</v>
      </c>
      <c r="B309" t="s">
        <v>203</v>
      </c>
      <c r="C309" t="s">
        <v>1008</v>
      </c>
      <c r="D309" s="7" t="s">
        <v>848</v>
      </c>
      <c r="E309" t="s">
        <v>17</v>
      </c>
      <c r="F309" t="s">
        <v>33</v>
      </c>
      <c r="G309" t="s">
        <v>74</v>
      </c>
      <c r="H309">
        <v>4</v>
      </c>
      <c r="I309">
        <v>48.3</v>
      </c>
      <c r="J309">
        <v>0.05</v>
      </c>
      <c r="K309">
        <v>183.54</v>
      </c>
      <c r="L309">
        <v>54.67</v>
      </c>
      <c r="M309" t="s">
        <v>35</v>
      </c>
    </row>
    <row r="310" spans="1:13" x14ac:dyDescent="0.3">
      <c r="A310" t="s">
        <v>1009</v>
      </c>
      <c r="B310" t="s">
        <v>974</v>
      </c>
      <c r="C310" t="s">
        <v>517</v>
      </c>
      <c r="D310" s="7" t="s">
        <v>109</v>
      </c>
      <c r="E310" t="s">
        <v>25</v>
      </c>
      <c r="F310" t="s">
        <v>26</v>
      </c>
      <c r="G310" t="s">
        <v>84</v>
      </c>
      <c r="H310">
        <v>4</v>
      </c>
      <c r="I310">
        <v>61.94</v>
      </c>
      <c r="J310">
        <v>0.15</v>
      </c>
      <c r="K310">
        <v>210.6</v>
      </c>
      <c r="L310">
        <v>57.13</v>
      </c>
      <c r="M310" t="s">
        <v>20</v>
      </c>
    </row>
    <row r="311" spans="1:13" x14ac:dyDescent="0.3">
      <c r="A311" t="s">
        <v>1010</v>
      </c>
      <c r="B311" t="s">
        <v>1011</v>
      </c>
      <c r="C311" t="s">
        <v>824</v>
      </c>
      <c r="D311" s="7" t="s">
        <v>300</v>
      </c>
      <c r="E311" t="s">
        <v>64</v>
      </c>
      <c r="F311" t="s">
        <v>26</v>
      </c>
      <c r="G311" t="s">
        <v>27</v>
      </c>
      <c r="H311">
        <v>8</v>
      </c>
      <c r="I311">
        <v>120.35</v>
      </c>
      <c r="J311">
        <v>0</v>
      </c>
      <c r="K311">
        <v>962.8</v>
      </c>
      <c r="L311">
        <v>136.86000000000001</v>
      </c>
      <c r="M311" t="s">
        <v>40</v>
      </c>
    </row>
    <row r="312" spans="1:13" x14ac:dyDescent="0.3">
      <c r="A312" t="s">
        <v>1012</v>
      </c>
      <c r="B312" t="s">
        <v>1013</v>
      </c>
      <c r="C312" t="s">
        <v>152</v>
      </c>
      <c r="D312" s="7" t="s">
        <v>922</v>
      </c>
      <c r="E312" t="s">
        <v>64</v>
      </c>
      <c r="F312" t="s">
        <v>33</v>
      </c>
      <c r="G312" t="s">
        <v>69</v>
      </c>
      <c r="H312">
        <v>8</v>
      </c>
      <c r="I312">
        <v>102.75</v>
      </c>
      <c r="J312">
        <v>0.1</v>
      </c>
      <c r="K312">
        <v>739.8</v>
      </c>
      <c r="L312">
        <v>156.56</v>
      </c>
      <c r="M312" t="s">
        <v>20</v>
      </c>
    </row>
    <row r="313" spans="1:13" x14ac:dyDescent="0.3">
      <c r="A313" t="s">
        <v>1014</v>
      </c>
      <c r="B313" t="s">
        <v>1015</v>
      </c>
      <c r="C313" t="s">
        <v>1016</v>
      </c>
      <c r="D313" s="7" t="s">
        <v>383</v>
      </c>
      <c r="E313" t="s">
        <v>17</v>
      </c>
      <c r="F313" t="s">
        <v>89</v>
      </c>
      <c r="G313" t="s">
        <v>150</v>
      </c>
      <c r="H313">
        <v>5</v>
      </c>
      <c r="I313">
        <v>214.71</v>
      </c>
      <c r="J313">
        <v>0.05</v>
      </c>
      <c r="K313">
        <v>1019.87</v>
      </c>
      <c r="L313">
        <v>191.47</v>
      </c>
      <c r="M313" t="s">
        <v>40</v>
      </c>
    </row>
    <row r="314" spans="1:13" x14ac:dyDescent="0.3">
      <c r="A314" t="s">
        <v>1017</v>
      </c>
      <c r="B314" t="s">
        <v>1018</v>
      </c>
      <c r="C314" t="s">
        <v>1019</v>
      </c>
      <c r="D314" s="7" t="s">
        <v>976</v>
      </c>
      <c r="E314" t="s">
        <v>17</v>
      </c>
      <c r="F314" t="s">
        <v>33</v>
      </c>
      <c r="G314" t="s">
        <v>50</v>
      </c>
      <c r="H314">
        <v>8</v>
      </c>
      <c r="I314">
        <v>232.23</v>
      </c>
      <c r="J314">
        <v>0.1</v>
      </c>
      <c r="K314">
        <v>1672.06</v>
      </c>
      <c r="L314">
        <v>168.17</v>
      </c>
      <c r="M314" t="s">
        <v>35</v>
      </c>
    </row>
    <row r="315" spans="1:13" x14ac:dyDescent="0.3">
      <c r="A315" t="s">
        <v>1020</v>
      </c>
      <c r="B315" t="s">
        <v>180</v>
      </c>
      <c r="C315" t="s">
        <v>575</v>
      </c>
      <c r="D315" s="7" t="s">
        <v>406</v>
      </c>
      <c r="E315" t="s">
        <v>64</v>
      </c>
      <c r="F315" t="s">
        <v>18</v>
      </c>
      <c r="G315" t="s">
        <v>19</v>
      </c>
      <c r="H315">
        <v>8</v>
      </c>
      <c r="I315">
        <v>222.73</v>
      </c>
      <c r="J315">
        <v>0</v>
      </c>
      <c r="K315">
        <v>1781.84</v>
      </c>
      <c r="L315">
        <v>262.16000000000003</v>
      </c>
      <c r="M315" t="s">
        <v>35</v>
      </c>
    </row>
    <row r="316" spans="1:13" x14ac:dyDescent="0.3">
      <c r="A316" t="s">
        <v>1021</v>
      </c>
      <c r="B316" t="s">
        <v>42</v>
      </c>
      <c r="C316" t="s">
        <v>134</v>
      </c>
      <c r="D316" s="7" t="s">
        <v>1022</v>
      </c>
      <c r="E316" t="s">
        <v>25</v>
      </c>
      <c r="F316" t="s">
        <v>89</v>
      </c>
      <c r="G316" t="s">
        <v>150</v>
      </c>
      <c r="H316">
        <v>2</v>
      </c>
      <c r="I316">
        <v>243.31</v>
      </c>
      <c r="J316">
        <v>0.1</v>
      </c>
      <c r="K316">
        <v>437.96</v>
      </c>
      <c r="L316">
        <v>126.1</v>
      </c>
      <c r="M316" t="s">
        <v>40</v>
      </c>
    </row>
    <row r="317" spans="1:13" x14ac:dyDescent="0.3">
      <c r="A317" t="s">
        <v>1023</v>
      </c>
      <c r="B317" t="s">
        <v>420</v>
      </c>
      <c r="C317" t="s">
        <v>527</v>
      </c>
      <c r="D317" s="7" t="s">
        <v>138</v>
      </c>
      <c r="E317" t="s">
        <v>25</v>
      </c>
      <c r="F317" t="s">
        <v>26</v>
      </c>
      <c r="G317" t="s">
        <v>27</v>
      </c>
      <c r="H317">
        <v>3</v>
      </c>
      <c r="I317">
        <v>50.96</v>
      </c>
      <c r="J317">
        <v>0.05</v>
      </c>
      <c r="K317">
        <v>145.24</v>
      </c>
      <c r="L317">
        <v>40.47</v>
      </c>
      <c r="M317" t="s">
        <v>40</v>
      </c>
    </row>
    <row r="318" spans="1:13" x14ac:dyDescent="0.3">
      <c r="A318" t="s">
        <v>1024</v>
      </c>
      <c r="B318" t="s">
        <v>1025</v>
      </c>
      <c r="C318" t="s">
        <v>1026</v>
      </c>
      <c r="D318" s="7" t="s">
        <v>1027</v>
      </c>
      <c r="E318" t="s">
        <v>59</v>
      </c>
      <c r="F318" t="s">
        <v>89</v>
      </c>
      <c r="G318" t="s">
        <v>90</v>
      </c>
      <c r="H318">
        <v>6</v>
      </c>
      <c r="I318">
        <v>215.68</v>
      </c>
      <c r="J318">
        <v>0.1</v>
      </c>
      <c r="K318">
        <v>1164.67</v>
      </c>
      <c r="L318">
        <v>157.54</v>
      </c>
      <c r="M318" t="s">
        <v>40</v>
      </c>
    </row>
    <row r="319" spans="1:13" x14ac:dyDescent="0.3">
      <c r="A319" t="s">
        <v>1028</v>
      </c>
      <c r="B319" t="s">
        <v>1029</v>
      </c>
      <c r="C319" t="s">
        <v>1030</v>
      </c>
      <c r="D319" s="7" t="s">
        <v>1031</v>
      </c>
      <c r="E319" t="s">
        <v>64</v>
      </c>
      <c r="F319" t="s">
        <v>33</v>
      </c>
      <c r="G319" t="s">
        <v>50</v>
      </c>
      <c r="H319">
        <v>1</v>
      </c>
      <c r="I319">
        <v>147.68</v>
      </c>
      <c r="J319">
        <v>0.05</v>
      </c>
      <c r="K319">
        <v>140.30000000000001</v>
      </c>
      <c r="L319">
        <v>27.31</v>
      </c>
      <c r="M319" t="s">
        <v>40</v>
      </c>
    </row>
    <row r="320" spans="1:13" x14ac:dyDescent="0.3">
      <c r="A320" t="s">
        <v>1032</v>
      </c>
      <c r="B320" t="s">
        <v>86</v>
      </c>
      <c r="C320" t="s">
        <v>1033</v>
      </c>
      <c r="D320" s="7" t="s">
        <v>612</v>
      </c>
      <c r="E320" t="s">
        <v>64</v>
      </c>
      <c r="F320" t="s">
        <v>33</v>
      </c>
      <c r="G320" t="s">
        <v>69</v>
      </c>
      <c r="H320">
        <v>7</v>
      </c>
      <c r="I320">
        <v>124.95</v>
      </c>
      <c r="J320">
        <v>0.15</v>
      </c>
      <c r="K320">
        <v>743.45</v>
      </c>
      <c r="L320">
        <v>189.85</v>
      </c>
      <c r="M320" t="s">
        <v>40</v>
      </c>
    </row>
    <row r="321" spans="1:13" x14ac:dyDescent="0.3">
      <c r="A321" t="s">
        <v>1034</v>
      </c>
      <c r="B321" t="s">
        <v>1035</v>
      </c>
      <c r="C321" t="s">
        <v>684</v>
      </c>
      <c r="D321" s="7" t="s">
        <v>434</v>
      </c>
      <c r="E321" t="s">
        <v>64</v>
      </c>
      <c r="F321" t="s">
        <v>33</v>
      </c>
      <c r="G321" t="s">
        <v>50</v>
      </c>
      <c r="H321">
        <v>8</v>
      </c>
      <c r="I321">
        <v>104.11</v>
      </c>
      <c r="J321">
        <v>0.15</v>
      </c>
      <c r="K321">
        <v>707.95</v>
      </c>
      <c r="L321">
        <v>204.6</v>
      </c>
      <c r="M321" t="s">
        <v>20</v>
      </c>
    </row>
    <row r="322" spans="1:13" x14ac:dyDescent="0.3">
      <c r="A322" t="s">
        <v>1036</v>
      </c>
      <c r="B322" t="s">
        <v>1037</v>
      </c>
      <c r="C322" t="s">
        <v>243</v>
      </c>
      <c r="D322" s="7" t="s">
        <v>1038</v>
      </c>
      <c r="E322" t="s">
        <v>59</v>
      </c>
      <c r="F322" t="s">
        <v>33</v>
      </c>
      <c r="G322" t="s">
        <v>50</v>
      </c>
      <c r="H322">
        <v>2</v>
      </c>
      <c r="I322">
        <v>108.13</v>
      </c>
      <c r="J322">
        <v>0.15</v>
      </c>
      <c r="K322">
        <v>183.82</v>
      </c>
      <c r="L322">
        <v>28.47</v>
      </c>
      <c r="M322" t="s">
        <v>35</v>
      </c>
    </row>
    <row r="323" spans="1:13" x14ac:dyDescent="0.3">
      <c r="A323" t="s">
        <v>1039</v>
      </c>
      <c r="B323" t="s">
        <v>252</v>
      </c>
      <c r="C323" t="s">
        <v>101</v>
      </c>
      <c r="D323" s="7" t="s">
        <v>466</v>
      </c>
      <c r="E323" t="s">
        <v>25</v>
      </c>
      <c r="F323" t="s">
        <v>33</v>
      </c>
      <c r="G323" t="s">
        <v>74</v>
      </c>
      <c r="H323">
        <v>6</v>
      </c>
      <c r="I323">
        <v>18.16</v>
      </c>
      <c r="J323">
        <v>0.15</v>
      </c>
      <c r="K323">
        <v>92.62</v>
      </c>
      <c r="L323">
        <v>25.86</v>
      </c>
      <c r="M323" t="s">
        <v>35</v>
      </c>
    </row>
    <row r="324" spans="1:13" x14ac:dyDescent="0.3">
      <c r="A324" t="s">
        <v>1040</v>
      </c>
      <c r="B324" t="s">
        <v>657</v>
      </c>
      <c r="C324" t="s">
        <v>514</v>
      </c>
      <c r="D324" s="7" t="s">
        <v>1041</v>
      </c>
      <c r="E324" t="s">
        <v>32</v>
      </c>
      <c r="F324" t="s">
        <v>18</v>
      </c>
      <c r="G324" t="s">
        <v>79</v>
      </c>
      <c r="H324">
        <v>1</v>
      </c>
      <c r="I324">
        <v>200.48</v>
      </c>
      <c r="J324">
        <v>0</v>
      </c>
      <c r="K324">
        <v>200.48</v>
      </c>
      <c r="L324">
        <v>54.96</v>
      </c>
      <c r="M324" t="s">
        <v>20</v>
      </c>
    </row>
    <row r="325" spans="1:13" x14ac:dyDescent="0.3">
      <c r="A325" t="s">
        <v>1042</v>
      </c>
      <c r="B325" t="s">
        <v>1043</v>
      </c>
      <c r="C325" t="s">
        <v>1044</v>
      </c>
      <c r="D325" s="7" t="s">
        <v>1038</v>
      </c>
      <c r="E325" t="s">
        <v>25</v>
      </c>
      <c r="F325" t="s">
        <v>26</v>
      </c>
      <c r="G325" t="s">
        <v>118</v>
      </c>
      <c r="H325">
        <v>8</v>
      </c>
      <c r="I325">
        <v>200.91</v>
      </c>
      <c r="J325">
        <v>0.15</v>
      </c>
      <c r="K325">
        <v>1366.19</v>
      </c>
      <c r="L325">
        <v>321.08</v>
      </c>
      <c r="M325" t="s">
        <v>20</v>
      </c>
    </row>
    <row r="326" spans="1:13" x14ac:dyDescent="0.3">
      <c r="A326" t="s">
        <v>1045</v>
      </c>
      <c r="B326" t="s">
        <v>676</v>
      </c>
      <c r="C326" t="s">
        <v>1046</v>
      </c>
      <c r="D326" s="7" t="s">
        <v>1047</v>
      </c>
      <c r="E326" t="s">
        <v>59</v>
      </c>
      <c r="F326" t="s">
        <v>18</v>
      </c>
      <c r="G326" t="s">
        <v>79</v>
      </c>
      <c r="H326">
        <v>4</v>
      </c>
      <c r="I326">
        <v>52.55</v>
      </c>
      <c r="J326">
        <v>0</v>
      </c>
      <c r="K326">
        <v>210.2</v>
      </c>
      <c r="L326">
        <v>52.28</v>
      </c>
      <c r="M326" t="s">
        <v>35</v>
      </c>
    </row>
    <row r="327" spans="1:13" x14ac:dyDescent="0.3">
      <c r="A327" t="s">
        <v>1048</v>
      </c>
      <c r="B327" t="s">
        <v>1049</v>
      </c>
      <c r="C327" t="s">
        <v>1050</v>
      </c>
      <c r="D327" s="7" t="s">
        <v>1051</v>
      </c>
      <c r="E327" t="s">
        <v>32</v>
      </c>
      <c r="F327" t="s">
        <v>89</v>
      </c>
      <c r="G327" t="s">
        <v>90</v>
      </c>
      <c r="H327">
        <v>3</v>
      </c>
      <c r="I327">
        <v>133.09</v>
      </c>
      <c r="J327">
        <v>0.15</v>
      </c>
      <c r="K327">
        <v>339.38</v>
      </c>
      <c r="L327">
        <v>55.56</v>
      </c>
      <c r="M327" t="s">
        <v>20</v>
      </c>
    </row>
    <row r="328" spans="1:13" x14ac:dyDescent="0.3">
      <c r="A328" t="s">
        <v>1052</v>
      </c>
      <c r="B328" t="s">
        <v>199</v>
      </c>
      <c r="C328" t="s">
        <v>346</v>
      </c>
      <c r="D328" s="7" t="s">
        <v>1053</v>
      </c>
      <c r="E328" t="s">
        <v>17</v>
      </c>
      <c r="F328" t="s">
        <v>18</v>
      </c>
      <c r="G328" t="s">
        <v>79</v>
      </c>
      <c r="H328">
        <v>3</v>
      </c>
      <c r="I328">
        <v>58.72</v>
      </c>
      <c r="J328">
        <v>0.1</v>
      </c>
      <c r="K328">
        <v>158.54</v>
      </c>
      <c r="L328">
        <v>45.29</v>
      </c>
      <c r="M328" t="s">
        <v>20</v>
      </c>
    </row>
    <row r="329" spans="1:13" x14ac:dyDescent="0.3">
      <c r="A329" t="s">
        <v>1054</v>
      </c>
      <c r="B329" t="s">
        <v>1055</v>
      </c>
      <c r="C329" t="s">
        <v>409</v>
      </c>
      <c r="D329" s="7" t="s">
        <v>1056</v>
      </c>
      <c r="E329" t="s">
        <v>32</v>
      </c>
      <c r="F329" t="s">
        <v>33</v>
      </c>
      <c r="G329" t="s">
        <v>34</v>
      </c>
      <c r="H329">
        <v>2</v>
      </c>
      <c r="I329">
        <v>238.04</v>
      </c>
      <c r="J329">
        <v>0.05</v>
      </c>
      <c r="K329">
        <v>452.28</v>
      </c>
      <c r="L329">
        <v>54.73</v>
      </c>
      <c r="M329" t="s">
        <v>35</v>
      </c>
    </row>
    <row r="330" spans="1:13" x14ac:dyDescent="0.3">
      <c r="A330" t="s">
        <v>1057</v>
      </c>
      <c r="B330" t="s">
        <v>282</v>
      </c>
      <c r="C330" t="s">
        <v>861</v>
      </c>
      <c r="D330" s="7" t="s">
        <v>688</v>
      </c>
      <c r="E330" t="s">
        <v>64</v>
      </c>
      <c r="F330" t="s">
        <v>89</v>
      </c>
      <c r="G330" t="s">
        <v>150</v>
      </c>
      <c r="H330">
        <v>2</v>
      </c>
      <c r="I330">
        <v>227.72</v>
      </c>
      <c r="J330">
        <v>0.05</v>
      </c>
      <c r="K330">
        <v>432.67</v>
      </c>
      <c r="L330">
        <v>106.52</v>
      </c>
      <c r="M330" t="s">
        <v>35</v>
      </c>
    </row>
    <row r="331" spans="1:13" x14ac:dyDescent="0.3">
      <c r="A331" t="s">
        <v>1058</v>
      </c>
      <c r="B331" t="s">
        <v>1059</v>
      </c>
      <c r="C331" t="s">
        <v>1060</v>
      </c>
      <c r="D331" s="7" t="s">
        <v>1061</v>
      </c>
      <c r="E331" t="s">
        <v>17</v>
      </c>
      <c r="F331" t="s">
        <v>33</v>
      </c>
      <c r="G331" t="s">
        <v>34</v>
      </c>
      <c r="H331">
        <v>5</v>
      </c>
      <c r="I331">
        <v>159.22999999999999</v>
      </c>
      <c r="J331">
        <v>0.15</v>
      </c>
      <c r="K331">
        <v>676.73</v>
      </c>
      <c r="L331">
        <v>105.87</v>
      </c>
      <c r="M331" t="s">
        <v>40</v>
      </c>
    </row>
    <row r="332" spans="1:13" x14ac:dyDescent="0.3">
      <c r="A332" t="s">
        <v>1062</v>
      </c>
      <c r="B332" t="s">
        <v>603</v>
      </c>
      <c r="C332" t="s">
        <v>1063</v>
      </c>
      <c r="D332" s="7" t="s">
        <v>1064</v>
      </c>
      <c r="E332" t="s">
        <v>25</v>
      </c>
      <c r="F332" t="s">
        <v>18</v>
      </c>
      <c r="G332" t="s">
        <v>19</v>
      </c>
      <c r="H332">
        <v>7</v>
      </c>
      <c r="I332">
        <v>10.029999999999999</v>
      </c>
      <c r="J332">
        <v>0.1</v>
      </c>
      <c r="K332">
        <v>63.19</v>
      </c>
      <c r="L332">
        <v>9.5299999999999994</v>
      </c>
      <c r="M332" t="s">
        <v>20</v>
      </c>
    </row>
    <row r="333" spans="1:13" x14ac:dyDescent="0.3">
      <c r="A333" t="s">
        <v>1065</v>
      </c>
      <c r="B333" t="s">
        <v>1059</v>
      </c>
      <c r="C333" t="s">
        <v>1066</v>
      </c>
      <c r="D333" s="7" t="s">
        <v>1067</v>
      </c>
      <c r="E333" t="s">
        <v>25</v>
      </c>
      <c r="F333" t="s">
        <v>33</v>
      </c>
      <c r="G333" t="s">
        <v>50</v>
      </c>
      <c r="H333">
        <v>3</v>
      </c>
      <c r="I333">
        <v>42.73</v>
      </c>
      <c r="J333">
        <v>0</v>
      </c>
      <c r="K333">
        <v>128.19</v>
      </c>
      <c r="L333">
        <v>25.7</v>
      </c>
      <c r="M333" t="s">
        <v>40</v>
      </c>
    </row>
    <row r="334" spans="1:13" x14ac:dyDescent="0.3">
      <c r="A334" t="s">
        <v>1068</v>
      </c>
      <c r="B334" t="s">
        <v>793</v>
      </c>
      <c r="C334" t="s">
        <v>1069</v>
      </c>
      <c r="D334" s="7" t="s">
        <v>54</v>
      </c>
      <c r="E334" t="s">
        <v>59</v>
      </c>
      <c r="F334" t="s">
        <v>33</v>
      </c>
      <c r="G334" t="s">
        <v>69</v>
      </c>
      <c r="H334">
        <v>8</v>
      </c>
      <c r="I334">
        <v>155.49</v>
      </c>
      <c r="J334">
        <v>0.05</v>
      </c>
      <c r="K334">
        <v>1181.72</v>
      </c>
      <c r="L334">
        <v>161.80000000000001</v>
      </c>
      <c r="M334" t="s">
        <v>35</v>
      </c>
    </row>
    <row r="335" spans="1:13" x14ac:dyDescent="0.3">
      <c r="A335" t="s">
        <v>1070</v>
      </c>
      <c r="B335" t="s">
        <v>616</v>
      </c>
      <c r="C335" t="s">
        <v>1071</v>
      </c>
      <c r="D335" s="7" t="s">
        <v>1072</v>
      </c>
      <c r="E335" t="s">
        <v>32</v>
      </c>
      <c r="F335" t="s">
        <v>89</v>
      </c>
      <c r="G335" t="s">
        <v>150</v>
      </c>
      <c r="H335">
        <v>4</v>
      </c>
      <c r="I335">
        <v>189.68</v>
      </c>
      <c r="J335">
        <v>0.05</v>
      </c>
      <c r="K335">
        <v>720.78</v>
      </c>
      <c r="L335">
        <v>182.64</v>
      </c>
      <c r="M335" t="s">
        <v>40</v>
      </c>
    </row>
    <row r="336" spans="1:13" x14ac:dyDescent="0.3">
      <c r="A336" t="s">
        <v>1073</v>
      </c>
      <c r="B336" t="s">
        <v>489</v>
      </c>
      <c r="C336" t="s">
        <v>1074</v>
      </c>
      <c r="D336" s="7" t="s">
        <v>1075</v>
      </c>
      <c r="E336" t="s">
        <v>64</v>
      </c>
      <c r="F336" t="s">
        <v>18</v>
      </c>
      <c r="G336" t="s">
        <v>45</v>
      </c>
      <c r="H336">
        <v>2</v>
      </c>
      <c r="I336">
        <v>75.55</v>
      </c>
      <c r="J336">
        <v>0.15</v>
      </c>
      <c r="K336">
        <v>128.44</v>
      </c>
      <c r="L336">
        <v>31.58</v>
      </c>
      <c r="M336" t="s">
        <v>35</v>
      </c>
    </row>
    <row r="337" spans="1:13" x14ac:dyDescent="0.3">
      <c r="A337" t="s">
        <v>1076</v>
      </c>
      <c r="B337" t="s">
        <v>420</v>
      </c>
      <c r="C337" t="s">
        <v>608</v>
      </c>
      <c r="D337" s="7" t="s">
        <v>1077</v>
      </c>
      <c r="E337" t="s">
        <v>32</v>
      </c>
      <c r="F337" t="s">
        <v>26</v>
      </c>
      <c r="G337" t="s">
        <v>118</v>
      </c>
      <c r="H337">
        <v>3</v>
      </c>
      <c r="I337">
        <v>80.81</v>
      </c>
      <c r="J337">
        <v>0</v>
      </c>
      <c r="K337">
        <v>242.43</v>
      </c>
      <c r="L337">
        <v>34.270000000000003</v>
      </c>
      <c r="M337" t="s">
        <v>40</v>
      </c>
    </row>
    <row r="338" spans="1:13" x14ac:dyDescent="0.3">
      <c r="A338" t="s">
        <v>1078</v>
      </c>
      <c r="B338" t="s">
        <v>359</v>
      </c>
      <c r="C338" t="s">
        <v>1079</v>
      </c>
      <c r="D338" s="7" t="s">
        <v>280</v>
      </c>
      <c r="E338" t="s">
        <v>17</v>
      </c>
      <c r="F338" t="s">
        <v>89</v>
      </c>
      <c r="G338" t="s">
        <v>131</v>
      </c>
      <c r="H338">
        <v>4</v>
      </c>
      <c r="I338">
        <v>72.010000000000005</v>
      </c>
      <c r="J338">
        <v>0.15</v>
      </c>
      <c r="K338">
        <v>244.83</v>
      </c>
      <c r="L338">
        <v>62.67</v>
      </c>
      <c r="M338" t="s">
        <v>35</v>
      </c>
    </row>
    <row r="339" spans="1:13" x14ac:dyDescent="0.3">
      <c r="A339" t="s">
        <v>1080</v>
      </c>
      <c r="B339" t="s">
        <v>1081</v>
      </c>
      <c r="C339" t="s">
        <v>1082</v>
      </c>
      <c r="D339" s="7" t="s">
        <v>1067</v>
      </c>
      <c r="E339" t="s">
        <v>25</v>
      </c>
      <c r="F339" t="s">
        <v>18</v>
      </c>
      <c r="G339" t="s">
        <v>45</v>
      </c>
      <c r="H339">
        <v>7</v>
      </c>
      <c r="I339">
        <v>27.89</v>
      </c>
      <c r="J339">
        <v>0.15</v>
      </c>
      <c r="K339">
        <v>165.95</v>
      </c>
      <c r="L339">
        <v>25.67</v>
      </c>
      <c r="M339" t="s">
        <v>20</v>
      </c>
    </row>
    <row r="340" spans="1:13" x14ac:dyDescent="0.3">
      <c r="A340" t="s">
        <v>1083</v>
      </c>
      <c r="B340" t="s">
        <v>223</v>
      </c>
      <c r="C340" t="s">
        <v>824</v>
      </c>
      <c r="D340" s="7" t="s">
        <v>1084</v>
      </c>
      <c r="E340" t="s">
        <v>59</v>
      </c>
      <c r="F340" t="s">
        <v>33</v>
      </c>
      <c r="G340" t="s">
        <v>74</v>
      </c>
      <c r="H340">
        <v>4</v>
      </c>
      <c r="I340">
        <v>36.270000000000003</v>
      </c>
      <c r="J340">
        <v>0.1</v>
      </c>
      <c r="K340">
        <v>130.57</v>
      </c>
      <c r="L340">
        <v>26.36</v>
      </c>
      <c r="M340" t="s">
        <v>35</v>
      </c>
    </row>
    <row r="341" spans="1:13" x14ac:dyDescent="0.3">
      <c r="A341" t="s">
        <v>1085</v>
      </c>
      <c r="B341" t="s">
        <v>302</v>
      </c>
      <c r="C341" t="s">
        <v>291</v>
      </c>
      <c r="D341" s="7" t="s">
        <v>109</v>
      </c>
      <c r="E341" t="s">
        <v>64</v>
      </c>
      <c r="F341" t="s">
        <v>89</v>
      </c>
      <c r="G341" t="s">
        <v>131</v>
      </c>
      <c r="H341">
        <v>6</v>
      </c>
      <c r="I341">
        <v>209.8</v>
      </c>
      <c r="J341">
        <v>0.05</v>
      </c>
      <c r="K341">
        <v>1195.8599999999999</v>
      </c>
      <c r="L341">
        <v>291.57</v>
      </c>
      <c r="M341" t="s">
        <v>40</v>
      </c>
    </row>
    <row r="342" spans="1:13" x14ac:dyDescent="0.3">
      <c r="A342" t="s">
        <v>1086</v>
      </c>
      <c r="B342" t="s">
        <v>341</v>
      </c>
      <c r="C342" t="s">
        <v>1087</v>
      </c>
      <c r="D342" s="7" t="s">
        <v>965</v>
      </c>
      <c r="E342" t="s">
        <v>17</v>
      </c>
      <c r="F342" t="s">
        <v>89</v>
      </c>
      <c r="G342" t="s">
        <v>131</v>
      </c>
      <c r="H342">
        <v>4</v>
      </c>
      <c r="I342">
        <v>213.46</v>
      </c>
      <c r="J342">
        <v>0</v>
      </c>
      <c r="K342">
        <v>853.84</v>
      </c>
      <c r="L342">
        <v>90.91</v>
      </c>
      <c r="M342" t="s">
        <v>40</v>
      </c>
    </row>
    <row r="343" spans="1:13" x14ac:dyDescent="0.3">
      <c r="A343" t="s">
        <v>1088</v>
      </c>
      <c r="B343" t="s">
        <v>1089</v>
      </c>
      <c r="C343" t="s">
        <v>1090</v>
      </c>
      <c r="D343" s="7" t="s">
        <v>269</v>
      </c>
      <c r="E343" t="s">
        <v>25</v>
      </c>
      <c r="F343" t="s">
        <v>26</v>
      </c>
      <c r="G343" t="s">
        <v>27</v>
      </c>
      <c r="H343">
        <v>3</v>
      </c>
      <c r="I343">
        <v>118.57</v>
      </c>
      <c r="J343">
        <v>0.05</v>
      </c>
      <c r="K343">
        <v>337.92</v>
      </c>
      <c r="L343">
        <v>31.69</v>
      </c>
      <c r="M343" t="s">
        <v>20</v>
      </c>
    </row>
    <row r="344" spans="1:13" x14ac:dyDescent="0.3">
      <c r="A344" t="s">
        <v>1091</v>
      </c>
      <c r="B344" t="s">
        <v>147</v>
      </c>
      <c r="C344" t="s">
        <v>1092</v>
      </c>
      <c r="D344" s="7" t="s">
        <v>402</v>
      </c>
      <c r="E344" t="s">
        <v>32</v>
      </c>
      <c r="F344" t="s">
        <v>26</v>
      </c>
      <c r="G344" t="s">
        <v>27</v>
      </c>
      <c r="H344">
        <v>3</v>
      </c>
      <c r="I344">
        <v>39.340000000000003</v>
      </c>
      <c r="J344">
        <v>0.1</v>
      </c>
      <c r="K344">
        <v>106.22</v>
      </c>
      <c r="L344">
        <v>23.54</v>
      </c>
      <c r="M344" t="s">
        <v>40</v>
      </c>
    </row>
    <row r="345" spans="1:13" x14ac:dyDescent="0.3">
      <c r="A345" t="s">
        <v>1093</v>
      </c>
      <c r="B345" t="s">
        <v>705</v>
      </c>
      <c r="C345" t="s">
        <v>1094</v>
      </c>
      <c r="D345" s="7" t="s">
        <v>83</v>
      </c>
      <c r="E345" t="s">
        <v>32</v>
      </c>
      <c r="F345" t="s">
        <v>33</v>
      </c>
      <c r="G345" t="s">
        <v>69</v>
      </c>
      <c r="H345">
        <v>3</v>
      </c>
      <c r="I345">
        <v>33.79</v>
      </c>
      <c r="J345">
        <v>0</v>
      </c>
      <c r="K345">
        <v>101.37</v>
      </c>
      <c r="L345">
        <v>26.71</v>
      </c>
      <c r="M345" t="s">
        <v>35</v>
      </c>
    </row>
    <row r="346" spans="1:13" x14ac:dyDescent="0.3">
      <c r="A346" t="s">
        <v>1095</v>
      </c>
      <c r="B346" t="s">
        <v>782</v>
      </c>
      <c r="C346" t="s">
        <v>1096</v>
      </c>
      <c r="D346" s="7" t="s">
        <v>754</v>
      </c>
      <c r="E346" t="s">
        <v>25</v>
      </c>
      <c r="F346" t="s">
        <v>18</v>
      </c>
      <c r="G346" t="s">
        <v>19</v>
      </c>
      <c r="H346">
        <v>2</v>
      </c>
      <c r="I346">
        <v>93.1</v>
      </c>
      <c r="J346">
        <v>0.05</v>
      </c>
      <c r="K346">
        <v>176.89</v>
      </c>
      <c r="L346">
        <v>42.88</v>
      </c>
      <c r="M346" t="s">
        <v>40</v>
      </c>
    </row>
    <row r="347" spans="1:13" x14ac:dyDescent="0.3">
      <c r="A347" t="s">
        <v>1097</v>
      </c>
      <c r="B347" t="s">
        <v>1098</v>
      </c>
      <c r="C347" t="s">
        <v>1030</v>
      </c>
      <c r="D347" s="7" t="s">
        <v>138</v>
      </c>
      <c r="E347" t="s">
        <v>17</v>
      </c>
      <c r="F347" t="s">
        <v>89</v>
      </c>
      <c r="G347" t="s">
        <v>131</v>
      </c>
      <c r="H347">
        <v>4</v>
      </c>
      <c r="I347">
        <v>105.05</v>
      </c>
      <c r="J347">
        <v>0.15</v>
      </c>
      <c r="K347">
        <v>357.17</v>
      </c>
      <c r="L347">
        <v>69.69</v>
      </c>
      <c r="M347" t="s">
        <v>40</v>
      </c>
    </row>
    <row r="348" spans="1:13" x14ac:dyDescent="0.3">
      <c r="A348" t="s">
        <v>1099</v>
      </c>
      <c r="B348" t="s">
        <v>86</v>
      </c>
      <c r="C348" t="s">
        <v>912</v>
      </c>
      <c r="D348" s="7" t="s">
        <v>130</v>
      </c>
      <c r="E348" t="s">
        <v>59</v>
      </c>
      <c r="F348" t="s">
        <v>89</v>
      </c>
      <c r="G348" t="s">
        <v>150</v>
      </c>
      <c r="H348">
        <v>7</v>
      </c>
      <c r="I348">
        <v>131.13</v>
      </c>
      <c r="J348">
        <v>0</v>
      </c>
      <c r="K348">
        <v>917.91</v>
      </c>
      <c r="L348">
        <v>257.74</v>
      </c>
      <c r="M348" t="s">
        <v>40</v>
      </c>
    </row>
    <row r="349" spans="1:13" x14ac:dyDescent="0.3">
      <c r="A349" t="s">
        <v>1100</v>
      </c>
      <c r="B349" t="s">
        <v>1101</v>
      </c>
      <c r="C349" t="s">
        <v>1102</v>
      </c>
      <c r="D349" s="7" t="s">
        <v>1103</v>
      </c>
      <c r="E349" t="s">
        <v>25</v>
      </c>
      <c r="F349" t="s">
        <v>26</v>
      </c>
      <c r="G349" t="s">
        <v>118</v>
      </c>
      <c r="H349">
        <v>1</v>
      </c>
      <c r="I349">
        <v>77.72</v>
      </c>
      <c r="J349">
        <v>0.15</v>
      </c>
      <c r="K349">
        <v>66.06</v>
      </c>
      <c r="L349">
        <v>11.46</v>
      </c>
      <c r="M349" t="s">
        <v>20</v>
      </c>
    </row>
    <row r="350" spans="1:13" x14ac:dyDescent="0.3">
      <c r="A350" t="s">
        <v>1104</v>
      </c>
      <c r="B350" t="s">
        <v>1105</v>
      </c>
      <c r="C350" t="s">
        <v>490</v>
      </c>
      <c r="D350" s="7" t="s">
        <v>1106</v>
      </c>
      <c r="E350" t="s">
        <v>59</v>
      </c>
      <c r="F350" t="s">
        <v>18</v>
      </c>
      <c r="G350" t="s">
        <v>45</v>
      </c>
      <c r="H350">
        <v>5</v>
      </c>
      <c r="I350">
        <v>36.1</v>
      </c>
      <c r="J350">
        <v>0.15</v>
      </c>
      <c r="K350">
        <v>153.41999999999999</v>
      </c>
      <c r="L350">
        <v>33.33</v>
      </c>
      <c r="M350" t="s">
        <v>20</v>
      </c>
    </row>
    <row r="351" spans="1:13" x14ac:dyDescent="0.3">
      <c r="A351" t="s">
        <v>1107</v>
      </c>
      <c r="B351" t="s">
        <v>1108</v>
      </c>
      <c r="C351" t="s">
        <v>1090</v>
      </c>
      <c r="D351" s="7" t="s">
        <v>197</v>
      </c>
      <c r="E351" t="s">
        <v>17</v>
      </c>
      <c r="F351" t="s">
        <v>33</v>
      </c>
      <c r="G351" t="s">
        <v>50</v>
      </c>
      <c r="H351">
        <v>1</v>
      </c>
      <c r="I351">
        <v>148.65</v>
      </c>
      <c r="J351">
        <v>0.1</v>
      </c>
      <c r="K351">
        <v>133.78</v>
      </c>
      <c r="L351">
        <v>29.52</v>
      </c>
      <c r="M351" t="s">
        <v>20</v>
      </c>
    </row>
    <row r="352" spans="1:13" x14ac:dyDescent="0.3">
      <c r="A352" t="s">
        <v>1109</v>
      </c>
      <c r="B352" t="s">
        <v>534</v>
      </c>
      <c r="C352" t="s">
        <v>1110</v>
      </c>
      <c r="D352" s="7" t="s">
        <v>1084</v>
      </c>
      <c r="E352" t="s">
        <v>32</v>
      </c>
      <c r="F352" t="s">
        <v>26</v>
      </c>
      <c r="G352" t="s">
        <v>27</v>
      </c>
      <c r="H352">
        <v>3</v>
      </c>
      <c r="I352">
        <v>182.83</v>
      </c>
      <c r="J352">
        <v>0</v>
      </c>
      <c r="K352">
        <v>548.49</v>
      </c>
      <c r="L352">
        <v>45.77</v>
      </c>
      <c r="M352" t="s">
        <v>20</v>
      </c>
    </row>
    <row r="353" spans="1:13" x14ac:dyDescent="0.3">
      <c r="A353" t="s">
        <v>1111</v>
      </c>
      <c r="B353" t="s">
        <v>1112</v>
      </c>
      <c r="C353" t="s">
        <v>1113</v>
      </c>
      <c r="D353" s="7" t="s">
        <v>1114</v>
      </c>
      <c r="E353" t="s">
        <v>59</v>
      </c>
      <c r="F353" t="s">
        <v>89</v>
      </c>
      <c r="G353" t="s">
        <v>90</v>
      </c>
      <c r="H353">
        <v>2</v>
      </c>
      <c r="I353">
        <v>167.43</v>
      </c>
      <c r="J353">
        <v>0.1</v>
      </c>
      <c r="K353">
        <v>301.37</v>
      </c>
      <c r="L353">
        <v>37.659999999999997</v>
      </c>
      <c r="M353" t="s">
        <v>35</v>
      </c>
    </row>
    <row r="354" spans="1:13" x14ac:dyDescent="0.3">
      <c r="A354" t="s">
        <v>1115</v>
      </c>
      <c r="B354" t="s">
        <v>1116</v>
      </c>
      <c r="C354" t="s">
        <v>148</v>
      </c>
      <c r="D354" s="7" t="s">
        <v>839</v>
      </c>
      <c r="E354" t="s">
        <v>32</v>
      </c>
      <c r="F354" t="s">
        <v>18</v>
      </c>
      <c r="G354" t="s">
        <v>45</v>
      </c>
      <c r="H354">
        <v>2</v>
      </c>
      <c r="I354">
        <v>88.47</v>
      </c>
      <c r="J354">
        <v>0.1</v>
      </c>
      <c r="K354">
        <v>159.25</v>
      </c>
      <c r="L354">
        <v>29.02</v>
      </c>
      <c r="M354" t="s">
        <v>35</v>
      </c>
    </row>
    <row r="355" spans="1:13" x14ac:dyDescent="0.3">
      <c r="A355" t="s">
        <v>1117</v>
      </c>
      <c r="B355" t="s">
        <v>1118</v>
      </c>
      <c r="C355" t="s">
        <v>1119</v>
      </c>
      <c r="D355" s="7" t="s">
        <v>201</v>
      </c>
      <c r="E355" t="s">
        <v>59</v>
      </c>
      <c r="F355" t="s">
        <v>18</v>
      </c>
      <c r="G355" t="s">
        <v>79</v>
      </c>
      <c r="H355">
        <v>8</v>
      </c>
      <c r="I355">
        <v>146.07</v>
      </c>
      <c r="J355">
        <v>0</v>
      </c>
      <c r="K355">
        <v>1168.56</v>
      </c>
      <c r="L355">
        <v>266.58999999999997</v>
      </c>
      <c r="M355" t="s">
        <v>35</v>
      </c>
    </row>
    <row r="356" spans="1:13" x14ac:dyDescent="0.3">
      <c r="A356" t="s">
        <v>1120</v>
      </c>
      <c r="B356" t="s">
        <v>1108</v>
      </c>
      <c r="C356" t="s">
        <v>1121</v>
      </c>
      <c r="D356" s="7" t="s">
        <v>1122</v>
      </c>
      <c r="E356" t="s">
        <v>64</v>
      </c>
      <c r="F356" t="s">
        <v>18</v>
      </c>
      <c r="G356" t="s">
        <v>45</v>
      </c>
      <c r="H356">
        <v>8</v>
      </c>
      <c r="I356">
        <v>245.85</v>
      </c>
      <c r="J356">
        <v>0.15</v>
      </c>
      <c r="K356">
        <v>1671.78</v>
      </c>
      <c r="L356">
        <v>184.83</v>
      </c>
      <c r="M356" t="s">
        <v>35</v>
      </c>
    </row>
    <row r="357" spans="1:13" x14ac:dyDescent="0.3">
      <c r="A357" t="s">
        <v>1123</v>
      </c>
      <c r="B357" t="s">
        <v>1124</v>
      </c>
      <c r="C357" t="s">
        <v>975</v>
      </c>
      <c r="D357" s="7" t="s">
        <v>31</v>
      </c>
      <c r="E357" t="s">
        <v>32</v>
      </c>
      <c r="F357" t="s">
        <v>89</v>
      </c>
      <c r="G357" t="s">
        <v>90</v>
      </c>
      <c r="H357">
        <v>6</v>
      </c>
      <c r="I357">
        <v>203.41</v>
      </c>
      <c r="J357">
        <v>0.1</v>
      </c>
      <c r="K357">
        <v>1098.4100000000001</v>
      </c>
      <c r="L357">
        <v>164.38</v>
      </c>
      <c r="M357" t="s">
        <v>35</v>
      </c>
    </row>
    <row r="358" spans="1:13" x14ac:dyDescent="0.3">
      <c r="A358" t="s">
        <v>1125</v>
      </c>
      <c r="B358" t="s">
        <v>96</v>
      </c>
      <c r="C358" t="s">
        <v>1126</v>
      </c>
      <c r="D358" s="7" t="s">
        <v>1127</v>
      </c>
      <c r="E358" t="s">
        <v>25</v>
      </c>
      <c r="F358" t="s">
        <v>89</v>
      </c>
      <c r="G358" t="s">
        <v>150</v>
      </c>
      <c r="H358">
        <v>3</v>
      </c>
      <c r="I358">
        <v>218.32</v>
      </c>
      <c r="J358">
        <v>0.15</v>
      </c>
      <c r="K358">
        <v>556.72</v>
      </c>
      <c r="L358">
        <v>162.83000000000001</v>
      </c>
      <c r="M358" t="s">
        <v>40</v>
      </c>
    </row>
    <row r="359" spans="1:13" x14ac:dyDescent="0.3">
      <c r="A359" t="s">
        <v>1128</v>
      </c>
      <c r="B359" t="s">
        <v>1129</v>
      </c>
      <c r="C359" t="s">
        <v>1110</v>
      </c>
      <c r="D359" s="7" t="s">
        <v>1130</v>
      </c>
      <c r="E359" t="s">
        <v>64</v>
      </c>
      <c r="F359" t="s">
        <v>33</v>
      </c>
      <c r="G359" t="s">
        <v>50</v>
      </c>
      <c r="H359">
        <v>5</v>
      </c>
      <c r="I359">
        <v>100.89</v>
      </c>
      <c r="J359">
        <v>0.15</v>
      </c>
      <c r="K359">
        <v>428.78</v>
      </c>
      <c r="L359">
        <v>63.55</v>
      </c>
      <c r="M359" t="s">
        <v>35</v>
      </c>
    </row>
    <row r="360" spans="1:13" x14ac:dyDescent="0.3">
      <c r="A360" t="s">
        <v>1131</v>
      </c>
      <c r="B360" t="s">
        <v>203</v>
      </c>
      <c r="C360" t="s">
        <v>1132</v>
      </c>
      <c r="D360" s="7" t="s">
        <v>240</v>
      </c>
      <c r="E360" t="s">
        <v>64</v>
      </c>
      <c r="F360" t="s">
        <v>18</v>
      </c>
      <c r="G360" t="s">
        <v>79</v>
      </c>
      <c r="H360">
        <v>2</v>
      </c>
      <c r="I360">
        <v>152.88999999999999</v>
      </c>
      <c r="J360">
        <v>0.1</v>
      </c>
      <c r="K360">
        <v>275.2</v>
      </c>
      <c r="L360">
        <v>70.77</v>
      </c>
      <c r="M360" t="s">
        <v>20</v>
      </c>
    </row>
    <row r="361" spans="1:13" x14ac:dyDescent="0.3">
      <c r="A361" t="s">
        <v>1133</v>
      </c>
      <c r="B361" t="s">
        <v>940</v>
      </c>
      <c r="C361" t="s">
        <v>1134</v>
      </c>
      <c r="D361" s="7" t="s">
        <v>1061</v>
      </c>
      <c r="E361" t="s">
        <v>25</v>
      </c>
      <c r="F361" t="s">
        <v>26</v>
      </c>
      <c r="G361" t="s">
        <v>118</v>
      </c>
      <c r="H361">
        <v>7</v>
      </c>
      <c r="I361">
        <v>178.86</v>
      </c>
      <c r="J361">
        <v>0.05</v>
      </c>
      <c r="K361">
        <v>1189.42</v>
      </c>
      <c r="L361">
        <v>274.77</v>
      </c>
      <c r="M361" t="s">
        <v>20</v>
      </c>
    </row>
    <row r="362" spans="1:13" x14ac:dyDescent="0.3">
      <c r="A362" t="s">
        <v>1135</v>
      </c>
      <c r="B362" t="s">
        <v>1136</v>
      </c>
      <c r="C362" t="s">
        <v>647</v>
      </c>
      <c r="D362" s="7" t="s">
        <v>1137</v>
      </c>
      <c r="E362" t="s">
        <v>64</v>
      </c>
      <c r="F362" t="s">
        <v>26</v>
      </c>
      <c r="G362" t="s">
        <v>84</v>
      </c>
      <c r="H362">
        <v>3</v>
      </c>
      <c r="I362">
        <v>244.27</v>
      </c>
      <c r="J362">
        <v>0</v>
      </c>
      <c r="K362">
        <v>732.81</v>
      </c>
      <c r="L362">
        <v>131.65</v>
      </c>
      <c r="M362" t="s">
        <v>20</v>
      </c>
    </row>
    <row r="363" spans="1:13" x14ac:dyDescent="0.3">
      <c r="A363" t="s">
        <v>1138</v>
      </c>
      <c r="B363" t="s">
        <v>223</v>
      </c>
      <c r="C363" t="s">
        <v>978</v>
      </c>
      <c r="D363" s="7" t="s">
        <v>1139</v>
      </c>
      <c r="E363" t="s">
        <v>25</v>
      </c>
      <c r="F363" t="s">
        <v>18</v>
      </c>
      <c r="G363" t="s">
        <v>45</v>
      </c>
      <c r="H363">
        <v>4</v>
      </c>
      <c r="I363">
        <v>249.34</v>
      </c>
      <c r="J363">
        <v>0</v>
      </c>
      <c r="K363">
        <v>997.36</v>
      </c>
      <c r="L363">
        <v>163.02000000000001</v>
      </c>
      <c r="M363" t="s">
        <v>35</v>
      </c>
    </row>
    <row r="364" spans="1:13" x14ac:dyDescent="0.3">
      <c r="A364" t="s">
        <v>1140</v>
      </c>
      <c r="B364" t="s">
        <v>929</v>
      </c>
      <c r="C364" t="s">
        <v>1141</v>
      </c>
      <c r="D364" s="7" t="s">
        <v>1142</v>
      </c>
      <c r="E364" t="s">
        <v>17</v>
      </c>
      <c r="F364" t="s">
        <v>33</v>
      </c>
      <c r="G364" t="s">
        <v>74</v>
      </c>
      <c r="H364">
        <v>7</v>
      </c>
      <c r="I364">
        <v>109.09</v>
      </c>
      <c r="J364">
        <v>0</v>
      </c>
      <c r="K364">
        <v>763.63</v>
      </c>
      <c r="L364">
        <v>67.28</v>
      </c>
      <c r="M364" t="s">
        <v>35</v>
      </c>
    </row>
    <row r="365" spans="1:13" x14ac:dyDescent="0.3">
      <c r="A365" t="s">
        <v>1143</v>
      </c>
      <c r="B365" t="s">
        <v>1144</v>
      </c>
      <c r="C365" t="s">
        <v>1145</v>
      </c>
      <c r="D365" s="7" t="s">
        <v>262</v>
      </c>
      <c r="E365" t="s">
        <v>59</v>
      </c>
      <c r="F365" t="s">
        <v>26</v>
      </c>
      <c r="G365" t="s">
        <v>84</v>
      </c>
      <c r="H365">
        <v>6</v>
      </c>
      <c r="I365">
        <v>218.75</v>
      </c>
      <c r="J365">
        <v>0.05</v>
      </c>
      <c r="K365">
        <v>1246.8800000000001</v>
      </c>
      <c r="L365">
        <v>268.74</v>
      </c>
      <c r="M365" t="s">
        <v>40</v>
      </c>
    </row>
    <row r="366" spans="1:13" x14ac:dyDescent="0.3">
      <c r="A366" t="s">
        <v>1146</v>
      </c>
      <c r="B366" t="s">
        <v>420</v>
      </c>
      <c r="C366" t="s">
        <v>1147</v>
      </c>
      <c r="D366" s="7" t="s">
        <v>524</v>
      </c>
      <c r="E366" t="s">
        <v>59</v>
      </c>
      <c r="F366" t="s">
        <v>33</v>
      </c>
      <c r="G366" t="s">
        <v>50</v>
      </c>
      <c r="H366">
        <v>6</v>
      </c>
      <c r="I366">
        <v>57.05</v>
      </c>
      <c r="J366">
        <v>0.1</v>
      </c>
      <c r="K366">
        <v>308.07</v>
      </c>
      <c r="L366">
        <v>51.36</v>
      </c>
      <c r="M366" t="s">
        <v>40</v>
      </c>
    </row>
    <row r="367" spans="1:13" x14ac:dyDescent="0.3">
      <c r="A367" t="s">
        <v>1148</v>
      </c>
      <c r="B367" t="s">
        <v>1112</v>
      </c>
      <c r="C367" t="s">
        <v>436</v>
      </c>
      <c r="D367" s="7" t="s">
        <v>1149</v>
      </c>
      <c r="E367" t="s">
        <v>64</v>
      </c>
      <c r="F367" t="s">
        <v>33</v>
      </c>
      <c r="G367" t="s">
        <v>74</v>
      </c>
      <c r="H367">
        <v>4</v>
      </c>
      <c r="I367">
        <v>137.86000000000001</v>
      </c>
      <c r="J367">
        <v>0.1</v>
      </c>
      <c r="K367">
        <v>496.3</v>
      </c>
      <c r="L367">
        <v>83.47</v>
      </c>
      <c r="M367" t="s">
        <v>35</v>
      </c>
    </row>
    <row r="368" spans="1:13" x14ac:dyDescent="0.3">
      <c r="A368" t="s">
        <v>1150</v>
      </c>
      <c r="B368" t="s">
        <v>626</v>
      </c>
      <c r="C368" t="s">
        <v>1066</v>
      </c>
      <c r="D368" s="7" t="s">
        <v>178</v>
      </c>
      <c r="E368" t="s">
        <v>32</v>
      </c>
      <c r="F368" t="s">
        <v>89</v>
      </c>
      <c r="G368" t="s">
        <v>150</v>
      </c>
      <c r="H368">
        <v>7</v>
      </c>
      <c r="I368">
        <v>141.97999999999999</v>
      </c>
      <c r="J368">
        <v>0.1</v>
      </c>
      <c r="K368">
        <v>894.47</v>
      </c>
      <c r="L368">
        <v>222.51</v>
      </c>
      <c r="M368" t="s">
        <v>20</v>
      </c>
    </row>
    <row r="369" spans="1:13" x14ac:dyDescent="0.3">
      <c r="A369" t="s">
        <v>1151</v>
      </c>
      <c r="B369" t="s">
        <v>929</v>
      </c>
      <c r="C369" t="s">
        <v>1152</v>
      </c>
      <c r="D369" s="7" t="s">
        <v>1153</v>
      </c>
      <c r="E369" t="s">
        <v>64</v>
      </c>
      <c r="F369" t="s">
        <v>26</v>
      </c>
      <c r="G369" t="s">
        <v>118</v>
      </c>
      <c r="H369">
        <v>1</v>
      </c>
      <c r="I369">
        <v>235.11</v>
      </c>
      <c r="J369">
        <v>0.05</v>
      </c>
      <c r="K369">
        <v>223.35</v>
      </c>
      <c r="L369">
        <v>36.54</v>
      </c>
      <c r="M369" t="s">
        <v>20</v>
      </c>
    </row>
    <row r="370" spans="1:13" x14ac:dyDescent="0.3">
      <c r="A370" t="s">
        <v>1154</v>
      </c>
      <c r="B370" t="s">
        <v>1155</v>
      </c>
      <c r="C370" t="s">
        <v>451</v>
      </c>
      <c r="D370" s="7" t="s">
        <v>478</v>
      </c>
      <c r="E370" t="s">
        <v>59</v>
      </c>
      <c r="F370" t="s">
        <v>26</v>
      </c>
      <c r="G370" t="s">
        <v>27</v>
      </c>
      <c r="H370">
        <v>1</v>
      </c>
      <c r="I370">
        <v>31.67</v>
      </c>
      <c r="J370">
        <v>0</v>
      </c>
      <c r="K370">
        <v>31.67</v>
      </c>
      <c r="L370">
        <v>7.15</v>
      </c>
      <c r="M370" t="s">
        <v>40</v>
      </c>
    </row>
    <row r="371" spans="1:13" x14ac:dyDescent="0.3">
      <c r="A371" t="s">
        <v>1156</v>
      </c>
      <c r="B371" t="s">
        <v>940</v>
      </c>
      <c r="C371" t="s">
        <v>843</v>
      </c>
      <c r="D371" s="7" t="s">
        <v>1157</v>
      </c>
      <c r="E371" t="s">
        <v>25</v>
      </c>
      <c r="F371" t="s">
        <v>18</v>
      </c>
      <c r="G371" t="s">
        <v>45</v>
      </c>
      <c r="H371">
        <v>2</v>
      </c>
      <c r="I371">
        <v>35.630000000000003</v>
      </c>
      <c r="J371">
        <v>0.15</v>
      </c>
      <c r="K371">
        <v>60.57</v>
      </c>
      <c r="L371">
        <v>16.260000000000002</v>
      </c>
      <c r="M371" t="s">
        <v>40</v>
      </c>
    </row>
    <row r="372" spans="1:13" x14ac:dyDescent="0.3">
      <c r="A372" t="s">
        <v>1158</v>
      </c>
      <c r="B372" t="s">
        <v>1159</v>
      </c>
      <c r="C372" t="s">
        <v>1160</v>
      </c>
      <c r="D372" s="7" t="s">
        <v>1161</v>
      </c>
      <c r="E372" t="s">
        <v>17</v>
      </c>
      <c r="F372" t="s">
        <v>18</v>
      </c>
      <c r="G372" t="s">
        <v>19</v>
      </c>
      <c r="H372">
        <v>7</v>
      </c>
      <c r="I372">
        <v>43.03</v>
      </c>
      <c r="J372">
        <v>0</v>
      </c>
      <c r="K372">
        <v>301.20999999999998</v>
      </c>
      <c r="L372">
        <v>26.87</v>
      </c>
      <c r="M372" t="s">
        <v>40</v>
      </c>
    </row>
    <row r="373" spans="1:13" x14ac:dyDescent="0.3">
      <c r="A373" t="s">
        <v>1162</v>
      </c>
      <c r="B373" t="s">
        <v>708</v>
      </c>
      <c r="C373" t="s">
        <v>1147</v>
      </c>
      <c r="D373" s="7" t="s">
        <v>1163</v>
      </c>
      <c r="E373" t="s">
        <v>25</v>
      </c>
      <c r="F373" t="s">
        <v>26</v>
      </c>
      <c r="G373" t="s">
        <v>84</v>
      </c>
      <c r="H373">
        <v>5</v>
      </c>
      <c r="I373">
        <v>249.83</v>
      </c>
      <c r="J373">
        <v>0</v>
      </c>
      <c r="K373">
        <v>1249.1500000000001</v>
      </c>
      <c r="L373">
        <v>197.91</v>
      </c>
      <c r="M373" t="s">
        <v>20</v>
      </c>
    </row>
    <row r="374" spans="1:13" x14ac:dyDescent="0.3">
      <c r="A374" t="s">
        <v>1164</v>
      </c>
      <c r="B374" t="s">
        <v>497</v>
      </c>
      <c r="C374" t="s">
        <v>802</v>
      </c>
      <c r="D374" s="7" t="s">
        <v>723</v>
      </c>
      <c r="E374" t="s">
        <v>64</v>
      </c>
      <c r="F374" t="s">
        <v>33</v>
      </c>
      <c r="G374" t="s">
        <v>74</v>
      </c>
      <c r="H374">
        <v>2</v>
      </c>
      <c r="I374">
        <v>14</v>
      </c>
      <c r="J374">
        <v>0</v>
      </c>
      <c r="K374">
        <v>28</v>
      </c>
      <c r="L374">
        <v>4.13</v>
      </c>
      <c r="M374" t="s">
        <v>35</v>
      </c>
    </row>
    <row r="375" spans="1:13" x14ac:dyDescent="0.3">
      <c r="A375" t="s">
        <v>1165</v>
      </c>
      <c r="B375" t="s">
        <v>743</v>
      </c>
      <c r="C375" t="s">
        <v>1166</v>
      </c>
      <c r="D375" s="7" t="s">
        <v>1167</v>
      </c>
      <c r="E375" t="s">
        <v>59</v>
      </c>
      <c r="F375" t="s">
        <v>33</v>
      </c>
      <c r="G375" t="s">
        <v>34</v>
      </c>
      <c r="H375">
        <v>7</v>
      </c>
      <c r="I375">
        <v>77.13</v>
      </c>
      <c r="J375">
        <v>0.1</v>
      </c>
      <c r="K375">
        <v>485.92</v>
      </c>
      <c r="L375">
        <v>92.82</v>
      </c>
      <c r="M375" t="s">
        <v>35</v>
      </c>
    </row>
    <row r="376" spans="1:13" x14ac:dyDescent="0.3">
      <c r="A376" t="s">
        <v>1168</v>
      </c>
      <c r="B376" t="s">
        <v>639</v>
      </c>
      <c r="C376" t="s">
        <v>424</v>
      </c>
      <c r="D376" s="7" t="s">
        <v>109</v>
      </c>
      <c r="E376" t="s">
        <v>25</v>
      </c>
      <c r="F376" t="s">
        <v>26</v>
      </c>
      <c r="G376" t="s">
        <v>118</v>
      </c>
      <c r="H376">
        <v>2</v>
      </c>
      <c r="I376">
        <v>183.41</v>
      </c>
      <c r="J376">
        <v>0.1</v>
      </c>
      <c r="K376">
        <v>330.14</v>
      </c>
      <c r="L376">
        <v>54.38</v>
      </c>
      <c r="M376" t="s">
        <v>35</v>
      </c>
    </row>
    <row r="377" spans="1:13" x14ac:dyDescent="0.3">
      <c r="A377" t="s">
        <v>1169</v>
      </c>
      <c r="B377" t="s">
        <v>1170</v>
      </c>
      <c r="C377" t="s">
        <v>171</v>
      </c>
      <c r="D377" s="7" t="s">
        <v>808</v>
      </c>
      <c r="E377" t="s">
        <v>17</v>
      </c>
      <c r="F377" t="s">
        <v>18</v>
      </c>
      <c r="G377" t="s">
        <v>45</v>
      </c>
      <c r="H377">
        <v>1</v>
      </c>
      <c r="I377">
        <v>248.45</v>
      </c>
      <c r="J377">
        <v>0</v>
      </c>
      <c r="K377">
        <v>248.45</v>
      </c>
      <c r="L377">
        <v>48.68</v>
      </c>
      <c r="M377" t="s">
        <v>20</v>
      </c>
    </row>
    <row r="378" spans="1:13" x14ac:dyDescent="0.3">
      <c r="A378" t="s">
        <v>1171</v>
      </c>
      <c r="B378" t="s">
        <v>782</v>
      </c>
      <c r="C378" t="s">
        <v>356</v>
      </c>
      <c r="D378" s="7" t="s">
        <v>679</v>
      </c>
      <c r="E378" t="s">
        <v>64</v>
      </c>
      <c r="F378" t="s">
        <v>89</v>
      </c>
      <c r="G378" t="s">
        <v>90</v>
      </c>
      <c r="H378">
        <v>3</v>
      </c>
      <c r="I378">
        <v>187.53</v>
      </c>
      <c r="J378">
        <v>0.1</v>
      </c>
      <c r="K378">
        <v>506.33</v>
      </c>
      <c r="L378">
        <v>45.44</v>
      </c>
      <c r="M378" t="s">
        <v>40</v>
      </c>
    </row>
    <row r="379" spans="1:13" x14ac:dyDescent="0.3">
      <c r="A379" t="s">
        <v>1172</v>
      </c>
      <c r="B379" t="s">
        <v>66</v>
      </c>
      <c r="C379" t="s">
        <v>1147</v>
      </c>
      <c r="D379" s="7" t="s">
        <v>1173</v>
      </c>
      <c r="E379" t="s">
        <v>25</v>
      </c>
      <c r="F379" t="s">
        <v>26</v>
      </c>
      <c r="G379" t="s">
        <v>84</v>
      </c>
      <c r="H379">
        <v>3</v>
      </c>
      <c r="I379">
        <v>55.14</v>
      </c>
      <c r="J379">
        <v>0</v>
      </c>
      <c r="K379">
        <v>165.42</v>
      </c>
      <c r="L379">
        <v>38.630000000000003</v>
      </c>
      <c r="M379" t="s">
        <v>35</v>
      </c>
    </row>
    <row r="380" spans="1:13" x14ac:dyDescent="0.3">
      <c r="A380" t="s">
        <v>1174</v>
      </c>
      <c r="B380" t="s">
        <v>1029</v>
      </c>
      <c r="C380" t="s">
        <v>424</v>
      </c>
      <c r="D380" s="7" t="s">
        <v>138</v>
      </c>
      <c r="E380" t="s">
        <v>64</v>
      </c>
      <c r="F380" t="s">
        <v>26</v>
      </c>
      <c r="G380" t="s">
        <v>84</v>
      </c>
      <c r="H380">
        <v>3</v>
      </c>
      <c r="I380">
        <v>197.34</v>
      </c>
      <c r="J380">
        <v>0</v>
      </c>
      <c r="K380">
        <v>592.02</v>
      </c>
      <c r="L380">
        <v>109.94</v>
      </c>
      <c r="M380" t="s">
        <v>35</v>
      </c>
    </row>
    <row r="381" spans="1:13" x14ac:dyDescent="0.3">
      <c r="A381" t="s">
        <v>1175</v>
      </c>
      <c r="B381" t="s">
        <v>1118</v>
      </c>
      <c r="C381" t="s">
        <v>1176</v>
      </c>
      <c r="D381" s="7" t="s">
        <v>1041</v>
      </c>
      <c r="E381" t="s">
        <v>17</v>
      </c>
      <c r="F381" t="s">
        <v>26</v>
      </c>
      <c r="G381" t="s">
        <v>118</v>
      </c>
      <c r="H381">
        <v>3</v>
      </c>
      <c r="I381">
        <v>217.48</v>
      </c>
      <c r="J381">
        <v>0.05</v>
      </c>
      <c r="K381">
        <v>619.82000000000005</v>
      </c>
      <c r="L381">
        <v>110.74</v>
      </c>
      <c r="M381" t="s">
        <v>35</v>
      </c>
    </row>
    <row r="382" spans="1:13" x14ac:dyDescent="0.3">
      <c r="A382" t="s">
        <v>1177</v>
      </c>
      <c r="B382" t="s">
        <v>1129</v>
      </c>
      <c r="C382" t="s">
        <v>1178</v>
      </c>
      <c r="D382" s="7" t="s">
        <v>1179</v>
      </c>
      <c r="E382" t="s">
        <v>64</v>
      </c>
      <c r="F382" t="s">
        <v>33</v>
      </c>
      <c r="G382" t="s">
        <v>69</v>
      </c>
      <c r="H382">
        <v>8</v>
      </c>
      <c r="I382">
        <v>214.57</v>
      </c>
      <c r="J382">
        <v>0.05</v>
      </c>
      <c r="K382">
        <v>1630.73</v>
      </c>
      <c r="L382">
        <v>140.82</v>
      </c>
      <c r="M382" t="s">
        <v>40</v>
      </c>
    </row>
    <row r="383" spans="1:13" x14ac:dyDescent="0.3">
      <c r="A383" t="s">
        <v>1180</v>
      </c>
      <c r="B383" t="s">
        <v>124</v>
      </c>
      <c r="C383" t="s">
        <v>1181</v>
      </c>
      <c r="D383" s="7" t="s">
        <v>1182</v>
      </c>
      <c r="E383" t="s">
        <v>64</v>
      </c>
      <c r="F383" t="s">
        <v>33</v>
      </c>
      <c r="G383" t="s">
        <v>74</v>
      </c>
      <c r="H383">
        <v>7</v>
      </c>
      <c r="I383">
        <v>157.31</v>
      </c>
      <c r="J383">
        <v>0.1</v>
      </c>
      <c r="K383">
        <v>991.05</v>
      </c>
      <c r="L383">
        <v>282.22000000000003</v>
      </c>
      <c r="M383" t="s">
        <v>20</v>
      </c>
    </row>
    <row r="384" spans="1:13" x14ac:dyDescent="0.3">
      <c r="A384" t="s">
        <v>1183</v>
      </c>
      <c r="B384" t="s">
        <v>331</v>
      </c>
      <c r="C384" t="s">
        <v>1082</v>
      </c>
      <c r="D384" s="7" t="s">
        <v>947</v>
      </c>
      <c r="E384" t="s">
        <v>17</v>
      </c>
      <c r="F384" t="s">
        <v>18</v>
      </c>
      <c r="G384" t="s">
        <v>79</v>
      </c>
      <c r="H384">
        <v>4</v>
      </c>
      <c r="I384">
        <v>27.69</v>
      </c>
      <c r="J384">
        <v>0.15</v>
      </c>
      <c r="K384">
        <v>94.15</v>
      </c>
      <c r="L384">
        <v>9.77</v>
      </c>
      <c r="M384" t="s">
        <v>20</v>
      </c>
    </row>
    <row r="385" spans="1:13" x14ac:dyDescent="0.3">
      <c r="A385" t="s">
        <v>1184</v>
      </c>
      <c r="B385" t="s">
        <v>1025</v>
      </c>
      <c r="C385" t="s">
        <v>1185</v>
      </c>
      <c r="D385" s="7" t="s">
        <v>922</v>
      </c>
      <c r="E385" t="s">
        <v>17</v>
      </c>
      <c r="F385" t="s">
        <v>26</v>
      </c>
      <c r="G385" t="s">
        <v>118</v>
      </c>
      <c r="H385">
        <v>5</v>
      </c>
      <c r="I385">
        <v>69.239999999999995</v>
      </c>
      <c r="J385">
        <v>0.05</v>
      </c>
      <c r="K385">
        <v>328.89</v>
      </c>
      <c r="L385">
        <v>61.49</v>
      </c>
      <c r="M385" t="s">
        <v>20</v>
      </c>
    </row>
    <row r="386" spans="1:13" x14ac:dyDescent="0.3">
      <c r="A386" t="s">
        <v>1186</v>
      </c>
      <c r="B386" t="s">
        <v>1187</v>
      </c>
      <c r="C386" t="s">
        <v>1188</v>
      </c>
      <c r="D386" s="7" t="s">
        <v>109</v>
      </c>
      <c r="E386" t="s">
        <v>32</v>
      </c>
      <c r="F386" t="s">
        <v>26</v>
      </c>
      <c r="G386" t="s">
        <v>27</v>
      </c>
      <c r="H386">
        <v>6</v>
      </c>
      <c r="I386">
        <v>153.08000000000001</v>
      </c>
      <c r="J386">
        <v>0.1</v>
      </c>
      <c r="K386">
        <v>826.63</v>
      </c>
      <c r="L386">
        <v>230.69</v>
      </c>
      <c r="M386" t="s">
        <v>40</v>
      </c>
    </row>
    <row r="387" spans="1:13" x14ac:dyDescent="0.3">
      <c r="A387" t="s">
        <v>1189</v>
      </c>
      <c r="B387" t="s">
        <v>1190</v>
      </c>
      <c r="C387" t="s">
        <v>1178</v>
      </c>
      <c r="D387" s="7" t="s">
        <v>965</v>
      </c>
      <c r="E387" t="s">
        <v>17</v>
      </c>
      <c r="F387" t="s">
        <v>26</v>
      </c>
      <c r="G387" t="s">
        <v>84</v>
      </c>
      <c r="H387">
        <v>1</v>
      </c>
      <c r="I387">
        <v>165.73</v>
      </c>
      <c r="J387">
        <v>0.1</v>
      </c>
      <c r="K387">
        <v>149.16</v>
      </c>
      <c r="L387">
        <v>27.62</v>
      </c>
      <c r="M387" t="s">
        <v>35</v>
      </c>
    </row>
    <row r="388" spans="1:13" x14ac:dyDescent="0.3">
      <c r="A388" t="s">
        <v>1191</v>
      </c>
      <c r="B388" t="s">
        <v>1192</v>
      </c>
      <c r="C388" t="s">
        <v>1193</v>
      </c>
      <c r="D388" s="7" t="s">
        <v>655</v>
      </c>
      <c r="E388" t="s">
        <v>25</v>
      </c>
      <c r="F388" t="s">
        <v>26</v>
      </c>
      <c r="G388" t="s">
        <v>84</v>
      </c>
      <c r="H388">
        <v>2</v>
      </c>
      <c r="I388">
        <v>92.02</v>
      </c>
      <c r="J388">
        <v>0.1</v>
      </c>
      <c r="K388">
        <v>165.64</v>
      </c>
      <c r="L388">
        <v>16.5</v>
      </c>
      <c r="M388" t="s">
        <v>40</v>
      </c>
    </row>
    <row r="389" spans="1:13" x14ac:dyDescent="0.3">
      <c r="A389" t="s">
        <v>1194</v>
      </c>
      <c r="B389" t="s">
        <v>188</v>
      </c>
      <c r="C389" t="s">
        <v>1195</v>
      </c>
      <c r="D389" s="7" t="s">
        <v>679</v>
      </c>
      <c r="E389" t="s">
        <v>17</v>
      </c>
      <c r="F389" t="s">
        <v>89</v>
      </c>
      <c r="G389" t="s">
        <v>131</v>
      </c>
      <c r="H389">
        <v>2</v>
      </c>
      <c r="I389">
        <v>57.93</v>
      </c>
      <c r="J389">
        <v>0.05</v>
      </c>
      <c r="K389">
        <v>110.07</v>
      </c>
      <c r="L389">
        <v>11.08</v>
      </c>
      <c r="M389" t="s">
        <v>20</v>
      </c>
    </row>
    <row r="390" spans="1:13" x14ac:dyDescent="0.3">
      <c r="A390" t="s">
        <v>1196</v>
      </c>
      <c r="B390" t="s">
        <v>14</v>
      </c>
      <c r="C390" t="s">
        <v>640</v>
      </c>
      <c r="D390" s="7" t="s">
        <v>262</v>
      </c>
      <c r="E390" t="s">
        <v>59</v>
      </c>
      <c r="F390" t="s">
        <v>26</v>
      </c>
      <c r="G390" t="s">
        <v>118</v>
      </c>
      <c r="H390">
        <v>6</v>
      </c>
      <c r="I390">
        <v>92.03</v>
      </c>
      <c r="J390">
        <v>0</v>
      </c>
      <c r="K390">
        <v>552.17999999999995</v>
      </c>
      <c r="L390">
        <v>82.05</v>
      </c>
      <c r="M390" t="s">
        <v>40</v>
      </c>
    </row>
    <row r="391" spans="1:13" x14ac:dyDescent="0.3">
      <c r="A391" t="s">
        <v>1197</v>
      </c>
      <c r="B391" t="s">
        <v>1198</v>
      </c>
      <c r="C391" t="s">
        <v>181</v>
      </c>
      <c r="D391" s="7" t="s">
        <v>336</v>
      </c>
      <c r="E391" t="s">
        <v>32</v>
      </c>
      <c r="F391" t="s">
        <v>33</v>
      </c>
      <c r="G391" t="s">
        <v>50</v>
      </c>
      <c r="H391">
        <v>7</v>
      </c>
      <c r="I391">
        <v>107.36</v>
      </c>
      <c r="J391">
        <v>0</v>
      </c>
      <c r="K391">
        <v>751.52</v>
      </c>
      <c r="L391">
        <v>204.45</v>
      </c>
      <c r="M391" t="s">
        <v>40</v>
      </c>
    </row>
    <row r="392" spans="1:13" x14ac:dyDescent="0.3">
      <c r="A392" t="s">
        <v>1199</v>
      </c>
      <c r="B392" t="s">
        <v>583</v>
      </c>
      <c r="C392" t="s">
        <v>444</v>
      </c>
      <c r="D392" s="7" t="s">
        <v>645</v>
      </c>
      <c r="E392" t="s">
        <v>59</v>
      </c>
      <c r="F392" t="s">
        <v>89</v>
      </c>
      <c r="G392" t="s">
        <v>90</v>
      </c>
      <c r="H392">
        <v>4</v>
      </c>
      <c r="I392">
        <v>154.72</v>
      </c>
      <c r="J392">
        <v>0.15</v>
      </c>
      <c r="K392">
        <v>526.04999999999995</v>
      </c>
      <c r="L392">
        <v>99.69</v>
      </c>
      <c r="M392" t="s">
        <v>35</v>
      </c>
    </row>
    <row r="393" spans="1:13" x14ac:dyDescent="0.3">
      <c r="A393" t="s">
        <v>1200</v>
      </c>
      <c r="B393" t="s">
        <v>210</v>
      </c>
      <c r="C393" t="s">
        <v>1201</v>
      </c>
      <c r="D393" s="7" t="s">
        <v>880</v>
      </c>
      <c r="E393" t="s">
        <v>17</v>
      </c>
      <c r="F393" t="s">
        <v>18</v>
      </c>
      <c r="G393" t="s">
        <v>79</v>
      </c>
      <c r="H393">
        <v>3</v>
      </c>
      <c r="I393">
        <v>81.150000000000006</v>
      </c>
      <c r="J393">
        <v>0.1</v>
      </c>
      <c r="K393">
        <v>219.11</v>
      </c>
      <c r="L393">
        <v>59.06</v>
      </c>
      <c r="M393" t="s">
        <v>35</v>
      </c>
    </row>
    <row r="394" spans="1:13" x14ac:dyDescent="0.3">
      <c r="A394" t="s">
        <v>1202</v>
      </c>
      <c r="B394" t="s">
        <v>461</v>
      </c>
      <c r="C394" t="s">
        <v>1203</v>
      </c>
      <c r="D394" s="7" t="s">
        <v>425</v>
      </c>
      <c r="E394" t="s">
        <v>59</v>
      </c>
      <c r="F394" t="s">
        <v>89</v>
      </c>
      <c r="G394" t="s">
        <v>150</v>
      </c>
      <c r="H394">
        <v>2</v>
      </c>
      <c r="I394">
        <v>177.84</v>
      </c>
      <c r="J394">
        <v>0</v>
      </c>
      <c r="K394">
        <v>355.68</v>
      </c>
      <c r="L394">
        <v>63.29</v>
      </c>
      <c r="M394" t="s">
        <v>35</v>
      </c>
    </row>
    <row r="395" spans="1:13" x14ac:dyDescent="0.3">
      <c r="A395" t="s">
        <v>1204</v>
      </c>
      <c r="B395" t="s">
        <v>592</v>
      </c>
      <c r="C395" t="s">
        <v>1205</v>
      </c>
      <c r="D395" s="7" t="s">
        <v>472</v>
      </c>
      <c r="E395" t="s">
        <v>32</v>
      </c>
      <c r="F395" t="s">
        <v>89</v>
      </c>
      <c r="G395" t="s">
        <v>150</v>
      </c>
      <c r="H395">
        <v>4</v>
      </c>
      <c r="I395">
        <v>165.73</v>
      </c>
      <c r="J395">
        <v>0.1</v>
      </c>
      <c r="K395">
        <v>596.63</v>
      </c>
      <c r="L395">
        <v>118.02</v>
      </c>
      <c r="M395" t="s">
        <v>35</v>
      </c>
    </row>
    <row r="396" spans="1:13" x14ac:dyDescent="0.3">
      <c r="A396" t="s">
        <v>1206</v>
      </c>
      <c r="B396" t="s">
        <v>1207</v>
      </c>
      <c r="C396" t="s">
        <v>1208</v>
      </c>
      <c r="D396" s="7" t="s">
        <v>1209</v>
      </c>
      <c r="E396" t="s">
        <v>59</v>
      </c>
      <c r="F396" t="s">
        <v>18</v>
      </c>
      <c r="G396" t="s">
        <v>19</v>
      </c>
      <c r="H396">
        <v>1</v>
      </c>
      <c r="I396">
        <v>149.31</v>
      </c>
      <c r="J396">
        <v>0.05</v>
      </c>
      <c r="K396">
        <v>141.84</v>
      </c>
      <c r="L396">
        <v>36.47</v>
      </c>
      <c r="M396" t="s">
        <v>35</v>
      </c>
    </row>
    <row r="397" spans="1:13" x14ac:dyDescent="0.3">
      <c r="A397" t="s">
        <v>1210</v>
      </c>
      <c r="B397" t="s">
        <v>918</v>
      </c>
      <c r="C397" t="s">
        <v>218</v>
      </c>
      <c r="D397" s="7" t="s">
        <v>1211</v>
      </c>
      <c r="E397" t="s">
        <v>25</v>
      </c>
      <c r="F397" t="s">
        <v>33</v>
      </c>
      <c r="G397" t="s">
        <v>69</v>
      </c>
      <c r="H397">
        <v>6</v>
      </c>
      <c r="I397">
        <v>63.41</v>
      </c>
      <c r="J397">
        <v>0.05</v>
      </c>
      <c r="K397">
        <v>361.44</v>
      </c>
      <c r="L397">
        <v>106.11</v>
      </c>
      <c r="M397" t="s">
        <v>40</v>
      </c>
    </row>
    <row r="398" spans="1:13" x14ac:dyDescent="0.3">
      <c r="A398" t="s">
        <v>1212</v>
      </c>
      <c r="B398" t="s">
        <v>690</v>
      </c>
      <c r="C398" t="s">
        <v>1213</v>
      </c>
      <c r="D398" s="7" t="s">
        <v>1214</v>
      </c>
      <c r="E398" t="s">
        <v>25</v>
      </c>
      <c r="F398" t="s">
        <v>33</v>
      </c>
      <c r="G398" t="s">
        <v>69</v>
      </c>
      <c r="H398">
        <v>1</v>
      </c>
      <c r="I398">
        <v>177.11</v>
      </c>
      <c r="J398">
        <v>0</v>
      </c>
      <c r="K398">
        <v>177.11</v>
      </c>
      <c r="L398">
        <v>18.260000000000002</v>
      </c>
      <c r="M398" t="s">
        <v>20</v>
      </c>
    </row>
    <row r="399" spans="1:13" x14ac:dyDescent="0.3">
      <c r="A399" t="s">
        <v>1215</v>
      </c>
      <c r="B399" t="s">
        <v>1216</v>
      </c>
      <c r="C399" t="s">
        <v>1217</v>
      </c>
      <c r="D399" s="7" t="s">
        <v>1218</v>
      </c>
      <c r="E399" t="s">
        <v>25</v>
      </c>
      <c r="F399" t="s">
        <v>89</v>
      </c>
      <c r="G399" t="s">
        <v>90</v>
      </c>
      <c r="H399">
        <v>5</v>
      </c>
      <c r="I399">
        <v>179.84</v>
      </c>
      <c r="J399">
        <v>0.15</v>
      </c>
      <c r="K399">
        <v>764.32</v>
      </c>
      <c r="L399">
        <v>87.45</v>
      </c>
      <c r="M399" t="s">
        <v>35</v>
      </c>
    </row>
    <row r="400" spans="1:13" x14ac:dyDescent="0.3">
      <c r="A400" t="s">
        <v>1219</v>
      </c>
      <c r="B400" t="s">
        <v>104</v>
      </c>
      <c r="C400" t="s">
        <v>1220</v>
      </c>
      <c r="D400" s="7" t="s">
        <v>1221</v>
      </c>
      <c r="E400" t="s">
        <v>25</v>
      </c>
      <c r="F400" t="s">
        <v>18</v>
      </c>
      <c r="G400" t="s">
        <v>19</v>
      </c>
      <c r="H400">
        <v>5</v>
      </c>
      <c r="I400">
        <v>109.18</v>
      </c>
      <c r="J400">
        <v>0</v>
      </c>
      <c r="K400">
        <v>545.9</v>
      </c>
      <c r="L400">
        <v>93.97</v>
      </c>
      <c r="M400" t="s">
        <v>20</v>
      </c>
    </row>
    <row r="401" spans="1:13" x14ac:dyDescent="0.3">
      <c r="A401" t="s">
        <v>1222</v>
      </c>
      <c r="B401" t="s">
        <v>1112</v>
      </c>
      <c r="C401" t="s">
        <v>668</v>
      </c>
      <c r="D401" s="7" t="s">
        <v>1064</v>
      </c>
      <c r="E401" t="s">
        <v>32</v>
      </c>
      <c r="F401" t="s">
        <v>26</v>
      </c>
      <c r="G401" t="s">
        <v>27</v>
      </c>
      <c r="H401">
        <v>1</v>
      </c>
      <c r="I401">
        <v>85.09</v>
      </c>
      <c r="J401">
        <v>0</v>
      </c>
      <c r="K401">
        <v>85.09</v>
      </c>
      <c r="L401">
        <v>17.850000000000001</v>
      </c>
      <c r="M401" t="s">
        <v>20</v>
      </c>
    </row>
    <row r="402" spans="1:13" x14ac:dyDescent="0.3">
      <c r="A402" t="s">
        <v>1223</v>
      </c>
      <c r="B402" t="s">
        <v>904</v>
      </c>
      <c r="C402" t="s">
        <v>465</v>
      </c>
      <c r="D402" s="7" t="s">
        <v>1224</v>
      </c>
      <c r="E402" t="s">
        <v>25</v>
      </c>
      <c r="F402" t="s">
        <v>89</v>
      </c>
      <c r="G402" t="s">
        <v>131</v>
      </c>
      <c r="H402">
        <v>7</v>
      </c>
      <c r="I402">
        <v>87.69</v>
      </c>
      <c r="J402">
        <v>0</v>
      </c>
      <c r="K402">
        <v>613.83000000000004</v>
      </c>
      <c r="L402">
        <v>114.83</v>
      </c>
      <c r="M402" t="s">
        <v>20</v>
      </c>
    </row>
    <row r="403" spans="1:13" x14ac:dyDescent="0.3">
      <c r="A403" t="s">
        <v>1225</v>
      </c>
      <c r="B403" t="s">
        <v>1226</v>
      </c>
      <c r="C403" t="s">
        <v>1227</v>
      </c>
      <c r="D403" s="7" t="s">
        <v>1228</v>
      </c>
      <c r="E403" t="s">
        <v>17</v>
      </c>
      <c r="F403" t="s">
        <v>26</v>
      </c>
      <c r="G403" t="s">
        <v>118</v>
      </c>
      <c r="H403">
        <v>3</v>
      </c>
      <c r="I403">
        <v>230.86</v>
      </c>
      <c r="J403">
        <v>0.15</v>
      </c>
      <c r="K403">
        <v>588.69000000000005</v>
      </c>
      <c r="L403">
        <v>73.88</v>
      </c>
      <c r="M403" t="s">
        <v>35</v>
      </c>
    </row>
    <row r="404" spans="1:13" x14ac:dyDescent="0.3">
      <c r="A404" t="s">
        <v>1229</v>
      </c>
      <c r="B404" t="s">
        <v>368</v>
      </c>
      <c r="C404" t="s">
        <v>1230</v>
      </c>
      <c r="D404" s="7" t="s">
        <v>1231</v>
      </c>
      <c r="E404" t="s">
        <v>64</v>
      </c>
      <c r="F404" t="s">
        <v>33</v>
      </c>
      <c r="G404" t="s">
        <v>34</v>
      </c>
      <c r="H404">
        <v>5</v>
      </c>
      <c r="I404">
        <v>113.13</v>
      </c>
      <c r="J404">
        <v>0.1</v>
      </c>
      <c r="K404">
        <v>509.08</v>
      </c>
      <c r="L404">
        <v>42.17</v>
      </c>
      <c r="M404" t="s">
        <v>40</v>
      </c>
    </row>
    <row r="405" spans="1:13" x14ac:dyDescent="0.3">
      <c r="A405" t="s">
        <v>1232</v>
      </c>
      <c r="B405" t="s">
        <v>29</v>
      </c>
      <c r="C405" t="s">
        <v>321</v>
      </c>
      <c r="D405" s="7" t="s">
        <v>343</v>
      </c>
      <c r="E405" t="s">
        <v>59</v>
      </c>
      <c r="F405" t="s">
        <v>18</v>
      </c>
      <c r="G405" t="s">
        <v>45</v>
      </c>
      <c r="H405">
        <v>4</v>
      </c>
      <c r="I405">
        <v>174.52</v>
      </c>
      <c r="J405">
        <v>0.05</v>
      </c>
      <c r="K405">
        <v>663.18</v>
      </c>
      <c r="L405">
        <v>110.4</v>
      </c>
      <c r="M405" t="s">
        <v>40</v>
      </c>
    </row>
    <row r="406" spans="1:13" x14ac:dyDescent="0.3">
      <c r="A406" t="s">
        <v>1233</v>
      </c>
      <c r="B406" t="s">
        <v>850</v>
      </c>
      <c r="C406" t="s">
        <v>129</v>
      </c>
      <c r="D406" s="7" t="s">
        <v>518</v>
      </c>
      <c r="E406" t="s">
        <v>32</v>
      </c>
      <c r="F406" t="s">
        <v>89</v>
      </c>
      <c r="G406" t="s">
        <v>131</v>
      </c>
      <c r="H406">
        <v>6</v>
      </c>
      <c r="I406">
        <v>163.97</v>
      </c>
      <c r="J406">
        <v>0.15</v>
      </c>
      <c r="K406">
        <v>836.25</v>
      </c>
      <c r="L406">
        <v>230.41</v>
      </c>
      <c r="M406" t="s">
        <v>20</v>
      </c>
    </row>
    <row r="407" spans="1:13" x14ac:dyDescent="0.3">
      <c r="A407" t="s">
        <v>1234</v>
      </c>
      <c r="B407" t="s">
        <v>256</v>
      </c>
      <c r="C407" t="s">
        <v>417</v>
      </c>
      <c r="D407" s="7" t="s">
        <v>1235</v>
      </c>
      <c r="E407" t="s">
        <v>25</v>
      </c>
      <c r="F407" t="s">
        <v>33</v>
      </c>
      <c r="G407" t="s">
        <v>50</v>
      </c>
      <c r="H407">
        <v>7</v>
      </c>
      <c r="I407">
        <v>145.51</v>
      </c>
      <c r="J407">
        <v>0</v>
      </c>
      <c r="K407">
        <v>1018.57</v>
      </c>
      <c r="L407">
        <v>214.24</v>
      </c>
      <c r="M407" t="s">
        <v>35</v>
      </c>
    </row>
    <row r="408" spans="1:13" x14ac:dyDescent="0.3">
      <c r="A408" t="s">
        <v>1236</v>
      </c>
      <c r="B408" t="s">
        <v>111</v>
      </c>
      <c r="C408" t="s">
        <v>1237</v>
      </c>
      <c r="D408" s="7" t="s">
        <v>347</v>
      </c>
      <c r="E408" t="s">
        <v>25</v>
      </c>
      <c r="F408" t="s">
        <v>33</v>
      </c>
      <c r="G408" t="s">
        <v>50</v>
      </c>
      <c r="H408">
        <v>5</v>
      </c>
      <c r="I408">
        <v>174.04</v>
      </c>
      <c r="J408">
        <v>0.05</v>
      </c>
      <c r="K408">
        <v>826.69</v>
      </c>
      <c r="L408">
        <v>121.33</v>
      </c>
      <c r="M408" t="s">
        <v>35</v>
      </c>
    </row>
    <row r="409" spans="1:13" x14ac:dyDescent="0.3">
      <c r="A409" t="s">
        <v>1238</v>
      </c>
      <c r="B409" t="s">
        <v>483</v>
      </c>
      <c r="C409" t="s">
        <v>1239</v>
      </c>
      <c r="D409" s="7" t="s">
        <v>1240</v>
      </c>
      <c r="E409" t="s">
        <v>17</v>
      </c>
      <c r="F409" t="s">
        <v>18</v>
      </c>
      <c r="G409" t="s">
        <v>45</v>
      </c>
      <c r="H409">
        <v>6</v>
      </c>
      <c r="I409">
        <v>25.61</v>
      </c>
      <c r="J409">
        <v>0.15</v>
      </c>
      <c r="K409">
        <v>130.61000000000001</v>
      </c>
      <c r="L409">
        <v>19.32</v>
      </c>
      <c r="M409" t="s">
        <v>35</v>
      </c>
    </row>
    <row r="410" spans="1:13" x14ac:dyDescent="0.3">
      <c r="A410" t="s">
        <v>1241</v>
      </c>
      <c r="B410" t="s">
        <v>1242</v>
      </c>
      <c r="C410" t="s">
        <v>417</v>
      </c>
      <c r="D410" s="7" t="s">
        <v>761</v>
      </c>
      <c r="E410" t="s">
        <v>64</v>
      </c>
      <c r="F410" t="s">
        <v>18</v>
      </c>
      <c r="G410" t="s">
        <v>79</v>
      </c>
      <c r="H410">
        <v>2</v>
      </c>
      <c r="I410">
        <v>214.1</v>
      </c>
      <c r="J410">
        <v>0.1</v>
      </c>
      <c r="K410">
        <v>385.38</v>
      </c>
      <c r="L410">
        <v>39.4</v>
      </c>
      <c r="M410" t="s">
        <v>35</v>
      </c>
    </row>
    <row r="411" spans="1:13" x14ac:dyDescent="0.3">
      <c r="A411" t="s">
        <v>1243</v>
      </c>
      <c r="B411" t="s">
        <v>71</v>
      </c>
      <c r="C411" t="s">
        <v>1244</v>
      </c>
      <c r="D411" s="7" t="s">
        <v>1245</v>
      </c>
      <c r="E411" t="s">
        <v>32</v>
      </c>
      <c r="F411" t="s">
        <v>26</v>
      </c>
      <c r="G411" t="s">
        <v>27</v>
      </c>
      <c r="H411">
        <v>2</v>
      </c>
      <c r="I411">
        <v>56.04</v>
      </c>
      <c r="J411">
        <v>0.15</v>
      </c>
      <c r="K411">
        <v>95.27</v>
      </c>
      <c r="L411">
        <v>26.21</v>
      </c>
      <c r="M411" t="s">
        <v>20</v>
      </c>
    </row>
    <row r="412" spans="1:13" x14ac:dyDescent="0.3">
      <c r="A412" t="s">
        <v>1246</v>
      </c>
      <c r="B412" t="s">
        <v>461</v>
      </c>
      <c r="C412" t="s">
        <v>1247</v>
      </c>
      <c r="D412" s="7" t="s">
        <v>594</v>
      </c>
      <c r="E412" t="s">
        <v>25</v>
      </c>
      <c r="F412" t="s">
        <v>89</v>
      </c>
      <c r="G412" t="s">
        <v>90</v>
      </c>
      <c r="H412">
        <v>3</v>
      </c>
      <c r="I412">
        <v>108.53</v>
      </c>
      <c r="J412">
        <v>0</v>
      </c>
      <c r="K412">
        <v>325.58999999999997</v>
      </c>
      <c r="L412">
        <v>63.76</v>
      </c>
      <c r="M412" t="s">
        <v>40</v>
      </c>
    </row>
    <row r="413" spans="1:13" x14ac:dyDescent="0.3">
      <c r="A413" t="s">
        <v>1248</v>
      </c>
      <c r="B413" t="s">
        <v>493</v>
      </c>
      <c r="C413" t="s">
        <v>389</v>
      </c>
      <c r="D413" s="7" t="s">
        <v>233</v>
      </c>
      <c r="E413" t="s">
        <v>32</v>
      </c>
      <c r="F413" t="s">
        <v>18</v>
      </c>
      <c r="G413" t="s">
        <v>45</v>
      </c>
      <c r="H413">
        <v>3</v>
      </c>
      <c r="I413">
        <v>166.44</v>
      </c>
      <c r="J413">
        <v>0.15</v>
      </c>
      <c r="K413">
        <v>424.42</v>
      </c>
      <c r="L413">
        <v>75.36</v>
      </c>
      <c r="M413" t="s">
        <v>35</v>
      </c>
    </row>
    <row r="414" spans="1:13" x14ac:dyDescent="0.3">
      <c r="A414" t="s">
        <v>1249</v>
      </c>
      <c r="B414" t="s">
        <v>108</v>
      </c>
      <c r="C414" t="s">
        <v>1060</v>
      </c>
      <c r="D414" s="7" t="s">
        <v>1250</v>
      </c>
      <c r="E414" t="s">
        <v>32</v>
      </c>
      <c r="F414" t="s">
        <v>33</v>
      </c>
      <c r="G414" t="s">
        <v>74</v>
      </c>
      <c r="H414">
        <v>6</v>
      </c>
      <c r="I414">
        <v>87.08</v>
      </c>
      <c r="J414">
        <v>0.05</v>
      </c>
      <c r="K414">
        <v>496.36</v>
      </c>
      <c r="L414">
        <v>78.8</v>
      </c>
      <c r="M414" t="s">
        <v>40</v>
      </c>
    </row>
    <row r="415" spans="1:13" x14ac:dyDescent="0.3">
      <c r="A415" t="s">
        <v>1251</v>
      </c>
      <c r="B415" t="s">
        <v>1252</v>
      </c>
      <c r="C415" t="s">
        <v>211</v>
      </c>
      <c r="D415" s="7" t="s">
        <v>521</v>
      </c>
      <c r="E415" t="s">
        <v>59</v>
      </c>
      <c r="F415" t="s">
        <v>89</v>
      </c>
      <c r="G415" t="s">
        <v>150</v>
      </c>
      <c r="H415">
        <v>1</v>
      </c>
      <c r="I415">
        <v>106.49</v>
      </c>
      <c r="J415">
        <v>0.05</v>
      </c>
      <c r="K415">
        <v>101.17</v>
      </c>
      <c r="L415">
        <v>16.43</v>
      </c>
      <c r="M415" t="s">
        <v>40</v>
      </c>
    </row>
    <row r="416" spans="1:13" x14ac:dyDescent="0.3">
      <c r="A416" t="s">
        <v>1253</v>
      </c>
      <c r="B416" t="s">
        <v>1254</v>
      </c>
      <c r="C416" t="s">
        <v>1255</v>
      </c>
      <c r="D416" s="7" t="s">
        <v>1064</v>
      </c>
      <c r="E416" t="s">
        <v>17</v>
      </c>
      <c r="F416" t="s">
        <v>18</v>
      </c>
      <c r="G416" t="s">
        <v>79</v>
      </c>
      <c r="H416">
        <v>1</v>
      </c>
      <c r="I416">
        <v>178.27</v>
      </c>
      <c r="J416">
        <v>0.05</v>
      </c>
      <c r="K416">
        <v>169.36</v>
      </c>
      <c r="L416">
        <v>39.450000000000003</v>
      </c>
      <c r="M416" t="s">
        <v>40</v>
      </c>
    </row>
    <row r="417" spans="1:13" x14ac:dyDescent="0.3">
      <c r="A417" t="s">
        <v>1256</v>
      </c>
      <c r="B417" t="s">
        <v>943</v>
      </c>
      <c r="C417" t="s">
        <v>1257</v>
      </c>
      <c r="D417" s="7" t="s">
        <v>1258</v>
      </c>
      <c r="E417" t="s">
        <v>25</v>
      </c>
      <c r="F417" t="s">
        <v>18</v>
      </c>
      <c r="G417" t="s">
        <v>45</v>
      </c>
      <c r="H417">
        <v>5</v>
      </c>
      <c r="I417">
        <v>117.57</v>
      </c>
      <c r="J417">
        <v>0</v>
      </c>
      <c r="K417">
        <v>587.85</v>
      </c>
      <c r="L417">
        <v>59.88</v>
      </c>
      <c r="M417" t="s">
        <v>35</v>
      </c>
    </row>
    <row r="418" spans="1:13" x14ac:dyDescent="0.3">
      <c r="A418" t="s">
        <v>1259</v>
      </c>
      <c r="B418" t="s">
        <v>1260</v>
      </c>
      <c r="C418" t="s">
        <v>511</v>
      </c>
      <c r="D418" s="7" t="s">
        <v>1261</v>
      </c>
      <c r="E418" t="s">
        <v>32</v>
      </c>
      <c r="F418" t="s">
        <v>26</v>
      </c>
      <c r="G418" t="s">
        <v>27</v>
      </c>
      <c r="H418">
        <v>2</v>
      </c>
      <c r="I418">
        <v>228.88</v>
      </c>
      <c r="J418">
        <v>0</v>
      </c>
      <c r="K418">
        <v>457.76</v>
      </c>
      <c r="L418">
        <v>111.12</v>
      </c>
      <c r="M418" t="s">
        <v>40</v>
      </c>
    </row>
    <row r="419" spans="1:13" x14ac:dyDescent="0.3">
      <c r="A419" t="s">
        <v>1262</v>
      </c>
      <c r="B419" t="s">
        <v>1263</v>
      </c>
      <c r="C419" t="s">
        <v>1063</v>
      </c>
      <c r="D419" s="7" t="s">
        <v>1264</v>
      </c>
      <c r="E419" t="s">
        <v>64</v>
      </c>
      <c r="F419" t="s">
        <v>18</v>
      </c>
      <c r="G419" t="s">
        <v>45</v>
      </c>
      <c r="H419">
        <v>6</v>
      </c>
      <c r="I419">
        <v>135.22</v>
      </c>
      <c r="J419">
        <v>0.1</v>
      </c>
      <c r="K419">
        <v>730.19</v>
      </c>
      <c r="L419">
        <v>88.88</v>
      </c>
      <c r="M419" t="s">
        <v>20</v>
      </c>
    </row>
    <row r="420" spans="1:13" x14ac:dyDescent="0.3">
      <c r="A420" t="s">
        <v>1265</v>
      </c>
      <c r="B420" t="s">
        <v>1112</v>
      </c>
      <c r="C420" t="s">
        <v>421</v>
      </c>
      <c r="D420" s="7" t="s">
        <v>1163</v>
      </c>
      <c r="E420" t="s">
        <v>25</v>
      </c>
      <c r="F420" t="s">
        <v>26</v>
      </c>
      <c r="G420" t="s">
        <v>118</v>
      </c>
      <c r="H420">
        <v>1</v>
      </c>
      <c r="I420">
        <v>77.12</v>
      </c>
      <c r="J420">
        <v>0.1</v>
      </c>
      <c r="K420">
        <v>69.41</v>
      </c>
      <c r="L420">
        <v>20.28</v>
      </c>
      <c r="M420" t="s">
        <v>40</v>
      </c>
    </row>
    <row r="421" spans="1:13" x14ac:dyDescent="0.3">
      <c r="A421" t="s">
        <v>1266</v>
      </c>
      <c r="B421" t="s">
        <v>1267</v>
      </c>
      <c r="C421" t="s">
        <v>1268</v>
      </c>
      <c r="D421" s="7" t="s">
        <v>1269</v>
      </c>
      <c r="E421" t="s">
        <v>17</v>
      </c>
      <c r="F421" t="s">
        <v>33</v>
      </c>
      <c r="G421" t="s">
        <v>34</v>
      </c>
      <c r="H421">
        <v>4</v>
      </c>
      <c r="I421">
        <v>208.87</v>
      </c>
      <c r="J421">
        <v>0</v>
      </c>
      <c r="K421">
        <v>835.48</v>
      </c>
      <c r="L421">
        <v>239.65</v>
      </c>
      <c r="M421" t="s">
        <v>40</v>
      </c>
    </row>
    <row r="422" spans="1:13" x14ac:dyDescent="0.3">
      <c r="A422" t="s">
        <v>1270</v>
      </c>
      <c r="B422" t="s">
        <v>355</v>
      </c>
      <c r="C422" t="s">
        <v>1271</v>
      </c>
      <c r="D422" s="7" t="s">
        <v>1272</v>
      </c>
      <c r="E422" t="s">
        <v>64</v>
      </c>
      <c r="F422" t="s">
        <v>33</v>
      </c>
      <c r="G422" t="s">
        <v>34</v>
      </c>
      <c r="H422">
        <v>1</v>
      </c>
      <c r="I422">
        <v>237.03</v>
      </c>
      <c r="J422">
        <v>0</v>
      </c>
      <c r="K422">
        <v>237.03</v>
      </c>
      <c r="L422">
        <v>27.99</v>
      </c>
      <c r="M422" t="s">
        <v>40</v>
      </c>
    </row>
    <row r="423" spans="1:13" x14ac:dyDescent="0.3">
      <c r="A423" t="s">
        <v>1273</v>
      </c>
      <c r="B423" t="s">
        <v>530</v>
      </c>
      <c r="C423" t="s">
        <v>994</v>
      </c>
      <c r="D423" s="7" t="s">
        <v>1274</v>
      </c>
      <c r="E423" t="s">
        <v>25</v>
      </c>
      <c r="F423" t="s">
        <v>26</v>
      </c>
      <c r="G423" t="s">
        <v>27</v>
      </c>
      <c r="H423">
        <v>3</v>
      </c>
      <c r="I423">
        <v>115.58</v>
      </c>
      <c r="J423">
        <v>0.05</v>
      </c>
      <c r="K423">
        <v>329.4</v>
      </c>
      <c r="L423">
        <v>42.12</v>
      </c>
      <c r="M423" t="s">
        <v>35</v>
      </c>
    </row>
    <row r="424" spans="1:13" x14ac:dyDescent="0.3">
      <c r="A424" t="s">
        <v>1275</v>
      </c>
      <c r="B424" t="s">
        <v>1276</v>
      </c>
      <c r="C424" t="s">
        <v>1277</v>
      </c>
      <c r="D424" s="7" t="s">
        <v>1278</v>
      </c>
      <c r="E424" t="s">
        <v>32</v>
      </c>
      <c r="F424" t="s">
        <v>26</v>
      </c>
      <c r="G424" t="s">
        <v>84</v>
      </c>
      <c r="H424">
        <v>1</v>
      </c>
      <c r="I424">
        <v>141.72999999999999</v>
      </c>
      <c r="J424">
        <v>0.15</v>
      </c>
      <c r="K424">
        <v>120.47</v>
      </c>
      <c r="L424">
        <v>19.510000000000002</v>
      </c>
      <c r="M424" t="s">
        <v>40</v>
      </c>
    </row>
    <row r="425" spans="1:13" x14ac:dyDescent="0.3">
      <c r="A425" t="s">
        <v>1279</v>
      </c>
      <c r="B425" t="s">
        <v>1280</v>
      </c>
      <c r="C425" t="s">
        <v>314</v>
      </c>
      <c r="D425" s="7" t="s">
        <v>594</v>
      </c>
      <c r="E425" t="s">
        <v>17</v>
      </c>
      <c r="F425" t="s">
        <v>89</v>
      </c>
      <c r="G425" t="s">
        <v>150</v>
      </c>
      <c r="H425">
        <v>8</v>
      </c>
      <c r="I425">
        <v>99.07</v>
      </c>
      <c r="J425">
        <v>0.05</v>
      </c>
      <c r="K425">
        <v>752.93</v>
      </c>
      <c r="L425">
        <v>211.21</v>
      </c>
      <c r="M425" t="s">
        <v>20</v>
      </c>
    </row>
    <row r="426" spans="1:13" x14ac:dyDescent="0.3">
      <c r="A426" t="s">
        <v>1281</v>
      </c>
      <c r="B426" t="s">
        <v>506</v>
      </c>
      <c r="C426" t="s">
        <v>93</v>
      </c>
      <c r="D426" s="7" t="s">
        <v>182</v>
      </c>
      <c r="E426" t="s">
        <v>17</v>
      </c>
      <c r="F426" t="s">
        <v>33</v>
      </c>
      <c r="G426" t="s">
        <v>74</v>
      </c>
      <c r="H426">
        <v>4</v>
      </c>
      <c r="I426">
        <v>222.32</v>
      </c>
      <c r="J426">
        <v>0.15</v>
      </c>
      <c r="K426">
        <v>755.89</v>
      </c>
      <c r="L426">
        <v>102.88</v>
      </c>
      <c r="M426" t="s">
        <v>35</v>
      </c>
    </row>
    <row r="427" spans="1:13" x14ac:dyDescent="0.3">
      <c r="A427" t="s">
        <v>1282</v>
      </c>
      <c r="B427" t="s">
        <v>506</v>
      </c>
      <c r="C427" t="s">
        <v>1283</v>
      </c>
      <c r="D427" s="7" t="s">
        <v>1027</v>
      </c>
      <c r="E427" t="s">
        <v>25</v>
      </c>
      <c r="F427" t="s">
        <v>26</v>
      </c>
      <c r="G427" t="s">
        <v>118</v>
      </c>
      <c r="H427">
        <v>7</v>
      </c>
      <c r="I427">
        <v>224.59</v>
      </c>
      <c r="J427">
        <v>0</v>
      </c>
      <c r="K427">
        <v>1572.13</v>
      </c>
      <c r="L427">
        <v>328.72</v>
      </c>
      <c r="M427" t="s">
        <v>35</v>
      </c>
    </row>
    <row r="428" spans="1:13" x14ac:dyDescent="0.3">
      <c r="A428" t="s">
        <v>1284</v>
      </c>
      <c r="B428" t="s">
        <v>1276</v>
      </c>
      <c r="C428" t="s">
        <v>177</v>
      </c>
      <c r="D428" s="7" t="s">
        <v>546</v>
      </c>
      <c r="E428" t="s">
        <v>17</v>
      </c>
      <c r="F428" t="s">
        <v>18</v>
      </c>
      <c r="G428" t="s">
        <v>45</v>
      </c>
      <c r="H428">
        <v>7</v>
      </c>
      <c r="I428">
        <v>136.26</v>
      </c>
      <c r="J428">
        <v>0.05</v>
      </c>
      <c r="K428">
        <v>906.13</v>
      </c>
      <c r="L428">
        <v>180</v>
      </c>
      <c r="M428" t="s">
        <v>40</v>
      </c>
    </row>
    <row r="429" spans="1:13" x14ac:dyDescent="0.3">
      <c r="A429" t="s">
        <v>1285</v>
      </c>
      <c r="B429" t="s">
        <v>128</v>
      </c>
      <c r="C429" t="s">
        <v>490</v>
      </c>
      <c r="D429" s="7" t="s">
        <v>1286</v>
      </c>
      <c r="E429" t="s">
        <v>25</v>
      </c>
      <c r="F429" t="s">
        <v>26</v>
      </c>
      <c r="G429" t="s">
        <v>84</v>
      </c>
      <c r="H429">
        <v>7</v>
      </c>
      <c r="I429">
        <v>126.86</v>
      </c>
      <c r="J429">
        <v>0</v>
      </c>
      <c r="K429">
        <v>888.02</v>
      </c>
      <c r="L429">
        <v>261.79000000000002</v>
      </c>
      <c r="M429" t="s">
        <v>20</v>
      </c>
    </row>
    <row r="430" spans="1:13" x14ac:dyDescent="0.3">
      <c r="A430" t="s">
        <v>1287</v>
      </c>
      <c r="B430" t="s">
        <v>1049</v>
      </c>
      <c r="C430" t="s">
        <v>1288</v>
      </c>
      <c r="D430" s="7" t="s">
        <v>618</v>
      </c>
      <c r="E430" t="s">
        <v>32</v>
      </c>
      <c r="F430" t="s">
        <v>18</v>
      </c>
      <c r="G430" t="s">
        <v>79</v>
      </c>
      <c r="H430">
        <v>5</v>
      </c>
      <c r="I430">
        <v>83.45</v>
      </c>
      <c r="J430">
        <v>0.15</v>
      </c>
      <c r="K430">
        <v>354.66</v>
      </c>
      <c r="L430">
        <v>43.15</v>
      </c>
      <c r="M430" t="s">
        <v>20</v>
      </c>
    </row>
    <row r="431" spans="1:13" x14ac:dyDescent="0.3">
      <c r="A431" t="s">
        <v>1289</v>
      </c>
      <c r="B431" t="s">
        <v>1129</v>
      </c>
      <c r="C431" t="s">
        <v>1290</v>
      </c>
      <c r="D431" s="7" t="s">
        <v>1291</v>
      </c>
      <c r="E431" t="s">
        <v>59</v>
      </c>
      <c r="F431" t="s">
        <v>26</v>
      </c>
      <c r="G431" t="s">
        <v>27</v>
      </c>
      <c r="H431">
        <v>8</v>
      </c>
      <c r="I431">
        <v>143.5</v>
      </c>
      <c r="J431">
        <v>0.1</v>
      </c>
      <c r="K431">
        <v>1033.2</v>
      </c>
      <c r="L431">
        <v>156.04</v>
      </c>
      <c r="M431" t="s">
        <v>35</v>
      </c>
    </row>
    <row r="432" spans="1:13" x14ac:dyDescent="0.3">
      <c r="A432" t="s">
        <v>1292</v>
      </c>
      <c r="B432" t="s">
        <v>264</v>
      </c>
      <c r="C432" t="s">
        <v>1293</v>
      </c>
      <c r="D432" s="7" t="s">
        <v>976</v>
      </c>
      <c r="E432" t="s">
        <v>32</v>
      </c>
      <c r="F432" t="s">
        <v>33</v>
      </c>
      <c r="G432" t="s">
        <v>69</v>
      </c>
      <c r="H432">
        <v>2</v>
      </c>
      <c r="I432">
        <v>124.67</v>
      </c>
      <c r="J432">
        <v>0.1</v>
      </c>
      <c r="K432">
        <v>224.41</v>
      </c>
      <c r="L432">
        <v>32.18</v>
      </c>
      <c r="M432" t="s">
        <v>35</v>
      </c>
    </row>
    <row r="433" spans="1:13" x14ac:dyDescent="0.3">
      <c r="A433" t="s">
        <v>1294</v>
      </c>
      <c r="B433" t="s">
        <v>111</v>
      </c>
      <c r="C433" t="s">
        <v>490</v>
      </c>
      <c r="D433" s="7" t="s">
        <v>1295</v>
      </c>
      <c r="E433" t="s">
        <v>64</v>
      </c>
      <c r="F433" t="s">
        <v>33</v>
      </c>
      <c r="G433" t="s">
        <v>74</v>
      </c>
      <c r="H433">
        <v>6</v>
      </c>
      <c r="I433">
        <v>246.71</v>
      </c>
      <c r="J433">
        <v>0.15</v>
      </c>
      <c r="K433">
        <v>1258.22</v>
      </c>
      <c r="L433">
        <v>244.65</v>
      </c>
      <c r="M433" t="s">
        <v>40</v>
      </c>
    </row>
    <row r="434" spans="1:13" x14ac:dyDescent="0.3">
      <c r="A434" t="s">
        <v>1296</v>
      </c>
      <c r="B434" t="s">
        <v>957</v>
      </c>
      <c r="C434" t="s">
        <v>144</v>
      </c>
      <c r="D434" s="7" t="s">
        <v>1209</v>
      </c>
      <c r="E434" t="s">
        <v>25</v>
      </c>
      <c r="F434" t="s">
        <v>33</v>
      </c>
      <c r="G434" t="s">
        <v>50</v>
      </c>
      <c r="H434">
        <v>1</v>
      </c>
      <c r="I434">
        <v>91.66</v>
      </c>
      <c r="J434">
        <v>0.1</v>
      </c>
      <c r="K434">
        <v>82.49</v>
      </c>
      <c r="L434">
        <v>9.8000000000000007</v>
      </c>
      <c r="M434" t="s">
        <v>40</v>
      </c>
    </row>
    <row r="435" spans="1:13" x14ac:dyDescent="0.3">
      <c r="A435" t="s">
        <v>1297</v>
      </c>
      <c r="B435" t="s">
        <v>1298</v>
      </c>
      <c r="C435" t="s">
        <v>1299</v>
      </c>
      <c r="D435" s="7" t="s">
        <v>1300</v>
      </c>
      <c r="E435" t="s">
        <v>64</v>
      </c>
      <c r="F435" t="s">
        <v>26</v>
      </c>
      <c r="G435" t="s">
        <v>118</v>
      </c>
      <c r="H435">
        <v>2</v>
      </c>
      <c r="I435">
        <v>86.54</v>
      </c>
      <c r="J435">
        <v>0.1</v>
      </c>
      <c r="K435">
        <v>155.77000000000001</v>
      </c>
      <c r="L435">
        <v>40.67</v>
      </c>
      <c r="M435" t="s">
        <v>35</v>
      </c>
    </row>
    <row r="436" spans="1:13" x14ac:dyDescent="0.3">
      <c r="A436" t="s">
        <v>1301</v>
      </c>
      <c r="B436" t="s">
        <v>611</v>
      </c>
      <c r="C436" t="s">
        <v>1302</v>
      </c>
      <c r="D436" s="7" t="s">
        <v>1303</v>
      </c>
      <c r="E436" t="s">
        <v>25</v>
      </c>
      <c r="F436" t="s">
        <v>33</v>
      </c>
      <c r="G436" t="s">
        <v>34</v>
      </c>
      <c r="H436">
        <v>3</v>
      </c>
      <c r="I436">
        <v>190.96</v>
      </c>
      <c r="J436">
        <v>0</v>
      </c>
      <c r="K436">
        <v>572.88</v>
      </c>
      <c r="L436">
        <v>150.4</v>
      </c>
      <c r="M436" t="s">
        <v>20</v>
      </c>
    </row>
    <row r="437" spans="1:13" x14ac:dyDescent="0.3">
      <c r="A437" t="s">
        <v>1304</v>
      </c>
      <c r="B437" t="s">
        <v>1216</v>
      </c>
      <c r="C437" t="s">
        <v>1305</v>
      </c>
      <c r="D437" s="7" t="s">
        <v>927</v>
      </c>
      <c r="E437" t="s">
        <v>32</v>
      </c>
      <c r="F437" t="s">
        <v>33</v>
      </c>
      <c r="G437" t="s">
        <v>34</v>
      </c>
      <c r="H437">
        <v>8</v>
      </c>
      <c r="I437">
        <v>180.97</v>
      </c>
      <c r="J437">
        <v>0</v>
      </c>
      <c r="K437">
        <v>1447.76</v>
      </c>
      <c r="L437">
        <v>282.41000000000003</v>
      </c>
      <c r="M437" t="s">
        <v>40</v>
      </c>
    </row>
    <row r="438" spans="1:13" x14ac:dyDescent="0.3">
      <c r="A438" t="s">
        <v>1306</v>
      </c>
      <c r="B438" t="s">
        <v>1307</v>
      </c>
      <c r="C438" t="s">
        <v>894</v>
      </c>
      <c r="D438" s="7" t="s">
        <v>1308</v>
      </c>
      <c r="E438" t="s">
        <v>32</v>
      </c>
      <c r="F438" t="s">
        <v>89</v>
      </c>
      <c r="G438" t="s">
        <v>150</v>
      </c>
      <c r="H438">
        <v>7</v>
      </c>
      <c r="I438">
        <v>63.1</v>
      </c>
      <c r="J438">
        <v>0.15</v>
      </c>
      <c r="K438">
        <v>375.44</v>
      </c>
      <c r="L438">
        <v>53.23</v>
      </c>
      <c r="M438" t="s">
        <v>40</v>
      </c>
    </row>
    <row r="439" spans="1:13" x14ac:dyDescent="0.3">
      <c r="A439" t="s">
        <v>1309</v>
      </c>
      <c r="B439" t="s">
        <v>665</v>
      </c>
      <c r="C439" t="s">
        <v>1310</v>
      </c>
      <c r="D439" s="7" t="s">
        <v>1295</v>
      </c>
      <c r="E439" t="s">
        <v>32</v>
      </c>
      <c r="F439" t="s">
        <v>33</v>
      </c>
      <c r="G439" t="s">
        <v>34</v>
      </c>
      <c r="H439">
        <v>7</v>
      </c>
      <c r="I439">
        <v>25.62</v>
      </c>
      <c r="J439">
        <v>0.1</v>
      </c>
      <c r="K439">
        <v>161.41</v>
      </c>
      <c r="L439">
        <v>27.31</v>
      </c>
      <c r="M439" t="s">
        <v>20</v>
      </c>
    </row>
    <row r="440" spans="1:13" x14ac:dyDescent="0.3">
      <c r="A440" t="s">
        <v>1311</v>
      </c>
      <c r="B440" t="s">
        <v>1260</v>
      </c>
      <c r="C440" t="s">
        <v>1312</v>
      </c>
      <c r="D440" s="7" t="s">
        <v>495</v>
      </c>
      <c r="E440" t="s">
        <v>25</v>
      </c>
      <c r="F440" t="s">
        <v>18</v>
      </c>
      <c r="G440" t="s">
        <v>45</v>
      </c>
      <c r="H440">
        <v>5</v>
      </c>
      <c r="I440">
        <v>80.290000000000006</v>
      </c>
      <c r="J440">
        <v>0.1</v>
      </c>
      <c r="K440">
        <v>361.31</v>
      </c>
      <c r="L440">
        <v>43.02</v>
      </c>
      <c r="M440" t="s">
        <v>35</v>
      </c>
    </row>
    <row r="441" spans="1:13" x14ac:dyDescent="0.3">
      <c r="A441" t="s">
        <v>1313</v>
      </c>
      <c r="B441" t="s">
        <v>1190</v>
      </c>
      <c r="C441" t="s">
        <v>1314</v>
      </c>
      <c r="D441" s="7" t="s">
        <v>1315</v>
      </c>
      <c r="E441" t="s">
        <v>17</v>
      </c>
      <c r="F441" t="s">
        <v>26</v>
      </c>
      <c r="G441" t="s">
        <v>27</v>
      </c>
      <c r="H441">
        <v>5</v>
      </c>
      <c r="I441">
        <v>184.01</v>
      </c>
      <c r="J441">
        <v>0.05</v>
      </c>
      <c r="K441">
        <v>874.05</v>
      </c>
      <c r="L441">
        <v>245.92</v>
      </c>
      <c r="M441" t="s">
        <v>40</v>
      </c>
    </row>
    <row r="442" spans="1:13" x14ac:dyDescent="0.3">
      <c r="A442" t="s">
        <v>1316</v>
      </c>
      <c r="B442" t="s">
        <v>592</v>
      </c>
      <c r="C442" t="s">
        <v>215</v>
      </c>
      <c r="D442" s="7" t="s">
        <v>1317</v>
      </c>
      <c r="E442" t="s">
        <v>25</v>
      </c>
      <c r="F442" t="s">
        <v>18</v>
      </c>
      <c r="G442" t="s">
        <v>45</v>
      </c>
      <c r="H442">
        <v>6</v>
      </c>
      <c r="I442">
        <v>165.21</v>
      </c>
      <c r="J442">
        <v>0</v>
      </c>
      <c r="K442">
        <v>991.26</v>
      </c>
      <c r="L442">
        <v>152.22999999999999</v>
      </c>
      <c r="M442" t="s">
        <v>40</v>
      </c>
    </row>
    <row r="443" spans="1:13" x14ac:dyDescent="0.3">
      <c r="A443" t="s">
        <v>1318</v>
      </c>
      <c r="B443" t="s">
        <v>286</v>
      </c>
      <c r="C443" t="s">
        <v>1087</v>
      </c>
      <c r="D443" s="7" t="s">
        <v>343</v>
      </c>
      <c r="E443" t="s">
        <v>59</v>
      </c>
      <c r="F443" t="s">
        <v>33</v>
      </c>
      <c r="G443" t="s">
        <v>74</v>
      </c>
      <c r="H443">
        <v>8</v>
      </c>
      <c r="I443">
        <v>228.75</v>
      </c>
      <c r="J443">
        <v>0.15</v>
      </c>
      <c r="K443">
        <v>1555.5</v>
      </c>
      <c r="L443">
        <v>376.68</v>
      </c>
      <c r="M443" t="s">
        <v>35</v>
      </c>
    </row>
    <row r="444" spans="1:13" x14ac:dyDescent="0.3">
      <c r="A444" t="s">
        <v>1319</v>
      </c>
      <c r="B444" t="s">
        <v>1280</v>
      </c>
      <c r="C444" t="s">
        <v>608</v>
      </c>
      <c r="D444" s="7" t="s">
        <v>1320</v>
      </c>
      <c r="E444" t="s">
        <v>59</v>
      </c>
      <c r="F444" t="s">
        <v>89</v>
      </c>
      <c r="G444" t="s">
        <v>90</v>
      </c>
      <c r="H444">
        <v>5</v>
      </c>
      <c r="I444">
        <v>20.39</v>
      </c>
      <c r="J444">
        <v>0.1</v>
      </c>
      <c r="K444">
        <v>91.76</v>
      </c>
      <c r="L444">
        <v>27.01</v>
      </c>
      <c r="M444" t="s">
        <v>20</v>
      </c>
    </row>
    <row r="445" spans="1:13" x14ac:dyDescent="0.3">
      <c r="A445" t="s">
        <v>1321</v>
      </c>
      <c r="B445" t="s">
        <v>217</v>
      </c>
      <c r="C445" t="s">
        <v>1322</v>
      </c>
      <c r="D445" s="7" t="s">
        <v>1323</v>
      </c>
      <c r="E445" t="s">
        <v>32</v>
      </c>
      <c r="F445" t="s">
        <v>89</v>
      </c>
      <c r="G445" t="s">
        <v>150</v>
      </c>
      <c r="H445">
        <v>8</v>
      </c>
      <c r="I445">
        <v>214.38</v>
      </c>
      <c r="J445">
        <v>0.05</v>
      </c>
      <c r="K445">
        <v>1629.29</v>
      </c>
      <c r="L445">
        <v>184.17</v>
      </c>
      <c r="M445" t="s">
        <v>20</v>
      </c>
    </row>
    <row r="446" spans="1:13" x14ac:dyDescent="0.3">
      <c r="A446" t="s">
        <v>1324</v>
      </c>
      <c r="B446" t="s">
        <v>155</v>
      </c>
      <c r="C446" t="s">
        <v>287</v>
      </c>
      <c r="D446" s="7" t="s">
        <v>666</v>
      </c>
      <c r="E446" t="s">
        <v>32</v>
      </c>
      <c r="F446" t="s">
        <v>33</v>
      </c>
      <c r="G446" t="s">
        <v>34</v>
      </c>
      <c r="H446">
        <v>8</v>
      </c>
      <c r="I446">
        <v>155.52000000000001</v>
      </c>
      <c r="J446">
        <v>0.05</v>
      </c>
      <c r="K446">
        <v>1181.95</v>
      </c>
      <c r="L446">
        <v>347.16</v>
      </c>
      <c r="M446" t="s">
        <v>40</v>
      </c>
    </row>
    <row r="447" spans="1:13" x14ac:dyDescent="0.3">
      <c r="A447" t="s">
        <v>1325</v>
      </c>
      <c r="B447" t="s">
        <v>1011</v>
      </c>
      <c r="C447" t="s">
        <v>753</v>
      </c>
      <c r="D447" s="7" t="s">
        <v>922</v>
      </c>
      <c r="E447" t="s">
        <v>32</v>
      </c>
      <c r="F447" t="s">
        <v>26</v>
      </c>
      <c r="G447" t="s">
        <v>118</v>
      </c>
      <c r="H447">
        <v>4</v>
      </c>
      <c r="I447">
        <v>106.81</v>
      </c>
      <c r="J447">
        <v>0.1</v>
      </c>
      <c r="K447">
        <v>384.52</v>
      </c>
      <c r="L447">
        <v>98.67</v>
      </c>
      <c r="M447" t="s">
        <v>40</v>
      </c>
    </row>
    <row r="448" spans="1:13" x14ac:dyDescent="0.3">
      <c r="A448" t="s">
        <v>1326</v>
      </c>
      <c r="B448" t="s">
        <v>1298</v>
      </c>
      <c r="C448" t="s">
        <v>1327</v>
      </c>
      <c r="D448" s="7" t="s">
        <v>995</v>
      </c>
      <c r="E448" t="s">
        <v>59</v>
      </c>
      <c r="F448" t="s">
        <v>33</v>
      </c>
      <c r="G448" t="s">
        <v>69</v>
      </c>
      <c r="H448">
        <v>3</v>
      </c>
      <c r="I448">
        <v>153.25</v>
      </c>
      <c r="J448">
        <v>0</v>
      </c>
      <c r="K448">
        <v>459.75</v>
      </c>
      <c r="L448">
        <v>90.31</v>
      </c>
      <c r="M448" t="s">
        <v>20</v>
      </c>
    </row>
    <row r="449" spans="1:13" x14ac:dyDescent="0.3">
      <c r="A449" t="s">
        <v>1328</v>
      </c>
      <c r="B449" t="s">
        <v>643</v>
      </c>
      <c r="C449" t="s">
        <v>1329</v>
      </c>
      <c r="D449" s="7" t="s">
        <v>546</v>
      </c>
      <c r="E449" t="s">
        <v>59</v>
      </c>
      <c r="F449" t="s">
        <v>89</v>
      </c>
      <c r="G449" t="s">
        <v>90</v>
      </c>
      <c r="H449">
        <v>1</v>
      </c>
      <c r="I449">
        <v>166.29</v>
      </c>
      <c r="J449">
        <v>0.05</v>
      </c>
      <c r="K449">
        <v>157.97999999999999</v>
      </c>
      <c r="L449">
        <v>29.48</v>
      </c>
      <c r="M449" t="s">
        <v>35</v>
      </c>
    </row>
    <row r="450" spans="1:13" x14ac:dyDescent="0.3">
      <c r="A450" t="s">
        <v>1330</v>
      </c>
      <c r="B450" t="s">
        <v>111</v>
      </c>
      <c r="C450" t="s">
        <v>1331</v>
      </c>
      <c r="D450" s="7" t="s">
        <v>1332</v>
      </c>
      <c r="E450" t="s">
        <v>25</v>
      </c>
      <c r="F450" t="s">
        <v>26</v>
      </c>
      <c r="G450" t="s">
        <v>84</v>
      </c>
      <c r="H450">
        <v>6</v>
      </c>
      <c r="I450">
        <v>35.44</v>
      </c>
      <c r="J450">
        <v>0</v>
      </c>
      <c r="K450">
        <v>212.64</v>
      </c>
      <c r="L450">
        <v>29.2</v>
      </c>
      <c r="M450" t="s">
        <v>35</v>
      </c>
    </row>
    <row r="451" spans="1:13" x14ac:dyDescent="0.3">
      <c r="A451" t="s">
        <v>1333</v>
      </c>
      <c r="B451" t="s">
        <v>286</v>
      </c>
      <c r="C451" t="s">
        <v>328</v>
      </c>
      <c r="D451" s="7" t="s">
        <v>315</v>
      </c>
      <c r="E451" t="s">
        <v>59</v>
      </c>
      <c r="F451" t="s">
        <v>33</v>
      </c>
      <c r="G451" t="s">
        <v>74</v>
      </c>
      <c r="H451">
        <v>4</v>
      </c>
      <c r="I451">
        <v>66.86</v>
      </c>
      <c r="J451">
        <v>0</v>
      </c>
      <c r="K451">
        <v>267.44</v>
      </c>
      <c r="L451">
        <v>65.73</v>
      </c>
      <c r="M451" t="s">
        <v>20</v>
      </c>
    </row>
    <row r="452" spans="1:13" x14ac:dyDescent="0.3">
      <c r="A452" t="s">
        <v>1334</v>
      </c>
      <c r="B452" t="s">
        <v>1335</v>
      </c>
      <c r="C452" t="s">
        <v>886</v>
      </c>
      <c r="D452" s="7" t="s">
        <v>54</v>
      </c>
      <c r="E452" t="s">
        <v>32</v>
      </c>
      <c r="F452" t="s">
        <v>26</v>
      </c>
      <c r="G452" t="s">
        <v>27</v>
      </c>
      <c r="H452">
        <v>2</v>
      </c>
      <c r="I452">
        <v>207.03</v>
      </c>
      <c r="J452">
        <v>0.15</v>
      </c>
      <c r="K452">
        <v>351.95</v>
      </c>
      <c r="L452">
        <v>74.69</v>
      </c>
      <c r="M452" t="s">
        <v>35</v>
      </c>
    </row>
    <row r="453" spans="1:13" x14ac:dyDescent="0.3">
      <c r="A453" t="s">
        <v>1336</v>
      </c>
      <c r="B453" t="s">
        <v>554</v>
      </c>
      <c r="C453" t="s">
        <v>486</v>
      </c>
      <c r="D453" s="7" t="s">
        <v>624</v>
      </c>
      <c r="E453" t="s">
        <v>17</v>
      </c>
      <c r="F453" t="s">
        <v>89</v>
      </c>
      <c r="G453" t="s">
        <v>131</v>
      </c>
      <c r="H453">
        <v>6</v>
      </c>
      <c r="I453">
        <v>49.91</v>
      </c>
      <c r="J453">
        <v>0.1</v>
      </c>
      <c r="K453">
        <v>269.51</v>
      </c>
      <c r="L453">
        <v>58.43</v>
      </c>
      <c r="M453" t="s">
        <v>35</v>
      </c>
    </row>
    <row r="454" spans="1:13" x14ac:dyDescent="0.3">
      <c r="A454" t="s">
        <v>1337</v>
      </c>
      <c r="B454" t="s">
        <v>489</v>
      </c>
      <c r="C454" t="s">
        <v>369</v>
      </c>
      <c r="D454" s="7" t="s">
        <v>161</v>
      </c>
      <c r="E454" t="s">
        <v>17</v>
      </c>
      <c r="F454" t="s">
        <v>26</v>
      </c>
      <c r="G454" t="s">
        <v>27</v>
      </c>
      <c r="H454">
        <v>4</v>
      </c>
      <c r="I454">
        <v>94.08</v>
      </c>
      <c r="J454">
        <v>0.1</v>
      </c>
      <c r="K454">
        <v>338.69</v>
      </c>
      <c r="L454">
        <v>94.95</v>
      </c>
      <c r="M454" t="s">
        <v>40</v>
      </c>
    </row>
    <row r="455" spans="1:13" x14ac:dyDescent="0.3">
      <c r="A455" t="s">
        <v>1338</v>
      </c>
      <c r="B455" t="s">
        <v>715</v>
      </c>
      <c r="C455" t="s">
        <v>1339</v>
      </c>
      <c r="D455" s="7" t="s">
        <v>1235</v>
      </c>
      <c r="E455" t="s">
        <v>17</v>
      </c>
      <c r="F455" t="s">
        <v>18</v>
      </c>
      <c r="G455" t="s">
        <v>45</v>
      </c>
      <c r="H455">
        <v>6</v>
      </c>
      <c r="I455">
        <v>89.18</v>
      </c>
      <c r="J455">
        <v>0.05</v>
      </c>
      <c r="K455">
        <v>508.33</v>
      </c>
      <c r="L455">
        <v>68.48</v>
      </c>
      <c r="M455" t="s">
        <v>35</v>
      </c>
    </row>
    <row r="456" spans="1:13" x14ac:dyDescent="0.3">
      <c r="A456" t="s">
        <v>1340</v>
      </c>
      <c r="B456" t="s">
        <v>592</v>
      </c>
      <c r="C456" t="s">
        <v>567</v>
      </c>
      <c r="D456" s="7" t="s">
        <v>1341</v>
      </c>
      <c r="E456" t="s">
        <v>64</v>
      </c>
      <c r="F456" t="s">
        <v>89</v>
      </c>
      <c r="G456" t="s">
        <v>90</v>
      </c>
      <c r="H456">
        <v>1</v>
      </c>
      <c r="I456">
        <v>91.65</v>
      </c>
      <c r="J456">
        <v>0.1</v>
      </c>
      <c r="K456">
        <v>82.49</v>
      </c>
      <c r="L456">
        <v>23.96</v>
      </c>
      <c r="M456" t="s">
        <v>20</v>
      </c>
    </row>
    <row r="457" spans="1:13" x14ac:dyDescent="0.3">
      <c r="A457" t="s">
        <v>1342</v>
      </c>
      <c r="B457" t="s">
        <v>782</v>
      </c>
      <c r="C457" t="s">
        <v>1343</v>
      </c>
      <c r="D457" s="7" t="s">
        <v>1344</v>
      </c>
      <c r="E457" t="s">
        <v>17</v>
      </c>
      <c r="F457" t="s">
        <v>33</v>
      </c>
      <c r="G457" t="s">
        <v>34</v>
      </c>
      <c r="H457">
        <v>1</v>
      </c>
      <c r="I457">
        <v>165.37</v>
      </c>
      <c r="J457">
        <v>0</v>
      </c>
      <c r="K457">
        <v>165.37</v>
      </c>
      <c r="L457">
        <v>25.65</v>
      </c>
      <c r="M457" t="s">
        <v>20</v>
      </c>
    </row>
    <row r="458" spans="1:13" x14ac:dyDescent="0.3">
      <c r="A458" t="s">
        <v>1345</v>
      </c>
      <c r="B458" t="s">
        <v>701</v>
      </c>
      <c r="C458" t="s">
        <v>1346</v>
      </c>
      <c r="D458" s="7" t="s">
        <v>1347</v>
      </c>
      <c r="E458" t="s">
        <v>25</v>
      </c>
      <c r="F458" t="s">
        <v>33</v>
      </c>
      <c r="G458" t="s">
        <v>74</v>
      </c>
      <c r="H458">
        <v>2</v>
      </c>
      <c r="I458">
        <v>231.29</v>
      </c>
      <c r="J458">
        <v>0.1</v>
      </c>
      <c r="K458">
        <v>416.32</v>
      </c>
      <c r="L458">
        <v>113.37</v>
      </c>
      <c r="M458" t="s">
        <v>35</v>
      </c>
    </row>
    <row r="459" spans="1:13" x14ac:dyDescent="0.3">
      <c r="A459" t="s">
        <v>1348</v>
      </c>
      <c r="B459" t="s">
        <v>242</v>
      </c>
      <c r="C459" t="s">
        <v>1247</v>
      </c>
      <c r="D459" s="7" t="s">
        <v>201</v>
      </c>
      <c r="E459" t="s">
        <v>64</v>
      </c>
      <c r="F459" t="s">
        <v>89</v>
      </c>
      <c r="G459" t="s">
        <v>90</v>
      </c>
      <c r="H459">
        <v>5</v>
      </c>
      <c r="I459">
        <v>109.14</v>
      </c>
      <c r="J459">
        <v>0.05</v>
      </c>
      <c r="K459">
        <v>518.41</v>
      </c>
      <c r="L459">
        <v>56.49</v>
      </c>
      <c r="M459" t="s">
        <v>40</v>
      </c>
    </row>
    <row r="460" spans="1:13" x14ac:dyDescent="0.3">
      <c r="A460" t="s">
        <v>1349</v>
      </c>
      <c r="B460" t="s">
        <v>1350</v>
      </c>
      <c r="C460" t="s">
        <v>230</v>
      </c>
      <c r="D460" s="7" t="s">
        <v>1278</v>
      </c>
      <c r="E460" t="s">
        <v>25</v>
      </c>
      <c r="F460" t="s">
        <v>89</v>
      </c>
      <c r="G460" t="s">
        <v>150</v>
      </c>
      <c r="H460">
        <v>2</v>
      </c>
      <c r="I460">
        <v>159.9</v>
      </c>
      <c r="J460">
        <v>0.1</v>
      </c>
      <c r="K460">
        <v>287.82</v>
      </c>
      <c r="L460">
        <v>31.94</v>
      </c>
      <c r="M460" t="s">
        <v>40</v>
      </c>
    </row>
    <row r="461" spans="1:13" x14ac:dyDescent="0.3">
      <c r="A461" t="s">
        <v>1351</v>
      </c>
      <c r="B461" t="s">
        <v>1352</v>
      </c>
      <c r="C461" t="s">
        <v>1353</v>
      </c>
      <c r="D461" s="7" t="s">
        <v>1354</v>
      </c>
      <c r="E461" t="s">
        <v>25</v>
      </c>
      <c r="F461" t="s">
        <v>18</v>
      </c>
      <c r="G461" t="s">
        <v>45</v>
      </c>
      <c r="H461">
        <v>4</v>
      </c>
      <c r="I461">
        <v>222.86</v>
      </c>
      <c r="J461">
        <v>0</v>
      </c>
      <c r="K461">
        <v>891.44</v>
      </c>
      <c r="L461">
        <v>267.02</v>
      </c>
      <c r="M461" t="s">
        <v>35</v>
      </c>
    </row>
    <row r="462" spans="1:13" x14ac:dyDescent="0.3">
      <c r="A462" t="s">
        <v>1355</v>
      </c>
      <c r="B462" t="s">
        <v>1356</v>
      </c>
      <c r="C462" t="s">
        <v>1185</v>
      </c>
      <c r="D462" s="7" t="s">
        <v>965</v>
      </c>
      <c r="E462" t="s">
        <v>32</v>
      </c>
      <c r="F462" t="s">
        <v>26</v>
      </c>
      <c r="G462" t="s">
        <v>84</v>
      </c>
      <c r="H462">
        <v>5</v>
      </c>
      <c r="I462">
        <v>172.35</v>
      </c>
      <c r="J462">
        <v>0.05</v>
      </c>
      <c r="K462">
        <v>818.66</v>
      </c>
      <c r="L462">
        <v>169.05</v>
      </c>
      <c r="M462" t="s">
        <v>35</v>
      </c>
    </row>
    <row r="463" spans="1:13" x14ac:dyDescent="0.3">
      <c r="A463" t="s">
        <v>1357</v>
      </c>
      <c r="B463" t="s">
        <v>1358</v>
      </c>
      <c r="C463" t="s">
        <v>1359</v>
      </c>
      <c r="D463" s="7" t="s">
        <v>550</v>
      </c>
      <c r="E463" t="s">
        <v>32</v>
      </c>
      <c r="F463" t="s">
        <v>26</v>
      </c>
      <c r="G463" t="s">
        <v>118</v>
      </c>
      <c r="H463">
        <v>2</v>
      </c>
      <c r="I463">
        <v>36.19</v>
      </c>
      <c r="J463">
        <v>0</v>
      </c>
      <c r="K463">
        <v>72.38</v>
      </c>
      <c r="L463">
        <v>10.36</v>
      </c>
      <c r="M463" t="s">
        <v>35</v>
      </c>
    </row>
    <row r="464" spans="1:13" x14ac:dyDescent="0.3">
      <c r="A464" t="s">
        <v>1360</v>
      </c>
      <c r="B464" t="s">
        <v>964</v>
      </c>
      <c r="C464" t="s">
        <v>1361</v>
      </c>
      <c r="D464" s="7" t="s">
        <v>1362</v>
      </c>
      <c r="E464" t="s">
        <v>59</v>
      </c>
      <c r="F464" t="s">
        <v>18</v>
      </c>
      <c r="G464" t="s">
        <v>45</v>
      </c>
      <c r="H464">
        <v>6</v>
      </c>
      <c r="I464">
        <v>31.84</v>
      </c>
      <c r="J464">
        <v>0.1</v>
      </c>
      <c r="K464">
        <v>171.94</v>
      </c>
      <c r="L464">
        <v>37.799999999999997</v>
      </c>
      <c r="M464" t="s">
        <v>20</v>
      </c>
    </row>
    <row r="465" spans="1:13" x14ac:dyDescent="0.3">
      <c r="A465" t="s">
        <v>1363</v>
      </c>
      <c r="B465" t="s">
        <v>124</v>
      </c>
      <c r="C465" t="s">
        <v>1364</v>
      </c>
      <c r="D465" s="7" t="s">
        <v>1365</v>
      </c>
      <c r="E465" t="s">
        <v>17</v>
      </c>
      <c r="F465" t="s">
        <v>18</v>
      </c>
      <c r="G465" t="s">
        <v>79</v>
      </c>
      <c r="H465">
        <v>3</v>
      </c>
      <c r="I465">
        <v>195.99</v>
      </c>
      <c r="J465">
        <v>0.1</v>
      </c>
      <c r="K465">
        <v>529.16999999999996</v>
      </c>
      <c r="L465">
        <v>137.06</v>
      </c>
      <c r="M465" t="s">
        <v>20</v>
      </c>
    </row>
    <row r="466" spans="1:13" x14ac:dyDescent="0.3">
      <c r="A466" t="s">
        <v>1366</v>
      </c>
      <c r="B466" t="s">
        <v>1367</v>
      </c>
      <c r="C466" t="s">
        <v>1368</v>
      </c>
      <c r="D466" s="7" t="s">
        <v>1369</v>
      </c>
      <c r="E466" t="s">
        <v>64</v>
      </c>
      <c r="F466" t="s">
        <v>33</v>
      </c>
      <c r="G466" t="s">
        <v>69</v>
      </c>
      <c r="H466">
        <v>2</v>
      </c>
      <c r="I466">
        <v>38.299999999999997</v>
      </c>
      <c r="J466">
        <v>0.15</v>
      </c>
      <c r="K466">
        <v>65.11</v>
      </c>
      <c r="L466">
        <v>9.15</v>
      </c>
      <c r="M466" t="s">
        <v>35</v>
      </c>
    </row>
    <row r="467" spans="1:13" x14ac:dyDescent="0.3">
      <c r="A467" t="s">
        <v>1370</v>
      </c>
      <c r="B467" t="s">
        <v>1371</v>
      </c>
      <c r="C467" t="s">
        <v>555</v>
      </c>
      <c r="D467" s="7" t="s">
        <v>1332</v>
      </c>
      <c r="E467" t="s">
        <v>17</v>
      </c>
      <c r="F467" t="s">
        <v>89</v>
      </c>
      <c r="G467" t="s">
        <v>150</v>
      </c>
      <c r="H467">
        <v>7</v>
      </c>
      <c r="I467">
        <v>128.05000000000001</v>
      </c>
      <c r="J467">
        <v>0.1</v>
      </c>
      <c r="K467">
        <v>806.72</v>
      </c>
      <c r="L467">
        <v>84.21</v>
      </c>
      <c r="M467" t="s">
        <v>40</v>
      </c>
    </row>
    <row r="468" spans="1:13" x14ac:dyDescent="0.3">
      <c r="A468" t="s">
        <v>1372</v>
      </c>
      <c r="B468" t="s">
        <v>620</v>
      </c>
      <c r="C468" t="s">
        <v>1373</v>
      </c>
      <c r="D468" s="7" t="s">
        <v>568</v>
      </c>
      <c r="E468" t="s">
        <v>64</v>
      </c>
      <c r="F468" t="s">
        <v>26</v>
      </c>
      <c r="G468" t="s">
        <v>27</v>
      </c>
      <c r="H468">
        <v>4</v>
      </c>
      <c r="I468">
        <v>88.48</v>
      </c>
      <c r="J468">
        <v>0.05</v>
      </c>
      <c r="K468">
        <v>336.22</v>
      </c>
      <c r="L468">
        <v>74.73</v>
      </c>
      <c r="M468" t="s">
        <v>35</v>
      </c>
    </row>
    <row r="469" spans="1:13" x14ac:dyDescent="0.3">
      <c r="A469" t="s">
        <v>1374</v>
      </c>
      <c r="B469" t="s">
        <v>686</v>
      </c>
      <c r="C469" t="s">
        <v>991</v>
      </c>
      <c r="D469" s="7" t="s">
        <v>1375</v>
      </c>
      <c r="E469" t="s">
        <v>32</v>
      </c>
      <c r="F469" t="s">
        <v>26</v>
      </c>
      <c r="G469" t="s">
        <v>118</v>
      </c>
      <c r="H469">
        <v>5</v>
      </c>
      <c r="I469">
        <v>25.41</v>
      </c>
      <c r="J469">
        <v>0</v>
      </c>
      <c r="K469">
        <v>127.05</v>
      </c>
      <c r="L469">
        <v>28.23</v>
      </c>
      <c r="M469" t="s">
        <v>40</v>
      </c>
    </row>
    <row r="470" spans="1:13" x14ac:dyDescent="0.3">
      <c r="A470" t="s">
        <v>1376</v>
      </c>
      <c r="B470" t="s">
        <v>1377</v>
      </c>
      <c r="C470" t="s">
        <v>827</v>
      </c>
      <c r="D470" s="7" t="s">
        <v>161</v>
      </c>
      <c r="E470" t="s">
        <v>59</v>
      </c>
      <c r="F470" t="s">
        <v>26</v>
      </c>
      <c r="G470" t="s">
        <v>84</v>
      </c>
      <c r="H470">
        <v>8</v>
      </c>
      <c r="I470">
        <v>173.68</v>
      </c>
      <c r="J470">
        <v>0</v>
      </c>
      <c r="K470">
        <v>1389.44</v>
      </c>
      <c r="L470">
        <v>152.4</v>
      </c>
      <c r="M470" t="s">
        <v>40</v>
      </c>
    </row>
    <row r="471" spans="1:13" x14ac:dyDescent="0.3">
      <c r="A471" t="s">
        <v>1378</v>
      </c>
      <c r="B471" t="s">
        <v>904</v>
      </c>
      <c r="C471" t="s">
        <v>1379</v>
      </c>
      <c r="D471" s="7" t="s">
        <v>546</v>
      </c>
      <c r="E471" t="s">
        <v>59</v>
      </c>
      <c r="F471" t="s">
        <v>26</v>
      </c>
      <c r="G471" t="s">
        <v>27</v>
      </c>
      <c r="H471">
        <v>6</v>
      </c>
      <c r="I471">
        <v>188.91</v>
      </c>
      <c r="J471">
        <v>0.1</v>
      </c>
      <c r="K471">
        <v>1020.11</v>
      </c>
      <c r="L471">
        <v>84.74</v>
      </c>
      <c r="M471" t="s">
        <v>40</v>
      </c>
    </row>
    <row r="472" spans="1:13" x14ac:dyDescent="0.3">
      <c r="A472" t="s">
        <v>1380</v>
      </c>
      <c r="B472" t="s">
        <v>1381</v>
      </c>
      <c r="C472" t="s">
        <v>1271</v>
      </c>
      <c r="D472" s="7" t="s">
        <v>1382</v>
      </c>
      <c r="E472" t="s">
        <v>64</v>
      </c>
      <c r="F472" t="s">
        <v>33</v>
      </c>
      <c r="G472" t="s">
        <v>50</v>
      </c>
      <c r="H472">
        <v>2</v>
      </c>
      <c r="I472">
        <v>213.06</v>
      </c>
      <c r="J472">
        <v>0.15</v>
      </c>
      <c r="K472">
        <v>362.2</v>
      </c>
      <c r="L472">
        <v>50.75</v>
      </c>
      <c r="M472" t="s">
        <v>40</v>
      </c>
    </row>
    <row r="473" spans="1:13" x14ac:dyDescent="0.3">
      <c r="A473" t="s">
        <v>1383</v>
      </c>
      <c r="B473" t="s">
        <v>1384</v>
      </c>
      <c r="C473" t="s">
        <v>1385</v>
      </c>
      <c r="D473" s="7" t="s">
        <v>962</v>
      </c>
      <c r="E473" t="s">
        <v>17</v>
      </c>
      <c r="F473" t="s">
        <v>89</v>
      </c>
      <c r="G473" t="s">
        <v>131</v>
      </c>
      <c r="H473">
        <v>5</v>
      </c>
      <c r="I473">
        <v>27.58</v>
      </c>
      <c r="J473">
        <v>0.05</v>
      </c>
      <c r="K473">
        <v>131</v>
      </c>
      <c r="L473">
        <v>28.7</v>
      </c>
      <c r="M473" t="s">
        <v>20</v>
      </c>
    </row>
    <row r="474" spans="1:13" x14ac:dyDescent="0.3">
      <c r="A474" t="s">
        <v>1386</v>
      </c>
      <c r="B474" t="s">
        <v>1025</v>
      </c>
      <c r="C474" t="s">
        <v>1387</v>
      </c>
      <c r="D474" s="7" t="s">
        <v>394</v>
      </c>
      <c r="E474" t="s">
        <v>32</v>
      </c>
      <c r="F474" t="s">
        <v>26</v>
      </c>
      <c r="G474" t="s">
        <v>27</v>
      </c>
      <c r="H474">
        <v>3</v>
      </c>
      <c r="I474">
        <v>116.81</v>
      </c>
      <c r="J474">
        <v>0</v>
      </c>
      <c r="K474">
        <v>350.43</v>
      </c>
      <c r="L474">
        <v>39.94</v>
      </c>
      <c r="M474" t="s">
        <v>40</v>
      </c>
    </row>
    <row r="475" spans="1:13" x14ac:dyDescent="0.3">
      <c r="A475" t="s">
        <v>1388</v>
      </c>
      <c r="B475" t="s">
        <v>630</v>
      </c>
      <c r="C475" t="s">
        <v>1389</v>
      </c>
      <c r="D475" s="7" t="s">
        <v>718</v>
      </c>
      <c r="E475" t="s">
        <v>59</v>
      </c>
      <c r="F475" t="s">
        <v>18</v>
      </c>
      <c r="G475" t="s">
        <v>19</v>
      </c>
      <c r="H475">
        <v>7</v>
      </c>
      <c r="I475">
        <v>25.18</v>
      </c>
      <c r="J475">
        <v>0.05</v>
      </c>
      <c r="K475">
        <v>167.45</v>
      </c>
      <c r="L475">
        <v>19.489999999999998</v>
      </c>
      <c r="M475" t="s">
        <v>20</v>
      </c>
    </row>
    <row r="476" spans="1:13" x14ac:dyDescent="0.3">
      <c r="A476" t="s">
        <v>1390</v>
      </c>
      <c r="B476" t="s">
        <v>540</v>
      </c>
      <c r="C476" t="s">
        <v>1391</v>
      </c>
      <c r="D476" s="7" t="s">
        <v>1392</v>
      </c>
      <c r="E476" t="s">
        <v>64</v>
      </c>
      <c r="F476" t="s">
        <v>18</v>
      </c>
      <c r="G476" t="s">
        <v>45</v>
      </c>
      <c r="H476">
        <v>4</v>
      </c>
      <c r="I476">
        <v>132.6</v>
      </c>
      <c r="J476">
        <v>0.05</v>
      </c>
      <c r="K476">
        <v>503.88</v>
      </c>
      <c r="L476">
        <v>105.29</v>
      </c>
      <c r="M476" t="s">
        <v>40</v>
      </c>
    </row>
    <row r="477" spans="1:13" x14ac:dyDescent="0.3">
      <c r="A477" t="s">
        <v>1393</v>
      </c>
      <c r="B477" t="s">
        <v>1394</v>
      </c>
      <c r="C477" t="s">
        <v>1395</v>
      </c>
      <c r="D477" s="7" t="s">
        <v>1269</v>
      </c>
      <c r="E477" t="s">
        <v>59</v>
      </c>
      <c r="F477" t="s">
        <v>26</v>
      </c>
      <c r="G477" t="s">
        <v>118</v>
      </c>
      <c r="H477">
        <v>5</v>
      </c>
      <c r="I477">
        <v>197.93</v>
      </c>
      <c r="J477">
        <v>0.1</v>
      </c>
      <c r="K477">
        <v>890.69</v>
      </c>
      <c r="L477">
        <v>102.4</v>
      </c>
      <c r="M477" t="s">
        <v>35</v>
      </c>
    </row>
    <row r="478" spans="1:13" x14ac:dyDescent="0.3">
      <c r="A478" t="s">
        <v>1396</v>
      </c>
      <c r="B478" t="s">
        <v>76</v>
      </c>
      <c r="C478" t="s">
        <v>950</v>
      </c>
      <c r="D478" s="7" t="s">
        <v>786</v>
      </c>
      <c r="E478" t="s">
        <v>25</v>
      </c>
      <c r="F478" t="s">
        <v>89</v>
      </c>
      <c r="G478" t="s">
        <v>150</v>
      </c>
      <c r="H478">
        <v>2</v>
      </c>
      <c r="I478">
        <v>166.4</v>
      </c>
      <c r="J478">
        <v>0.15</v>
      </c>
      <c r="K478">
        <v>282.88</v>
      </c>
      <c r="L478">
        <v>50.43</v>
      </c>
      <c r="M478" t="s">
        <v>40</v>
      </c>
    </row>
    <row r="479" spans="1:13" x14ac:dyDescent="0.3">
      <c r="A479" t="s">
        <v>1397</v>
      </c>
      <c r="B479" t="s">
        <v>743</v>
      </c>
      <c r="C479" t="s">
        <v>698</v>
      </c>
      <c r="D479" s="7" t="s">
        <v>1153</v>
      </c>
      <c r="E479" t="s">
        <v>64</v>
      </c>
      <c r="F479" t="s">
        <v>89</v>
      </c>
      <c r="G479" t="s">
        <v>150</v>
      </c>
      <c r="H479">
        <v>2</v>
      </c>
      <c r="I479">
        <v>66.22</v>
      </c>
      <c r="J479">
        <v>0.05</v>
      </c>
      <c r="K479">
        <v>125.82</v>
      </c>
      <c r="L479">
        <v>23.99</v>
      </c>
      <c r="M479" t="s">
        <v>20</v>
      </c>
    </row>
    <row r="480" spans="1:13" x14ac:dyDescent="0.3">
      <c r="A480" t="s">
        <v>1398</v>
      </c>
      <c r="B480" t="s">
        <v>793</v>
      </c>
      <c r="C480" t="s">
        <v>1364</v>
      </c>
      <c r="D480" s="7" t="s">
        <v>902</v>
      </c>
      <c r="E480" t="s">
        <v>32</v>
      </c>
      <c r="F480" t="s">
        <v>89</v>
      </c>
      <c r="G480" t="s">
        <v>131</v>
      </c>
      <c r="H480">
        <v>8</v>
      </c>
      <c r="I480">
        <v>159.03</v>
      </c>
      <c r="J480">
        <v>0.15</v>
      </c>
      <c r="K480">
        <v>1081.4000000000001</v>
      </c>
      <c r="L480">
        <v>110.41</v>
      </c>
      <c r="M480" t="s">
        <v>40</v>
      </c>
    </row>
    <row r="481" spans="1:13" x14ac:dyDescent="0.3">
      <c r="A481" t="s">
        <v>1399</v>
      </c>
      <c r="B481" t="s">
        <v>731</v>
      </c>
      <c r="C481" t="s">
        <v>623</v>
      </c>
      <c r="D481" s="7" t="s">
        <v>1400</v>
      </c>
      <c r="E481" t="s">
        <v>64</v>
      </c>
      <c r="F481" t="s">
        <v>89</v>
      </c>
      <c r="G481" t="s">
        <v>150</v>
      </c>
      <c r="H481">
        <v>7</v>
      </c>
      <c r="I481">
        <v>124.42</v>
      </c>
      <c r="J481">
        <v>0.05</v>
      </c>
      <c r="K481">
        <v>827.39</v>
      </c>
      <c r="L481">
        <v>98.3</v>
      </c>
      <c r="M481" t="s">
        <v>40</v>
      </c>
    </row>
    <row r="482" spans="1:13" x14ac:dyDescent="0.3">
      <c r="A482" t="s">
        <v>1401</v>
      </c>
      <c r="B482" t="s">
        <v>1059</v>
      </c>
      <c r="C482" t="s">
        <v>185</v>
      </c>
      <c r="D482" s="7" t="s">
        <v>858</v>
      </c>
      <c r="E482" t="s">
        <v>32</v>
      </c>
      <c r="F482" t="s">
        <v>33</v>
      </c>
      <c r="G482" t="s">
        <v>74</v>
      </c>
      <c r="H482">
        <v>6</v>
      </c>
      <c r="I482">
        <v>18.899999999999999</v>
      </c>
      <c r="J482">
        <v>0.1</v>
      </c>
      <c r="K482">
        <v>102.06</v>
      </c>
      <c r="L482">
        <v>25.63</v>
      </c>
      <c r="M482" t="s">
        <v>20</v>
      </c>
    </row>
    <row r="483" spans="1:13" x14ac:dyDescent="0.3">
      <c r="A483" t="s">
        <v>1402</v>
      </c>
      <c r="B483" t="s">
        <v>320</v>
      </c>
      <c r="C483" t="s">
        <v>647</v>
      </c>
      <c r="D483" s="7" t="s">
        <v>1022</v>
      </c>
      <c r="E483" t="s">
        <v>59</v>
      </c>
      <c r="F483" t="s">
        <v>26</v>
      </c>
      <c r="G483" t="s">
        <v>27</v>
      </c>
      <c r="H483">
        <v>1</v>
      </c>
      <c r="I483">
        <v>198.14</v>
      </c>
      <c r="J483">
        <v>0.1</v>
      </c>
      <c r="K483">
        <v>178.33</v>
      </c>
      <c r="L483">
        <v>36.74</v>
      </c>
      <c r="M483" t="s">
        <v>20</v>
      </c>
    </row>
    <row r="484" spans="1:13" x14ac:dyDescent="0.3">
      <c r="A484" t="s">
        <v>1403</v>
      </c>
      <c r="B484" t="s">
        <v>223</v>
      </c>
      <c r="C484" t="s">
        <v>1404</v>
      </c>
      <c r="D484" s="7" t="s">
        <v>333</v>
      </c>
      <c r="E484" t="s">
        <v>64</v>
      </c>
      <c r="F484" t="s">
        <v>18</v>
      </c>
      <c r="G484" t="s">
        <v>19</v>
      </c>
      <c r="H484">
        <v>3</v>
      </c>
      <c r="I484">
        <v>62.33</v>
      </c>
      <c r="J484">
        <v>0.05</v>
      </c>
      <c r="K484">
        <v>177.64</v>
      </c>
      <c r="L484">
        <v>32.58</v>
      </c>
      <c r="M484" t="s">
        <v>35</v>
      </c>
    </row>
    <row r="485" spans="1:13" x14ac:dyDescent="0.3">
      <c r="A485" t="s">
        <v>1405</v>
      </c>
      <c r="B485" t="s">
        <v>506</v>
      </c>
      <c r="C485" t="s">
        <v>1406</v>
      </c>
      <c r="D485" s="7" t="s">
        <v>703</v>
      </c>
      <c r="E485" t="s">
        <v>17</v>
      </c>
      <c r="F485" t="s">
        <v>18</v>
      </c>
      <c r="G485" t="s">
        <v>79</v>
      </c>
      <c r="H485">
        <v>1</v>
      </c>
      <c r="I485">
        <v>228.82</v>
      </c>
      <c r="J485">
        <v>0.15</v>
      </c>
      <c r="K485">
        <v>194.5</v>
      </c>
      <c r="L485">
        <v>33.75</v>
      </c>
      <c r="M485" t="s">
        <v>20</v>
      </c>
    </row>
    <row r="486" spans="1:13" x14ac:dyDescent="0.3">
      <c r="A486" t="s">
        <v>1407</v>
      </c>
      <c r="B486" t="s">
        <v>1408</v>
      </c>
      <c r="C486" t="s">
        <v>794</v>
      </c>
      <c r="D486" s="7" t="s">
        <v>528</v>
      </c>
      <c r="E486" t="s">
        <v>17</v>
      </c>
      <c r="F486" t="s">
        <v>89</v>
      </c>
      <c r="G486" t="s">
        <v>90</v>
      </c>
      <c r="H486">
        <v>7</v>
      </c>
      <c r="I486">
        <v>34.01</v>
      </c>
      <c r="J486">
        <v>0</v>
      </c>
      <c r="K486">
        <v>238.07</v>
      </c>
      <c r="L486">
        <v>47.65</v>
      </c>
      <c r="M486" t="s">
        <v>35</v>
      </c>
    </row>
    <row r="487" spans="1:13" x14ac:dyDescent="0.3">
      <c r="A487" t="s">
        <v>1409</v>
      </c>
      <c r="B487" t="s">
        <v>128</v>
      </c>
      <c r="C487" t="s">
        <v>1368</v>
      </c>
      <c r="D487" s="7" t="s">
        <v>322</v>
      </c>
      <c r="E487" t="s">
        <v>17</v>
      </c>
      <c r="F487" t="s">
        <v>26</v>
      </c>
      <c r="G487" t="s">
        <v>27</v>
      </c>
      <c r="H487">
        <v>3</v>
      </c>
      <c r="I487">
        <v>202.12</v>
      </c>
      <c r="J487">
        <v>0.1</v>
      </c>
      <c r="K487">
        <v>545.72</v>
      </c>
      <c r="L487">
        <v>129.94999999999999</v>
      </c>
      <c r="M487" t="s">
        <v>20</v>
      </c>
    </row>
    <row r="488" spans="1:13" x14ac:dyDescent="0.3">
      <c r="A488" t="s">
        <v>1410</v>
      </c>
      <c r="B488" t="s">
        <v>1011</v>
      </c>
      <c r="C488" t="s">
        <v>1411</v>
      </c>
      <c r="D488" s="7" t="s">
        <v>1412</v>
      </c>
      <c r="E488" t="s">
        <v>17</v>
      </c>
      <c r="F488" t="s">
        <v>26</v>
      </c>
      <c r="G488" t="s">
        <v>27</v>
      </c>
      <c r="H488">
        <v>6</v>
      </c>
      <c r="I488">
        <v>198.1</v>
      </c>
      <c r="J488">
        <v>0.1</v>
      </c>
      <c r="K488">
        <v>1069.74</v>
      </c>
      <c r="L488">
        <v>311.16000000000003</v>
      </c>
      <c r="M488" t="s">
        <v>20</v>
      </c>
    </row>
    <row r="489" spans="1:13" x14ac:dyDescent="0.3">
      <c r="A489" t="s">
        <v>1413</v>
      </c>
      <c r="B489" t="s">
        <v>1170</v>
      </c>
      <c r="C489" t="s">
        <v>1102</v>
      </c>
      <c r="D489" s="7" t="s">
        <v>674</v>
      </c>
      <c r="E489" t="s">
        <v>25</v>
      </c>
      <c r="F489" t="s">
        <v>89</v>
      </c>
      <c r="G489" t="s">
        <v>131</v>
      </c>
      <c r="H489">
        <v>4</v>
      </c>
      <c r="I489">
        <v>116.13</v>
      </c>
      <c r="J489">
        <v>0</v>
      </c>
      <c r="K489">
        <v>464.52</v>
      </c>
      <c r="L489">
        <v>97.87</v>
      </c>
      <c r="M489" t="s">
        <v>35</v>
      </c>
    </row>
    <row r="490" spans="1:13" x14ac:dyDescent="0.3">
      <c r="A490" t="s">
        <v>1414</v>
      </c>
      <c r="B490" t="s">
        <v>1415</v>
      </c>
      <c r="C490" t="s">
        <v>1391</v>
      </c>
      <c r="D490" s="7" t="s">
        <v>601</v>
      </c>
      <c r="E490" t="s">
        <v>59</v>
      </c>
      <c r="F490" t="s">
        <v>33</v>
      </c>
      <c r="G490" t="s">
        <v>69</v>
      </c>
      <c r="H490">
        <v>2</v>
      </c>
      <c r="I490">
        <v>28.53</v>
      </c>
      <c r="J490">
        <v>0.1</v>
      </c>
      <c r="K490">
        <v>51.35</v>
      </c>
      <c r="L490">
        <v>13.27</v>
      </c>
      <c r="M490" t="s">
        <v>35</v>
      </c>
    </row>
    <row r="491" spans="1:13" x14ac:dyDescent="0.3">
      <c r="A491" t="s">
        <v>1416</v>
      </c>
      <c r="B491" t="s">
        <v>275</v>
      </c>
      <c r="C491" t="s">
        <v>1079</v>
      </c>
      <c r="D491" s="7" t="s">
        <v>634</v>
      </c>
      <c r="E491" t="s">
        <v>25</v>
      </c>
      <c r="F491" t="s">
        <v>26</v>
      </c>
      <c r="G491" t="s">
        <v>118</v>
      </c>
      <c r="H491">
        <v>6</v>
      </c>
      <c r="I491">
        <v>229.3</v>
      </c>
      <c r="J491">
        <v>0</v>
      </c>
      <c r="K491">
        <v>1375.8</v>
      </c>
      <c r="L491">
        <v>171.14</v>
      </c>
      <c r="M491" t="s">
        <v>40</v>
      </c>
    </row>
    <row r="492" spans="1:13" x14ac:dyDescent="0.3">
      <c r="A492" t="s">
        <v>1417</v>
      </c>
      <c r="B492" t="s">
        <v>1418</v>
      </c>
      <c r="C492" t="s">
        <v>224</v>
      </c>
      <c r="D492" s="7" t="s">
        <v>1419</v>
      </c>
      <c r="E492" t="s">
        <v>59</v>
      </c>
      <c r="F492" t="s">
        <v>18</v>
      </c>
      <c r="G492" t="s">
        <v>45</v>
      </c>
      <c r="H492">
        <v>6</v>
      </c>
      <c r="I492">
        <v>125.67</v>
      </c>
      <c r="J492">
        <v>0.05</v>
      </c>
      <c r="K492">
        <v>716.32</v>
      </c>
      <c r="L492">
        <v>207.31</v>
      </c>
      <c r="M492" t="s">
        <v>35</v>
      </c>
    </row>
    <row r="493" spans="1:13" x14ac:dyDescent="0.3">
      <c r="A493" t="s">
        <v>1420</v>
      </c>
      <c r="B493" t="s">
        <v>457</v>
      </c>
      <c r="C493" t="s">
        <v>181</v>
      </c>
      <c r="D493" s="7" t="s">
        <v>227</v>
      </c>
      <c r="E493" t="s">
        <v>64</v>
      </c>
      <c r="F493" t="s">
        <v>89</v>
      </c>
      <c r="G493" t="s">
        <v>150</v>
      </c>
      <c r="H493">
        <v>4</v>
      </c>
      <c r="I493">
        <v>116.04</v>
      </c>
      <c r="J493">
        <v>0.15</v>
      </c>
      <c r="K493">
        <v>394.54</v>
      </c>
      <c r="L493">
        <v>58.14</v>
      </c>
      <c r="M493" t="s">
        <v>40</v>
      </c>
    </row>
    <row r="494" spans="1:13" x14ac:dyDescent="0.3">
      <c r="A494" t="s">
        <v>1421</v>
      </c>
      <c r="B494" t="s">
        <v>108</v>
      </c>
      <c r="C494" t="s">
        <v>1422</v>
      </c>
      <c r="D494" s="7" t="s">
        <v>1423</v>
      </c>
      <c r="E494" t="s">
        <v>64</v>
      </c>
      <c r="F494" t="s">
        <v>33</v>
      </c>
      <c r="G494" t="s">
        <v>34</v>
      </c>
      <c r="H494">
        <v>6</v>
      </c>
      <c r="I494">
        <v>22.69</v>
      </c>
      <c r="J494">
        <v>0.15</v>
      </c>
      <c r="K494">
        <v>115.72</v>
      </c>
      <c r="L494">
        <v>32.04</v>
      </c>
      <c r="M494" t="s">
        <v>20</v>
      </c>
    </row>
    <row r="495" spans="1:13" x14ac:dyDescent="0.3">
      <c r="A495" t="s">
        <v>1424</v>
      </c>
      <c r="B495" t="s">
        <v>924</v>
      </c>
      <c r="C495" t="s">
        <v>831</v>
      </c>
      <c r="D495" s="7" t="s">
        <v>641</v>
      </c>
      <c r="E495" t="s">
        <v>25</v>
      </c>
      <c r="F495" t="s">
        <v>26</v>
      </c>
      <c r="G495" t="s">
        <v>118</v>
      </c>
      <c r="H495">
        <v>6</v>
      </c>
      <c r="I495">
        <v>187.1</v>
      </c>
      <c r="J495">
        <v>0.1</v>
      </c>
      <c r="K495">
        <v>1010.34</v>
      </c>
      <c r="L495">
        <v>134.28</v>
      </c>
      <c r="M495" t="s">
        <v>35</v>
      </c>
    </row>
    <row r="496" spans="1:13" x14ac:dyDescent="0.3">
      <c r="A496" t="s">
        <v>1425</v>
      </c>
      <c r="B496" t="s">
        <v>506</v>
      </c>
      <c r="C496" t="s">
        <v>1003</v>
      </c>
      <c r="D496" s="7" t="s">
        <v>1426</v>
      </c>
      <c r="E496" t="s">
        <v>25</v>
      </c>
      <c r="F496" t="s">
        <v>26</v>
      </c>
      <c r="G496" t="s">
        <v>118</v>
      </c>
      <c r="H496">
        <v>5</v>
      </c>
      <c r="I496">
        <v>23.37</v>
      </c>
      <c r="J496">
        <v>0.05</v>
      </c>
      <c r="K496">
        <v>111.01</v>
      </c>
      <c r="L496">
        <v>25.4</v>
      </c>
      <c r="M496" t="s">
        <v>35</v>
      </c>
    </row>
    <row r="497" spans="1:13" x14ac:dyDescent="0.3">
      <c r="A497" t="s">
        <v>1427</v>
      </c>
      <c r="B497" t="s">
        <v>1428</v>
      </c>
      <c r="C497" t="s">
        <v>1132</v>
      </c>
      <c r="D497" s="7" t="s">
        <v>445</v>
      </c>
      <c r="E497" t="s">
        <v>32</v>
      </c>
      <c r="F497" t="s">
        <v>26</v>
      </c>
      <c r="G497" t="s">
        <v>27</v>
      </c>
      <c r="H497">
        <v>3</v>
      </c>
      <c r="I497">
        <v>107.1</v>
      </c>
      <c r="J497">
        <v>0.05</v>
      </c>
      <c r="K497">
        <v>305.23</v>
      </c>
      <c r="L497">
        <v>59.68</v>
      </c>
      <c r="M497" t="s">
        <v>40</v>
      </c>
    </row>
    <row r="498" spans="1:13" x14ac:dyDescent="0.3">
      <c r="A498" t="s">
        <v>1429</v>
      </c>
      <c r="B498" t="s">
        <v>1049</v>
      </c>
      <c r="C498" t="s">
        <v>1430</v>
      </c>
      <c r="D498" s="7" t="s">
        <v>1431</v>
      </c>
      <c r="E498" t="s">
        <v>59</v>
      </c>
      <c r="F498" t="s">
        <v>18</v>
      </c>
      <c r="G498" t="s">
        <v>45</v>
      </c>
      <c r="H498">
        <v>5</v>
      </c>
      <c r="I498">
        <v>125.26</v>
      </c>
      <c r="J498">
        <v>0.1</v>
      </c>
      <c r="K498">
        <v>563.66999999999996</v>
      </c>
      <c r="L498">
        <v>94.78</v>
      </c>
      <c r="M498" t="s">
        <v>35</v>
      </c>
    </row>
    <row r="499" spans="1:13" x14ac:dyDescent="0.3">
      <c r="A499" t="s">
        <v>1432</v>
      </c>
      <c r="B499" t="s">
        <v>56</v>
      </c>
      <c r="C499" t="s">
        <v>1433</v>
      </c>
      <c r="D499" s="7" t="s">
        <v>288</v>
      </c>
      <c r="E499" t="s">
        <v>64</v>
      </c>
      <c r="F499" t="s">
        <v>89</v>
      </c>
      <c r="G499" t="s">
        <v>150</v>
      </c>
      <c r="H499">
        <v>6</v>
      </c>
      <c r="I499">
        <v>57.99</v>
      </c>
      <c r="J499">
        <v>0.15</v>
      </c>
      <c r="K499">
        <v>295.75</v>
      </c>
      <c r="L499">
        <v>38.01</v>
      </c>
      <c r="M499" t="s">
        <v>40</v>
      </c>
    </row>
    <row r="500" spans="1:13" x14ac:dyDescent="0.3">
      <c r="A500" t="s">
        <v>1434</v>
      </c>
      <c r="B500" t="s">
        <v>943</v>
      </c>
      <c r="C500" t="s">
        <v>77</v>
      </c>
      <c r="D500" s="7" t="s">
        <v>343</v>
      </c>
      <c r="E500" t="s">
        <v>17</v>
      </c>
      <c r="F500" t="s">
        <v>26</v>
      </c>
      <c r="G500" t="s">
        <v>84</v>
      </c>
      <c r="H500">
        <v>6</v>
      </c>
      <c r="I500">
        <v>45.5</v>
      </c>
      <c r="J500">
        <v>0.05</v>
      </c>
      <c r="K500">
        <v>259.35000000000002</v>
      </c>
      <c r="L500">
        <v>34.03</v>
      </c>
      <c r="M500" t="s">
        <v>35</v>
      </c>
    </row>
    <row r="501" spans="1:13" x14ac:dyDescent="0.3">
      <c r="A501" t="s">
        <v>1435</v>
      </c>
      <c r="B501" t="s">
        <v>715</v>
      </c>
      <c r="C501" t="s">
        <v>77</v>
      </c>
      <c r="D501" s="7" t="s">
        <v>1436</v>
      </c>
      <c r="E501" t="s">
        <v>64</v>
      </c>
      <c r="F501" t="s">
        <v>18</v>
      </c>
      <c r="G501" t="s">
        <v>79</v>
      </c>
      <c r="H501">
        <v>8</v>
      </c>
      <c r="I501">
        <v>36.46</v>
      </c>
      <c r="J501">
        <v>0</v>
      </c>
      <c r="K501">
        <v>291.68</v>
      </c>
      <c r="L501">
        <v>50.83</v>
      </c>
      <c r="M501" t="s">
        <v>20</v>
      </c>
    </row>
    <row r="502" spans="1:13" x14ac:dyDescent="0.3">
      <c r="A502" t="s">
        <v>1437</v>
      </c>
      <c r="B502" t="s">
        <v>712</v>
      </c>
      <c r="C502" t="s">
        <v>1438</v>
      </c>
      <c r="D502" s="7" t="s">
        <v>1439</v>
      </c>
      <c r="E502" t="s">
        <v>25</v>
      </c>
      <c r="F502" t="s">
        <v>33</v>
      </c>
      <c r="G502" t="s">
        <v>74</v>
      </c>
      <c r="H502">
        <v>6</v>
      </c>
      <c r="I502">
        <v>140.18</v>
      </c>
      <c r="J502">
        <v>0.1</v>
      </c>
      <c r="K502">
        <v>756.97</v>
      </c>
      <c r="L502">
        <v>62.68</v>
      </c>
      <c r="M502" t="s">
        <v>35</v>
      </c>
    </row>
    <row r="503" spans="1:13" x14ac:dyDescent="0.3">
      <c r="A503" t="s">
        <v>1440</v>
      </c>
      <c r="B503" t="s">
        <v>1441</v>
      </c>
      <c r="C503" t="s">
        <v>1145</v>
      </c>
      <c r="D503" s="7" t="s">
        <v>1442</v>
      </c>
      <c r="E503" t="s">
        <v>25</v>
      </c>
      <c r="F503" t="s">
        <v>33</v>
      </c>
      <c r="G503" t="s">
        <v>50</v>
      </c>
      <c r="H503">
        <v>8</v>
      </c>
      <c r="I503">
        <v>124.97</v>
      </c>
      <c r="J503">
        <v>0</v>
      </c>
      <c r="K503">
        <v>999.76</v>
      </c>
      <c r="L503">
        <v>122.4</v>
      </c>
      <c r="M503" t="s">
        <v>35</v>
      </c>
    </row>
    <row r="504" spans="1:13" x14ac:dyDescent="0.3">
      <c r="A504" t="s">
        <v>1443</v>
      </c>
      <c r="B504" t="s">
        <v>1124</v>
      </c>
      <c r="C504" t="s">
        <v>883</v>
      </c>
      <c r="D504" s="7" t="s">
        <v>1444</v>
      </c>
      <c r="E504" t="s">
        <v>17</v>
      </c>
      <c r="F504" t="s">
        <v>33</v>
      </c>
      <c r="G504" t="s">
        <v>50</v>
      </c>
      <c r="H504">
        <v>7</v>
      </c>
      <c r="I504">
        <v>224.56</v>
      </c>
      <c r="J504">
        <v>0</v>
      </c>
      <c r="K504">
        <v>1571.92</v>
      </c>
      <c r="L504">
        <v>257.62</v>
      </c>
      <c r="M504" t="s">
        <v>40</v>
      </c>
    </row>
    <row r="505" spans="1:13" x14ac:dyDescent="0.3">
      <c r="A505" t="s">
        <v>1445</v>
      </c>
      <c r="B505" t="s">
        <v>42</v>
      </c>
      <c r="C505" t="s">
        <v>1387</v>
      </c>
      <c r="D505" s="7" t="s">
        <v>1446</v>
      </c>
      <c r="E505" t="s">
        <v>64</v>
      </c>
      <c r="F505" t="s">
        <v>89</v>
      </c>
      <c r="G505" t="s">
        <v>150</v>
      </c>
      <c r="H505">
        <v>5</v>
      </c>
      <c r="I505">
        <v>46</v>
      </c>
      <c r="J505">
        <v>0.1</v>
      </c>
      <c r="K505">
        <v>207</v>
      </c>
      <c r="L505">
        <v>28.47</v>
      </c>
      <c r="M505" t="s">
        <v>20</v>
      </c>
    </row>
    <row r="506" spans="1:13" x14ac:dyDescent="0.3">
      <c r="A506" t="s">
        <v>1447</v>
      </c>
      <c r="B506" t="s">
        <v>242</v>
      </c>
      <c r="C506" t="s">
        <v>386</v>
      </c>
      <c r="D506" s="7" t="s">
        <v>175</v>
      </c>
      <c r="E506" t="s">
        <v>64</v>
      </c>
      <c r="F506" t="s">
        <v>18</v>
      </c>
      <c r="G506" t="s">
        <v>79</v>
      </c>
      <c r="H506">
        <v>8</v>
      </c>
      <c r="I506">
        <v>93.74</v>
      </c>
      <c r="J506">
        <v>0.15</v>
      </c>
      <c r="K506">
        <v>637.42999999999995</v>
      </c>
      <c r="L506">
        <v>159.04</v>
      </c>
      <c r="M506" t="s">
        <v>20</v>
      </c>
    </row>
    <row r="507" spans="1:13" x14ac:dyDescent="0.3">
      <c r="A507" t="s">
        <v>1448</v>
      </c>
      <c r="B507" t="s">
        <v>327</v>
      </c>
      <c r="C507" t="s">
        <v>1271</v>
      </c>
      <c r="D507" s="7" t="s">
        <v>441</v>
      </c>
      <c r="E507" t="s">
        <v>25</v>
      </c>
      <c r="F507" t="s">
        <v>89</v>
      </c>
      <c r="G507" t="s">
        <v>150</v>
      </c>
      <c r="H507">
        <v>2</v>
      </c>
      <c r="I507">
        <v>138.15</v>
      </c>
      <c r="J507">
        <v>0.15</v>
      </c>
      <c r="K507">
        <v>234.85</v>
      </c>
      <c r="L507">
        <v>59.71</v>
      </c>
      <c r="M507" t="s">
        <v>35</v>
      </c>
    </row>
    <row r="508" spans="1:13" x14ac:dyDescent="0.3">
      <c r="A508" t="s">
        <v>1449</v>
      </c>
      <c r="B508" t="s">
        <v>1267</v>
      </c>
      <c r="C508" t="s">
        <v>1110</v>
      </c>
      <c r="D508" s="7" t="s">
        <v>821</v>
      </c>
      <c r="E508" t="s">
        <v>17</v>
      </c>
      <c r="F508" t="s">
        <v>33</v>
      </c>
      <c r="G508" t="s">
        <v>50</v>
      </c>
      <c r="H508">
        <v>7</v>
      </c>
      <c r="I508">
        <v>91.64</v>
      </c>
      <c r="J508">
        <v>0.05</v>
      </c>
      <c r="K508">
        <v>609.41</v>
      </c>
      <c r="L508">
        <v>61.62</v>
      </c>
      <c r="M508" t="s">
        <v>20</v>
      </c>
    </row>
    <row r="509" spans="1:13" x14ac:dyDescent="0.3">
      <c r="A509" t="s">
        <v>1450</v>
      </c>
      <c r="B509" t="s">
        <v>583</v>
      </c>
      <c r="C509" t="s">
        <v>1451</v>
      </c>
      <c r="D509" s="7" t="s">
        <v>31</v>
      </c>
      <c r="E509" t="s">
        <v>17</v>
      </c>
      <c r="F509" t="s">
        <v>33</v>
      </c>
      <c r="G509" t="s">
        <v>34</v>
      </c>
      <c r="H509">
        <v>8</v>
      </c>
      <c r="I509">
        <v>180.08</v>
      </c>
      <c r="J509">
        <v>0.15</v>
      </c>
      <c r="K509">
        <v>1224.54</v>
      </c>
      <c r="L509">
        <v>333.6</v>
      </c>
      <c r="M509" t="s">
        <v>35</v>
      </c>
    </row>
    <row r="510" spans="1:13" x14ac:dyDescent="0.3">
      <c r="A510" t="s">
        <v>1452</v>
      </c>
      <c r="B510" t="s">
        <v>439</v>
      </c>
      <c r="C510" t="s">
        <v>332</v>
      </c>
      <c r="D510" s="7" t="s">
        <v>1453</v>
      </c>
      <c r="E510" t="s">
        <v>25</v>
      </c>
      <c r="F510" t="s">
        <v>18</v>
      </c>
      <c r="G510" t="s">
        <v>79</v>
      </c>
      <c r="H510">
        <v>5</v>
      </c>
      <c r="I510">
        <v>232.71</v>
      </c>
      <c r="J510">
        <v>0</v>
      </c>
      <c r="K510">
        <v>1163.55</v>
      </c>
      <c r="L510">
        <v>112.65</v>
      </c>
      <c r="M510" t="s">
        <v>20</v>
      </c>
    </row>
    <row r="511" spans="1:13" x14ac:dyDescent="0.3">
      <c r="A511" t="s">
        <v>1454</v>
      </c>
      <c r="B511" t="s">
        <v>302</v>
      </c>
      <c r="C511" t="s">
        <v>958</v>
      </c>
      <c r="D511" s="7" t="s">
        <v>1455</v>
      </c>
      <c r="E511" t="s">
        <v>32</v>
      </c>
      <c r="F511" t="s">
        <v>33</v>
      </c>
      <c r="G511" t="s">
        <v>74</v>
      </c>
      <c r="H511">
        <v>6</v>
      </c>
      <c r="I511">
        <v>38.53</v>
      </c>
      <c r="J511">
        <v>0.05</v>
      </c>
      <c r="K511">
        <v>219.62</v>
      </c>
      <c r="L511">
        <v>31.48</v>
      </c>
      <c r="M511" t="s">
        <v>35</v>
      </c>
    </row>
    <row r="512" spans="1:13" x14ac:dyDescent="0.3">
      <c r="A512" t="s">
        <v>1456</v>
      </c>
      <c r="B512" t="s">
        <v>663</v>
      </c>
      <c r="C512" t="s">
        <v>276</v>
      </c>
      <c r="D512" s="7" t="s">
        <v>1457</v>
      </c>
      <c r="E512" t="s">
        <v>17</v>
      </c>
      <c r="F512" t="s">
        <v>33</v>
      </c>
      <c r="G512" t="s">
        <v>50</v>
      </c>
      <c r="H512">
        <v>6</v>
      </c>
      <c r="I512">
        <v>180.21</v>
      </c>
      <c r="J512">
        <v>0.05</v>
      </c>
      <c r="K512">
        <v>1027.2</v>
      </c>
      <c r="L512">
        <v>124.35</v>
      </c>
      <c r="M512" t="s">
        <v>20</v>
      </c>
    </row>
    <row r="513" spans="1:13" x14ac:dyDescent="0.3">
      <c r="A513" t="s">
        <v>1458</v>
      </c>
      <c r="B513" t="s">
        <v>1459</v>
      </c>
      <c r="C513" t="s">
        <v>575</v>
      </c>
      <c r="D513" s="7" t="s">
        <v>1051</v>
      </c>
      <c r="E513" t="s">
        <v>17</v>
      </c>
      <c r="F513" t="s">
        <v>33</v>
      </c>
      <c r="G513" t="s">
        <v>74</v>
      </c>
      <c r="H513">
        <v>3</v>
      </c>
      <c r="I513">
        <v>154.97999999999999</v>
      </c>
      <c r="J513">
        <v>0.1</v>
      </c>
      <c r="K513">
        <v>418.45</v>
      </c>
      <c r="L513">
        <v>50.77</v>
      </c>
      <c r="M513" t="s">
        <v>20</v>
      </c>
    </row>
    <row r="514" spans="1:13" x14ac:dyDescent="0.3">
      <c r="A514" t="s">
        <v>1460</v>
      </c>
      <c r="B514" t="s">
        <v>408</v>
      </c>
      <c r="C514" t="s">
        <v>1461</v>
      </c>
      <c r="D514" s="7" t="s">
        <v>1423</v>
      </c>
      <c r="E514" t="s">
        <v>64</v>
      </c>
      <c r="F514" t="s">
        <v>89</v>
      </c>
      <c r="G514" t="s">
        <v>131</v>
      </c>
      <c r="H514">
        <v>3</v>
      </c>
      <c r="I514">
        <v>145.43</v>
      </c>
      <c r="J514">
        <v>0.15</v>
      </c>
      <c r="K514">
        <v>370.85</v>
      </c>
      <c r="L514">
        <v>78.2</v>
      </c>
      <c r="M514" t="s">
        <v>20</v>
      </c>
    </row>
    <row r="515" spans="1:13" x14ac:dyDescent="0.3">
      <c r="A515" t="s">
        <v>1462</v>
      </c>
      <c r="B515" t="s">
        <v>66</v>
      </c>
      <c r="C515" t="s">
        <v>490</v>
      </c>
      <c r="D515" s="7" t="s">
        <v>1463</v>
      </c>
      <c r="E515" t="s">
        <v>25</v>
      </c>
      <c r="F515" t="s">
        <v>33</v>
      </c>
      <c r="G515" t="s">
        <v>50</v>
      </c>
      <c r="H515">
        <v>2</v>
      </c>
      <c r="I515">
        <v>86.84</v>
      </c>
      <c r="J515">
        <v>0</v>
      </c>
      <c r="K515">
        <v>173.68</v>
      </c>
      <c r="L515">
        <v>17.64</v>
      </c>
      <c r="M515" t="s">
        <v>40</v>
      </c>
    </row>
    <row r="516" spans="1:13" x14ac:dyDescent="0.3">
      <c r="A516" t="s">
        <v>1464</v>
      </c>
      <c r="B516" t="s">
        <v>1465</v>
      </c>
      <c r="C516" t="s">
        <v>215</v>
      </c>
      <c r="D516" s="7" t="s">
        <v>1466</v>
      </c>
      <c r="E516" t="s">
        <v>32</v>
      </c>
      <c r="F516" t="s">
        <v>26</v>
      </c>
      <c r="G516" t="s">
        <v>84</v>
      </c>
      <c r="H516">
        <v>7</v>
      </c>
      <c r="I516">
        <v>175.86</v>
      </c>
      <c r="J516">
        <v>0</v>
      </c>
      <c r="K516">
        <v>1231.02</v>
      </c>
      <c r="L516">
        <v>326.70999999999998</v>
      </c>
      <c r="M516" t="s">
        <v>40</v>
      </c>
    </row>
    <row r="517" spans="1:13" x14ac:dyDescent="0.3">
      <c r="A517" t="s">
        <v>1467</v>
      </c>
      <c r="B517" t="s">
        <v>500</v>
      </c>
      <c r="C517" t="s">
        <v>507</v>
      </c>
      <c r="D517" s="7" t="s">
        <v>1468</v>
      </c>
      <c r="E517" t="s">
        <v>64</v>
      </c>
      <c r="F517" t="s">
        <v>18</v>
      </c>
      <c r="G517" t="s">
        <v>79</v>
      </c>
      <c r="H517">
        <v>8</v>
      </c>
      <c r="I517">
        <v>84.11</v>
      </c>
      <c r="J517">
        <v>0.1</v>
      </c>
      <c r="K517">
        <v>605.59</v>
      </c>
      <c r="L517">
        <v>75.599999999999994</v>
      </c>
      <c r="M517" t="s">
        <v>35</v>
      </c>
    </row>
    <row r="518" spans="1:13" x14ac:dyDescent="0.3">
      <c r="A518" t="s">
        <v>1469</v>
      </c>
      <c r="B518" t="s">
        <v>412</v>
      </c>
      <c r="C518" t="s">
        <v>684</v>
      </c>
      <c r="D518" s="7" t="s">
        <v>528</v>
      </c>
      <c r="E518" t="s">
        <v>25</v>
      </c>
      <c r="F518" t="s">
        <v>89</v>
      </c>
      <c r="G518" t="s">
        <v>90</v>
      </c>
      <c r="H518">
        <v>4</v>
      </c>
      <c r="I518">
        <v>116.36</v>
      </c>
      <c r="J518">
        <v>0.1</v>
      </c>
      <c r="K518">
        <v>418.9</v>
      </c>
      <c r="L518">
        <v>50.24</v>
      </c>
      <c r="M518" t="s">
        <v>35</v>
      </c>
    </row>
    <row r="519" spans="1:13" x14ac:dyDescent="0.3">
      <c r="A519" t="s">
        <v>1470</v>
      </c>
      <c r="B519" t="s">
        <v>530</v>
      </c>
      <c r="C519" t="s">
        <v>421</v>
      </c>
      <c r="D519" s="7" t="s">
        <v>1300</v>
      </c>
      <c r="E519" t="s">
        <v>17</v>
      </c>
      <c r="F519" t="s">
        <v>18</v>
      </c>
      <c r="G519" t="s">
        <v>45</v>
      </c>
      <c r="H519">
        <v>8</v>
      </c>
      <c r="I519">
        <v>210.77</v>
      </c>
      <c r="J519">
        <v>0.1</v>
      </c>
      <c r="K519">
        <v>1517.54</v>
      </c>
      <c r="L519">
        <v>440.17</v>
      </c>
      <c r="M519" t="s">
        <v>20</v>
      </c>
    </row>
    <row r="520" spans="1:13" x14ac:dyDescent="0.3">
      <c r="A520" t="s">
        <v>1471</v>
      </c>
      <c r="B520" t="s">
        <v>464</v>
      </c>
      <c r="C520" t="s">
        <v>486</v>
      </c>
      <c r="D520" s="7" t="s">
        <v>212</v>
      </c>
      <c r="E520" t="s">
        <v>17</v>
      </c>
      <c r="F520" t="s">
        <v>89</v>
      </c>
      <c r="G520" t="s">
        <v>150</v>
      </c>
      <c r="H520">
        <v>1</v>
      </c>
      <c r="I520">
        <v>47.6</v>
      </c>
      <c r="J520">
        <v>0.15</v>
      </c>
      <c r="K520">
        <v>40.46</v>
      </c>
      <c r="L520">
        <v>3.67</v>
      </c>
      <c r="M520" t="s">
        <v>40</v>
      </c>
    </row>
    <row r="521" spans="1:13" x14ac:dyDescent="0.3">
      <c r="A521" t="s">
        <v>1472</v>
      </c>
      <c r="B521" t="s">
        <v>988</v>
      </c>
      <c r="C521" t="s">
        <v>1473</v>
      </c>
      <c r="D521" s="7" t="s">
        <v>1153</v>
      </c>
      <c r="E521" t="s">
        <v>59</v>
      </c>
      <c r="F521" t="s">
        <v>89</v>
      </c>
      <c r="G521" t="s">
        <v>150</v>
      </c>
      <c r="H521">
        <v>8</v>
      </c>
      <c r="I521">
        <v>68.41</v>
      </c>
      <c r="J521">
        <v>0.1</v>
      </c>
      <c r="K521">
        <v>492.55</v>
      </c>
      <c r="L521">
        <v>44.33</v>
      </c>
      <c r="M521" t="s">
        <v>20</v>
      </c>
    </row>
    <row r="522" spans="1:13" x14ac:dyDescent="0.3">
      <c r="A522" t="s">
        <v>1474</v>
      </c>
      <c r="B522" t="s">
        <v>1118</v>
      </c>
      <c r="C522" t="s">
        <v>82</v>
      </c>
      <c r="D522" s="7" t="s">
        <v>1475</v>
      </c>
      <c r="E522" t="s">
        <v>25</v>
      </c>
      <c r="F522" t="s">
        <v>18</v>
      </c>
      <c r="G522" t="s">
        <v>45</v>
      </c>
      <c r="H522">
        <v>5</v>
      </c>
      <c r="I522">
        <v>157.01</v>
      </c>
      <c r="J522">
        <v>0.15</v>
      </c>
      <c r="K522">
        <v>667.29</v>
      </c>
      <c r="L522">
        <v>119.88</v>
      </c>
      <c r="M522" t="s">
        <v>40</v>
      </c>
    </row>
    <row r="523" spans="1:13" x14ac:dyDescent="0.3">
      <c r="A523" t="s">
        <v>1476</v>
      </c>
      <c r="B523" t="s">
        <v>1170</v>
      </c>
      <c r="C523" t="s">
        <v>936</v>
      </c>
      <c r="D523" s="7" t="s">
        <v>776</v>
      </c>
      <c r="E523" t="s">
        <v>25</v>
      </c>
      <c r="F523" t="s">
        <v>26</v>
      </c>
      <c r="G523" t="s">
        <v>84</v>
      </c>
      <c r="H523">
        <v>4</v>
      </c>
      <c r="I523">
        <v>103.13</v>
      </c>
      <c r="J523">
        <v>0.1</v>
      </c>
      <c r="K523">
        <v>371.27</v>
      </c>
      <c r="L523">
        <v>99.79</v>
      </c>
      <c r="M523" t="s">
        <v>40</v>
      </c>
    </row>
    <row r="524" spans="1:13" x14ac:dyDescent="0.3">
      <c r="A524" t="s">
        <v>1477</v>
      </c>
      <c r="B524" t="s">
        <v>404</v>
      </c>
      <c r="C524" t="s">
        <v>38</v>
      </c>
      <c r="D524" s="7" t="s">
        <v>508</v>
      </c>
      <c r="E524" t="s">
        <v>25</v>
      </c>
      <c r="F524" t="s">
        <v>26</v>
      </c>
      <c r="G524" t="s">
        <v>84</v>
      </c>
      <c r="H524">
        <v>2</v>
      </c>
      <c r="I524">
        <v>238.01</v>
      </c>
      <c r="J524">
        <v>0</v>
      </c>
      <c r="K524">
        <v>476.02</v>
      </c>
      <c r="L524">
        <v>116.9</v>
      </c>
      <c r="M524" t="s">
        <v>40</v>
      </c>
    </row>
    <row r="525" spans="1:13" x14ac:dyDescent="0.3">
      <c r="A525" t="s">
        <v>1478</v>
      </c>
      <c r="B525" t="s">
        <v>904</v>
      </c>
      <c r="C525" t="s">
        <v>567</v>
      </c>
      <c r="D525" s="7" t="s">
        <v>1479</v>
      </c>
      <c r="E525" t="s">
        <v>32</v>
      </c>
      <c r="F525" t="s">
        <v>26</v>
      </c>
      <c r="G525" t="s">
        <v>84</v>
      </c>
      <c r="H525">
        <v>2</v>
      </c>
      <c r="I525">
        <v>146.03</v>
      </c>
      <c r="J525">
        <v>0.05</v>
      </c>
      <c r="K525">
        <v>277.45999999999998</v>
      </c>
      <c r="L525">
        <v>24.39</v>
      </c>
      <c r="M525" t="s">
        <v>20</v>
      </c>
    </row>
    <row r="526" spans="1:13" x14ac:dyDescent="0.3">
      <c r="A526" t="s">
        <v>1480</v>
      </c>
      <c r="B526" t="s">
        <v>671</v>
      </c>
      <c r="C526" t="s">
        <v>62</v>
      </c>
      <c r="D526" s="7" t="s">
        <v>1481</v>
      </c>
      <c r="E526" t="s">
        <v>32</v>
      </c>
      <c r="F526" t="s">
        <v>89</v>
      </c>
      <c r="G526" t="s">
        <v>131</v>
      </c>
      <c r="H526">
        <v>3</v>
      </c>
      <c r="I526">
        <v>120.06</v>
      </c>
      <c r="J526">
        <v>0.15</v>
      </c>
      <c r="K526">
        <v>306.14999999999998</v>
      </c>
      <c r="L526">
        <v>51.61</v>
      </c>
      <c r="M526" t="s">
        <v>35</v>
      </c>
    </row>
    <row r="527" spans="1:13" x14ac:dyDescent="0.3">
      <c r="A527" t="s">
        <v>1482</v>
      </c>
      <c r="B527" t="s">
        <v>1483</v>
      </c>
      <c r="C527" t="s">
        <v>307</v>
      </c>
      <c r="D527" s="7" t="s">
        <v>1484</v>
      </c>
      <c r="E527" t="s">
        <v>17</v>
      </c>
      <c r="F527" t="s">
        <v>33</v>
      </c>
      <c r="G527" t="s">
        <v>74</v>
      </c>
      <c r="H527">
        <v>3</v>
      </c>
      <c r="I527">
        <v>53.27</v>
      </c>
      <c r="J527">
        <v>0.15</v>
      </c>
      <c r="K527">
        <v>135.84</v>
      </c>
      <c r="L527">
        <v>35.64</v>
      </c>
      <c r="M527" t="s">
        <v>35</v>
      </c>
    </row>
    <row r="528" spans="1:13" x14ac:dyDescent="0.3">
      <c r="A528" t="s">
        <v>1485</v>
      </c>
      <c r="B528" t="s">
        <v>1486</v>
      </c>
      <c r="C528" t="s">
        <v>1487</v>
      </c>
      <c r="D528" s="7" t="s">
        <v>628</v>
      </c>
      <c r="E528" t="s">
        <v>64</v>
      </c>
      <c r="F528" t="s">
        <v>89</v>
      </c>
      <c r="G528" t="s">
        <v>150</v>
      </c>
      <c r="H528">
        <v>6</v>
      </c>
      <c r="I528">
        <v>77.47</v>
      </c>
      <c r="J528">
        <v>0.05</v>
      </c>
      <c r="K528">
        <v>441.58</v>
      </c>
      <c r="L528">
        <v>123.84</v>
      </c>
      <c r="M528" t="s">
        <v>40</v>
      </c>
    </row>
    <row r="529" spans="1:13" x14ac:dyDescent="0.3">
      <c r="A529" t="s">
        <v>1488</v>
      </c>
      <c r="B529" t="s">
        <v>1489</v>
      </c>
      <c r="C529" t="s">
        <v>507</v>
      </c>
      <c r="D529" s="7" t="s">
        <v>1490</v>
      </c>
      <c r="E529" t="s">
        <v>32</v>
      </c>
      <c r="F529" t="s">
        <v>89</v>
      </c>
      <c r="G529" t="s">
        <v>150</v>
      </c>
      <c r="H529">
        <v>3</v>
      </c>
      <c r="I529">
        <v>222.49</v>
      </c>
      <c r="J529">
        <v>0.15</v>
      </c>
      <c r="K529">
        <v>567.35</v>
      </c>
      <c r="L529">
        <v>84.49</v>
      </c>
      <c r="M529" t="s">
        <v>35</v>
      </c>
    </row>
    <row r="530" spans="1:13" x14ac:dyDescent="0.3">
      <c r="A530" t="s">
        <v>1491</v>
      </c>
      <c r="B530" t="s">
        <v>66</v>
      </c>
      <c r="C530" t="s">
        <v>1492</v>
      </c>
      <c r="D530" s="7" t="s">
        <v>1315</v>
      </c>
      <c r="E530" t="s">
        <v>59</v>
      </c>
      <c r="F530" t="s">
        <v>33</v>
      </c>
      <c r="G530" t="s">
        <v>74</v>
      </c>
      <c r="H530">
        <v>7</v>
      </c>
      <c r="I530">
        <v>55.03</v>
      </c>
      <c r="J530">
        <v>0.1</v>
      </c>
      <c r="K530">
        <v>346.69</v>
      </c>
      <c r="L530">
        <v>61.77</v>
      </c>
      <c r="M530" t="s">
        <v>20</v>
      </c>
    </row>
    <row r="531" spans="1:13" x14ac:dyDescent="0.3">
      <c r="A531" t="s">
        <v>1493</v>
      </c>
      <c r="B531" t="s">
        <v>100</v>
      </c>
      <c r="C531" t="s">
        <v>549</v>
      </c>
      <c r="D531" s="7" t="s">
        <v>1269</v>
      </c>
      <c r="E531" t="s">
        <v>32</v>
      </c>
      <c r="F531" t="s">
        <v>33</v>
      </c>
      <c r="G531" t="s">
        <v>34</v>
      </c>
      <c r="H531">
        <v>6</v>
      </c>
      <c r="I531">
        <v>37.450000000000003</v>
      </c>
      <c r="J531">
        <v>0.1</v>
      </c>
      <c r="K531">
        <v>202.23</v>
      </c>
      <c r="L531">
        <v>24.92</v>
      </c>
      <c r="M531" t="s">
        <v>35</v>
      </c>
    </row>
    <row r="532" spans="1:13" x14ac:dyDescent="0.3">
      <c r="A532" t="s">
        <v>1494</v>
      </c>
      <c r="B532" t="s">
        <v>1495</v>
      </c>
      <c r="C532" t="s">
        <v>57</v>
      </c>
      <c r="D532" s="7" t="s">
        <v>718</v>
      </c>
      <c r="E532" t="s">
        <v>25</v>
      </c>
      <c r="F532" t="s">
        <v>33</v>
      </c>
      <c r="G532" t="s">
        <v>74</v>
      </c>
      <c r="H532">
        <v>2</v>
      </c>
      <c r="I532">
        <v>29.39</v>
      </c>
      <c r="J532">
        <v>0</v>
      </c>
      <c r="K532">
        <v>58.78</v>
      </c>
      <c r="L532">
        <v>8.01</v>
      </c>
      <c r="M532" t="s">
        <v>40</v>
      </c>
    </row>
    <row r="533" spans="1:13" x14ac:dyDescent="0.3">
      <c r="A533" t="s">
        <v>1496</v>
      </c>
      <c r="B533" t="s">
        <v>798</v>
      </c>
      <c r="C533" t="s">
        <v>1497</v>
      </c>
      <c r="D533" s="7" t="s">
        <v>1481</v>
      </c>
      <c r="E533" t="s">
        <v>25</v>
      </c>
      <c r="F533" t="s">
        <v>89</v>
      </c>
      <c r="G533" t="s">
        <v>90</v>
      </c>
      <c r="H533">
        <v>1</v>
      </c>
      <c r="I533">
        <v>136.84</v>
      </c>
      <c r="J533">
        <v>0.15</v>
      </c>
      <c r="K533">
        <v>116.31</v>
      </c>
      <c r="L533">
        <v>33.299999999999997</v>
      </c>
      <c r="M533" t="s">
        <v>35</v>
      </c>
    </row>
    <row r="534" spans="1:13" x14ac:dyDescent="0.3">
      <c r="A534" t="s">
        <v>1498</v>
      </c>
      <c r="B534" t="s">
        <v>368</v>
      </c>
      <c r="C534" t="s">
        <v>1499</v>
      </c>
      <c r="D534" s="7" t="s">
        <v>1500</v>
      </c>
      <c r="E534" t="s">
        <v>64</v>
      </c>
      <c r="F534" t="s">
        <v>33</v>
      </c>
      <c r="G534" t="s">
        <v>50</v>
      </c>
      <c r="H534">
        <v>5</v>
      </c>
      <c r="I534">
        <v>26.04</v>
      </c>
      <c r="J534">
        <v>0.1</v>
      </c>
      <c r="K534">
        <v>117.18</v>
      </c>
      <c r="L534">
        <v>30.47</v>
      </c>
      <c r="M534" t="s">
        <v>20</v>
      </c>
    </row>
    <row r="535" spans="1:13" x14ac:dyDescent="0.3">
      <c r="A535" t="s">
        <v>1501</v>
      </c>
      <c r="B535" t="s">
        <v>657</v>
      </c>
      <c r="C535" t="s">
        <v>1502</v>
      </c>
      <c r="D535" s="7" t="s">
        <v>1084</v>
      </c>
      <c r="E535" t="s">
        <v>17</v>
      </c>
      <c r="F535" t="s">
        <v>33</v>
      </c>
      <c r="G535" t="s">
        <v>74</v>
      </c>
      <c r="H535">
        <v>1</v>
      </c>
      <c r="I535">
        <v>48.74</v>
      </c>
      <c r="J535">
        <v>0.05</v>
      </c>
      <c r="K535">
        <v>46.3</v>
      </c>
      <c r="L535">
        <v>5.26</v>
      </c>
      <c r="M535" t="s">
        <v>40</v>
      </c>
    </row>
    <row r="536" spans="1:13" x14ac:dyDescent="0.3">
      <c r="A536" t="s">
        <v>1503</v>
      </c>
      <c r="B536" t="s">
        <v>327</v>
      </c>
      <c r="C536" t="s">
        <v>1504</v>
      </c>
      <c r="D536" s="7" t="s">
        <v>1505</v>
      </c>
      <c r="E536" t="s">
        <v>25</v>
      </c>
      <c r="F536" t="s">
        <v>18</v>
      </c>
      <c r="G536" t="s">
        <v>19</v>
      </c>
      <c r="H536">
        <v>2</v>
      </c>
      <c r="I536">
        <v>23.06</v>
      </c>
      <c r="J536">
        <v>0.15</v>
      </c>
      <c r="K536">
        <v>39.200000000000003</v>
      </c>
      <c r="L536">
        <v>7.82</v>
      </c>
      <c r="M536" t="s">
        <v>40</v>
      </c>
    </row>
    <row r="537" spans="1:13" x14ac:dyDescent="0.3">
      <c r="A537" t="s">
        <v>1506</v>
      </c>
      <c r="B537" t="s">
        <v>957</v>
      </c>
      <c r="C537" t="s">
        <v>224</v>
      </c>
      <c r="D537" s="7" t="s">
        <v>1507</v>
      </c>
      <c r="E537" t="s">
        <v>32</v>
      </c>
      <c r="F537" t="s">
        <v>33</v>
      </c>
      <c r="G537" t="s">
        <v>69</v>
      </c>
      <c r="H537">
        <v>6</v>
      </c>
      <c r="I537">
        <v>161.49</v>
      </c>
      <c r="J537">
        <v>0.15</v>
      </c>
      <c r="K537">
        <v>823.6</v>
      </c>
      <c r="L537">
        <v>194.33</v>
      </c>
      <c r="M537" t="s">
        <v>20</v>
      </c>
    </row>
    <row r="538" spans="1:13" x14ac:dyDescent="0.3">
      <c r="A538" t="s">
        <v>1508</v>
      </c>
      <c r="B538" t="s">
        <v>574</v>
      </c>
      <c r="C538" t="s">
        <v>1509</v>
      </c>
      <c r="D538" s="7" t="s">
        <v>1510</v>
      </c>
      <c r="E538" t="s">
        <v>25</v>
      </c>
      <c r="F538" t="s">
        <v>26</v>
      </c>
      <c r="G538" t="s">
        <v>118</v>
      </c>
      <c r="H538">
        <v>2</v>
      </c>
      <c r="I538">
        <v>142.88999999999999</v>
      </c>
      <c r="J538">
        <v>0</v>
      </c>
      <c r="K538">
        <v>285.77999999999997</v>
      </c>
      <c r="L538">
        <v>66.510000000000005</v>
      </c>
      <c r="M538" t="s">
        <v>20</v>
      </c>
    </row>
    <row r="539" spans="1:13" x14ac:dyDescent="0.3">
      <c r="A539" t="s">
        <v>1511</v>
      </c>
      <c r="B539" t="s">
        <v>223</v>
      </c>
      <c r="C539" t="s">
        <v>1512</v>
      </c>
      <c r="D539" s="7" t="s">
        <v>329</v>
      </c>
      <c r="E539" t="s">
        <v>25</v>
      </c>
      <c r="F539" t="s">
        <v>26</v>
      </c>
      <c r="G539" t="s">
        <v>27</v>
      </c>
      <c r="H539">
        <v>3</v>
      </c>
      <c r="I539">
        <v>69.680000000000007</v>
      </c>
      <c r="J539">
        <v>0</v>
      </c>
      <c r="K539">
        <v>209.04</v>
      </c>
      <c r="L539">
        <v>59</v>
      </c>
      <c r="M539" t="s">
        <v>35</v>
      </c>
    </row>
    <row r="540" spans="1:13" x14ac:dyDescent="0.3">
      <c r="A540" t="s">
        <v>1513</v>
      </c>
      <c r="B540" t="s">
        <v>924</v>
      </c>
      <c r="C540" t="s">
        <v>215</v>
      </c>
      <c r="D540" s="7" t="s">
        <v>1323</v>
      </c>
      <c r="E540" t="s">
        <v>17</v>
      </c>
      <c r="F540" t="s">
        <v>26</v>
      </c>
      <c r="G540" t="s">
        <v>84</v>
      </c>
      <c r="H540">
        <v>7</v>
      </c>
      <c r="I540">
        <v>169.24</v>
      </c>
      <c r="J540">
        <v>0.05</v>
      </c>
      <c r="K540">
        <v>1125.45</v>
      </c>
      <c r="L540">
        <v>252.05</v>
      </c>
      <c r="M540" t="s">
        <v>20</v>
      </c>
    </row>
    <row r="541" spans="1:13" x14ac:dyDescent="0.3">
      <c r="A541" t="s">
        <v>1514</v>
      </c>
      <c r="B541" t="s">
        <v>396</v>
      </c>
      <c r="C541" t="s">
        <v>1515</v>
      </c>
      <c r="D541" s="7" t="s">
        <v>750</v>
      </c>
      <c r="E541" t="s">
        <v>32</v>
      </c>
      <c r="F541" t="s">
        <v>33</v>
      </c>
      <c r="G541" t="s">
        <v>50</v>
      </c>
      <c r="H541">
        <v>3</v>
      </c>
      <c r="I541">
        <v>227.63</v>
      </c>
      <c r="J541">
        <v>0.05</v>
      </c>
      <c r="K541">
        <v>648.75</v>
      </c>
      <c r="L541">
        <v>92.56</v>
      </c>
      <c r="M541" t="s">
        <v>35</v>
      </c>
    </row>
    <row r="542" spans="1:13" x14ac:dyDescent="0.3">
      <c r="A542" t="s">
        <v>1516</v>
      </c>
      <c r="B542" t="s">
        <v>239</v>
      </c>
      <c r="C542" t="s">
        <v>1517</v>
      </c>
      <c r="D542" s="7" t="s">
        <v>414</v>
      </c>
      <c r="E542" t="s">
        <v>59</v>
      </c>
      <c r="F542" t="s">
        <v>18</v>
      </c>
      <c r="G542" t="s">
        <v>19</v>
      </c>
      <c r="H542">
        <v>7</v>
      </c>
      <c r="I542">
        <v>109.43</v>
      </c>
      <c r="J542">
        <v>0.15</v>
      </c>
      <c r="K542">
        <v>651.11</v>
      </c>
      <c r="L542">
        <v>99.13</v>
      </c>
      <c r="M542" t="s">
        <v>20</v>
      </c>
    </row>
    <row r="543" spans="1:13" x14ac:dyDescent="0.3">
      <c r="A543" t="s">
        <v>1518</v>
      </c>
      <c r="B543" t="s">
        <v>104</v>
      </c>
      <c r="C543" t="s">
        <v>196</v>
      </c>
      <c r="D543" s="7" t="s">
        <v>808</v>
      </c>
      <c r="E543" t="s">
        <v>17</v>
      </c>
      <c r="F543" t="s">
        <v>26</v>
      </c>
      <c r="G543" t="s">
        <v>118</v>
      </c>
      <c r="H543">
        <v>1</v>
      </c>
      <c r="I543">
        <v>210.76</v>
      </c>
      <c r="J543">
        <v>0.15</v>
      </c>
      <c r="K543">
        <v>179.15</v>
      </c>
      <c r="L543">
        <v>26.18</v>
      </c>
      <c r="M543" t="s">
        <v>40</v>
      </c>
    </row>
    <row r="544" spans="1:13" x14ac:dyDescent="0.3">
      <c r="A544" t="s">
        <v>1519</v>
      </c>
      <c r="B544" t="s">
        <v>207</v>
      </c>
      <c r="C544" t="s">
        <v>1160</v>
      </c>
      <c r="D544" s="7" t="s">
        <v>1520</v>
      </c>
      <c r="E544" t="s">
        <v>64</v>
      </c>
      <c r="F544" t="s">
        <v>26</v>
      </c>
      <c r="G544" t="s">
        <v>84</v>
      </c>
      <c r="H544">
        <v>2</v>
      </c>
      <c r="I544">
        <v>85.51</v>
      </c>
      <c r="J544">
        <v>0.15</v>
      </c>
      <c r="K544">
        <v>145.37</v>
      </c>
      <c r="L544">
        <v>20.74</v>
      </c>
      <c r="M544" t="s">
        <v>20</v>
      </c>
    </row>
    <row r="545" spans="1:13" x14ac:dyDescent="0.3">
      <c r="A545" t="s">
        <v>1521</v>
      </c>
      <c r="B545" t="s">
        <v>603</v>
      </c>
      <c r="C545" t="s">
        <v>287</v>
      </c>
      <c r="D545" s="7" t="s">
        <v>829</v>
      </c>
      <c r="E545" t="s">
        <v>32</v>
      </c>
      <c r="F545" t="s">
        <v>26</v>
      </c>
      <c r="G545" t="s">
        <v>118</v>
      </c>
      <c r="H545">
        <v>8</v>
      </c>
      <c r="I545">
        <v>190.87</v>
      </c>
      <c r="J545">
        <v>0.15</v>
      </c>
      <c r="K545">
        <v>1297.92</v>
      </c>
      <c r="L545">
        <v>268.64</v>
      </c>
      <c r="M545" t="s">
        <v>40</v>
      </c>
    </row>
    <row r="546" spans="1:13" x14ac:dyDescent="0.3">
      <c r="A546" t="s">
        <v>1522</v>
      </c>
      <c r="B546" t="s">
        <v>1029</v>
      </c>
      <c r="C546" t="s">
        <v>1523</v>
      </c>
      <c r="D546" s="7" t="s">
        <v>612</v>
      </c>
      <c r="E546" t="s">
        <v>32</v>
      </c>
      <c r="F546" t="s">
        <v>89</v>
      </c>
      <c r="G546" t="s">
        <v>150</v>
      </c>
      <c r="H546">
        <v>3</v>
      </c>
      <c r="I546">
        <v>40.22</v>
      </c>
      <c r="J546">
        <v>0.05</v>
      </c>
      <c r="K546">
        <v>114.63</v>
      </c>
      <c r="L546">
        <v>24.61</v>
      </c>
      <c r="M546" t="s">
        <v>40</v>
      </c>
    </row>
    <row r="547" spans="1:13" x14ac:dyDescent="0.3">
      <c r="A547" t="s">
        <v>1524</v>
      </c>
      <c r="B547" t="s">
        <v>548</v>
      </c>
      <c r="C547" t="s">
        <v>134</v>
      </c>
      <c r="D547" s="7" t="s">
        <v>1525</v>
      </c>
      <c r="E547" t="s">
        <v>32</v>
      </c>
      <c r="F547" t="s">
        <v>33</v>
      </c>
      <c r="G547" t="s">
        <v>74</v>
      </c>
      <c r="H547">
        <v>5</v>
      </c>
      <c r="I547">
        <v>203.69</v>
      </c>
      <c r="J547">
        <v>0.15</v>
      </c>
      <c r="K547">
        <v>865.68</v>
      </c>
      <c r="L547">
        <v>147.16999999999999</v>
      </c>
      <c r="M547" t="s">
        <v>20</v>
      </c>
    </row>
    <row r="548" spans="1:13" x14ac:dyDescent="0.3">
      <c r="A548" t="s">
        <v>1526</v>
      </c>
      <c r="B548" t="s">
        <v>1035</v>
      </c>
      <c r="C548" t="s">
        <v>177</v>
      </c>
      <c r="D548" s="7" t="s">
        <v>201</v>
      </c>
      <c r="E548" t="s">
        <v>17</v>
      </c>
      <c r="F548" t="s">
        <v>18</v>
      </c>
      <c r="G548" t="s">
        <v>45</v>
      </c>
      <c r="H548">
        <v>5</v>
      </c>
      <c r="I548">
        <v>215.59</v>
      </c>
      <c r="J548">
        <v>0.05</v>
      </c>
      <c r="K548">
        <v>1024.05</v>
      </c>
      <c r="L548">
        <v>238.62</v>
      </c>
      <c r="M548" t="s">
        <v>35</v>
      </c>
    </row>
    <row r="549" spans="1:13" x14ac:dyDescent="0.3">
      <c r="A549" t="s">
        <v>1527</v>
      </c>
      <c r="B549" t="s">
        <v>850</v>
      </c>
      <c r="C549" t="s">
        <v>389</v>
      </c>
      <c r="D549" s="7" t="s">
        <v>758</v>
      </c>
      <c r="E549" t="s">
        <v>25</v>
      </c>
      <c r="F549" t="s">
        <v>33</v>
      </c>
      <c r="G549" t="s">
        <v>74</v>
      </c>
      <c r="H549">
        <v>4</v>
      </c>
      <c r="I549">
        <v>57.68</v>
      </c>
      <c r="J549">
        <v>0.05</v>
      </c>
      <c r="K549">
        <v>219.18</v>
      </c>
      <c r="L549">
        <v>37.08</v>
      </c>
      <c r="M549" t="s">
        <v>40</v>
      </c>
    </row>
    <row r="550" spans="1:13" x14ac:dyDescent="0.3">
      <c r="A550" t="s">
        <v>1528</v>
      </c>
      <c r="B550" t="s">
        <v>207</v>
      </c>
      <c r="C550" t="s">
        <v>1529</v>
      </c>
      <c r="D550" s="7" t="s">
        <v>300</v>
      </c>
      <c r="E550" t="s">
        <v>64</v>
      </c>
      <c r="F550" t="s">
        <v>89</v>
      </c>
      <c r="G550" t="s">
        <v>131</v>
      </c>
      <c r="H550">
        <v>6</v>
      </c>
      <c r="I550">
        <v>125.4</v>
      </c>
      <c r="J550">
        <v>0.1</v>
      </c>
      <c r="K550">
        <v>677.16</v>
      </c>
      <c r="L550">
        <v>125.24</v>
      </c>
      <c r="M550" t="s">
        <v>40</v>
      </c>
    </row>
    <row r="551" spans="1:13" x14ac:dyDescent="0.3">
      <c r="A551" t="s">
        <v>1530</v>
      </c>
      <c r="B551" t="s">
        <v>108</v>
      </c>
      <c r="C551" t="s">
        <v>295</v>
      </c>
      <c r="D551" s="7" t="s">
        <v>1231</v>
      </c>
      <c r="E551" t="s">
        <v>64</v>
      </c>
      <c r="F551" t="s">
        <v>89</v>
      </c>
      <c r="G551" t="s">
        <v>90</v>
      </c>
      <c r="H551">
        <v>8</v>
      </c>
      <c r="I551">
        <v>23.96</v>
      </c>
      <c r="J551">
        <v>0.15</v>
      </c>
      <c r="K551">
        <v>162.93</v>
      </c>
      <c r="L551">
        <v>32.950000000000003</v>
      </c>
      <c r="M551" t="s">
        <v>40</v>
      </c>
    </row>
    <row r="552" spans="1:13" x14ac:dyDescent="0.3">
      <c r="A552" t="s">
        <v>1531</v>
      </c>
      <c r="B552" t="s">
        <v>111</v>
      </c>
      <c r="C552" t="s">
        <v>1532</v>
      </c>
      <c r="D552" s="7" t="s">
        <v>552</v>
      </c>
      <c r="E552" t="s">
        <v>17</v>
      </c>
      <c r="F552" t="s">
        <v>33</v>
      </c>
      <c r="G552" t="s">
        <v>69</v>
      </c>
      <c r="H552">
        <v>5</v>
      </c>
      <c r="I552">
        <v>115.4</v>
      </c>
      <c r="J552">
        <v>0.1</v>
      </c>
      <c r="K552">
        <v>519.29999999999995</v>
      </c>
      <c r="L552">
        <v>138.82</v>
      </c>
      <c r="M552" t="s">
        <v>40</v>
      </c>
    </row>
    <row r="553" spans="1:13" x14ac:dyDescent="0.3">
      <c r="A553" t="s">
        <v>1533</v>
      </c>
      <c r="B553" t="s">
        <v>464</v>
      </c>
      <c r="C553" t="s">
        <v>221</v>
      </c>
      <c r="D553" s="7" t="s">
        <v>1534</v>
      </c>
      <c r="E553" t="s">
        <v>59</v>
      </c>
      <c r="F553" t="s">
        <v>26</v>
      </c>
      <c r="G553" t="s">
        <v>84</v>
      </c>
      <c r="H553">
        <v>6</v>
      </c>
      <c r="I553">
        <v>154.36000000000001</v>
      </c>
      <c r="J553">
        <v>0.05</v>
      </c>
      <c r="K553">
        <v>879.85</v>
      </c>
      <c r="L553">
        <v>102.92</v>
      </c>
      <c r="M553" t="s">
        <v>35</v>
      </c>
    </row>
    <row r="554" spans="1:13" x14ac:dyDescent="0.3">
      <c r="A554" t="s">
        <v>1535</v>
      </c>
      <c r="B554" t="s">
        <v>1536</v>
      </c>
      <c r="C554" t="s">
        <v>1063</v>
      </c>
      <c r="D554" s="7" t="s">
        <v>487</v>
      </c>
      <c r="E554" t="s">
        <v>64</v>
      </c>
      <c r="F554" t="s">
        <v>33</v>
      </c>
      <c r="G554" t="s">
        <v>34</v>
      </c>
      <c r="H554">
        <v>2</v>
      </c>
      <c r="I554">
        <v>147.29</v>
      </c>
      <c r="J554">
        <v>0.05</v>
      </c>
      <c r="K554">
        <v>279.85000000000002</v>
      </c>
      <c r="L554">
        <v>79.14</v>
      </c>
      <c r="M554" t="s">
        <v>20</v>
      </c>
    </row>
    <row r="555" spans="1:13" x14ac:dyDescent="0.3">
      <c r="A555" t="s">
        <v>1537</v>
      </c>
      <c r="B555" t="s">
        <v>972</v>
      </c>
      <c r="C555" t="s">
        <v>1312</v>
      </c>
      <c r="D555" s="7" t="s">
        <v>1479</v>
      </c>
      <c r="E555" t="s">
        <v>59</v>
      </c>
      <c r="F555" t="s">
        <v>89</v>
      </c>
      <c r="G555" t="s">
        <v>90</v>
      </c>
      <c r="H555">
        <v>8</v>
      </c>
      <c r="I555">
        <v>179.96</v>
      </c>
      <c r="J555">
        <v>0.15</v>
      </c>
      <c r="K555">
        <v>1223.73</v>
      </c>
      <c r="L555">
        <v>160.44</v>
      </c>
      <c r="M555" t="s">
        <v>35</v>
      </c>
    </row>
    <row r="556" spans="1:13" x14ac:dyDescent="0.3">
      <c r="A556" t="s">
        <v>1538</v>
      </c>
      <c r="B556" t="s">
        <v>983</v>
      </c>
      <c r="C556" t="s">
        <v>1539</v>
      </c>
      <c r="D556" s="7" t="s">
        <v>325</v>
      </c>
      <c r="E556" t="s">
        <v>32</v>
      </c>
      <c r="F556" t="s">
        <v>89</v>
      </c>
      <c r="G556" t="s">
        <v>150</v>
      </c>
      <c r="H556">
        <v>3</v>
      </c>
      <c r="I556">
        <v>56.46</v>
      </c>
      <c r="J556">
        <v>0.15</v>
      </c>
      <c r="K556">
        <v>143.97</v>
      </c>
      <c r="L556">
        <v>28.14</v>
      </c>
      <c r="M556" t="s">
        <v>35</v>
      </c>
    </row>
    <row r="557" spans="1:13" x14ac:dyDescent="0.3">
      <c r="A557" t="s">
        <v>1540</v>
      </c>
      <c r="B557" t="s">
        <v>1541</v>
      </c>
      <c r="C557" t="s">
        <v>1230</v>
      </c>
      <c r="D557" s="7" t="s">
        <v>445</v>
      </c>
      <c r="E557" t="s">
        <v>17</v>
      </c>
      <c r="F557" t="s">
        <v>33</v>
      </c>
      <c r="G557" t="s">
        <v>50</v>
      </c>
      <c r="H557">
        <v>5</v>
      </c>
      <c r="I557">
        <v>43.08</v>
      </c>
      <c r="J557">
        <v>0.15</v>
      </c>
      <c r="K557">
        <v>183.09</v>
      </c>
      <c r="L557">
        <v>35.79</v>
      </c>
      <c r="M557" t="s">
        <v>20</v>
      </c>
    </row>
    <row r="558" spans="1:13" x14ac:dyDescent="0.3">
      <c r="A558" t="s">
        <v>1542</v>
      </c>
      <c r="B558" t="s">
        <v>882</v>
      </c>
      <c r="C558" t="s">
        <v>1543</v>
      </c>
      <c r="D558" s="7" t="s">
        <v>141</v>
      </c>
      <c r="E558" t="s">
        <v>64</v>
      </c>
      <c r="F558" t="s">
        <v>33</v>
      </c>
      <c r="G558" t="s">
        <v>50</v>
      </c>
      <c r="H558">
        <v>7</v>
      </c>
      <c r="I558">
        <v>208.05</v>
      </c>
      <c r="J558">
        <v>0</v>
      </c>
      <c r="K558">
        <v>1456.35</v>
      </c>
      <c r="L558">
        <v>357.93</v>
      </c>
      <c r="M558" t="s">
        <v>35</v>
      </c>
    </row>
    <row r="559" spans="1:13" x14ac:dyDescent="0.3">
      <c r="A559" t="s">
        <v>1544</v>
      </c>
      <c r="B559" t="s">
        <v>760</v>
      </c>
      <c r="C559" t="s">
        <v>1545</v>
      </c>
      <c r="D559" s="7" t="s">
        <v>601</v>
      </c>
      <c r="E559" t="s">
        <v>32</v>
      </c>
      <c r="F559" t="s">
        <v>18</v>
      </c>
      <c r="G559" t="s">
        <v>79</v>
      </c>
      <c r="H559">
        <v>5</v>
      </c>
      <c r="I559">
        <v>59.98</v>
      </c>
      <c r="J559">
        <v>0.05</v>
      </c>
      <c r="K559">
        <v>284.89999999999998</v>
      </c>
      <c r="L559">
        <v>24.39</v>
      </c>
      <c r="M559" t="s">
        <v>20</v>
      </c>
    </row>
    <row r="560" spans="1:13" x14ac:dyDescent="0.3">
      <c r="A560" t="s">
        <v>1546</v>
      </c>
      <c r="B560" t="s">
        <v>1547</v>
      </c>
      <c r="C560" t="s">
        <v>975</v>
      </c>
      <c r="D560" s="7" t="s">
        <v>1548</v>
      </c>
      <c r="E560" t="s">
        <v>64</v>
      </c>
      <c r="F560" t="s">
        <v>18</v>
      </c>
      <c r="G560" t="s">
        <v>79</v>
      </c>
      <c r="H560">
        <v>5</v>
      </c>
      <c r="I560">
        <v>99.89</v>
      </c>
      <c r="J560">
        <v>0</v>
      </c>
      <c r="K560">
        <v>499.45</v>
      </c>
      <c r="L560">
        <v>95.91</v>
      </c>
      <c r="M560" t="s">
        <v>35</v>
      </c>
    </row>
    <row r="561" spans="1:13" x14ac:dyDescent="0.3">
      <c r="A561" t="s">
        <v>1549</v>
      </c>
      <c r="B561" t="s">
        <v>302</v>
      </c>
      <c r="C561" t="s">
        <v>511</v>
      </c>
      <c r="D561" s="7" t="s">
        <v>1550</v>
      </c>
      <c r="E561" t="s">
        <v>17</v>
      </c>
      <c r="F561" t="s">
        <v>26</v>
      </c>
      <c r="G561" t="s">
        <v>27</v>
      </c>
      <c r="H561">
        <v>7</v>
      </c>
      <c r="I561">
        <v>175.4</v>
      </c>
      <c r="J561">
        <v>0.1</v>
      </c>
      <c r="K561">
        <v>1105.02</v>
      </c>
      <c r="L561">
        <v>150.21</v>
      </c>
      <c r="M561" t="s">
        <v>35</v>
      </c>
    </row>
    <row r="562" spans="1:13" x14ac:dyDescent="0.3">
      <c r="A562" t="s">
        <v>1551</v>
      </c>
      <c r="B562" t="s">
        <v>856</v>
      </c>
      <c r="C562" t="s">
        <v>1552</v>
      </c>
      <c r="D562" s="7" t="s">
        <v>1553</v>
      </c>
      <c r="E562" t="s">
        <v>25</v>
      </c>
      <c r="F562" t="s">
        <v>18</v>
      </c>
      <c r="G562" t="s">
        <v>79</v>
      </c>
      <c r="H562">
        <v>3</v>
      </c>
      <c r="I562">
        <v>231.53</v>
      </c>
      <c r="J562">
        <v>0</v>
      </c>
      <c r="K562">
        <v>694.59</v>
      </c>
      <c r="L562">
        <v>92.65</v>
      </c>
      <c r="M562" t="s">
        <v>40</v>
      </c>
    </row>
    <row r="563" spans="1:13" x14ac:dyDescent="0.3">
      <c r="A563" t="s">
        <v>1554</v>
      </c>
      <c r="B563" t="s">
        <v>900</v>
      </c>
      <c r="C563" t="s">
        <v>1181</v>
      </c>
      <c r="D563" s="7" t="s">
        <v>1555</v>
      </c>
      <c r="E563" t="s">
        <v>64</v>
      </c>
      <c r="F563" t="s">
        <v>26</v>
      </c>
      <c r="G563" t="s">
        <v>84</v>
      </c>
      <c r="H563">
        <v>2</v>
      </c>
      <c r="I563">
        <v>148.91999999999999</v>
      </c>
      <c r="J563">
        <v>0.1</v>
      </c>
      <c r="K563">
        <v>268.06</v>
      </c>
      <c r="L563">
        <v>25.69</v>
      </c>
      <c r="M563" t="s">
        <v>40</v>
      </c>
    </row>
    <row r="564" spans="1:13" x14ac:dyDescent="0.3">
      <c r="A564" t="s">
        <v>1556</v>
      </c>
      <c r="B564" t="s">
        <v>1557</v>
      </c>
      <c r="C564" t="s">
        <v>1558</v>
      </c>
      <c r="D564" s="7" t="s">
        <v>835</v>
      </c>
      <c r="E564" t="s">
        <v>25</v>
      </c>
      <c r="F564" t="s">
        <v>33</v>
      </c>
      <c r="G564" t="s">
        <v>69</v>
      </c>
      <c r="H564">
        <v>7</v>
      </c>
      <c r="I564">
        <v>129.4</v>
      </c>
      <c r="J564">
        <v>0.15</v>
      </c>
      <c r="K564">
        <v>769.93</v>
      </c>
      <c r="L564">
        <v>195.45</v>
      </c>
      <c r="M564" t="s">
        <v>40</v>
      </c>
    </row>
    <row r="565" spans="1:13" x14ac:dyDescent="0.3">
      <c r="A565" t="s">
        <v>1559</v>
      </c>
      <c r="B565" t="s">
        <v>483</v>
      </c>
      <c r="C565" t="s">
        <v>1339</v>
      </c>
      <c r="D565" s="7" t="s">
        <v>1560</v>
      </c>
      <c r="E565" t="s">
        <v>25</v>
      </c>
      <c r="F565" t="s">
        <v>33</v>
      </c>
      <c r="G565" t="s">
        <v>74</v>
      </c>
      <c r="H565">
        <v>3</v>
      </c>
      <c r="I565">
        <v>210.95</v>
      </c>
      <c r="J565">
        <v>0.15</v>
      </c>
      <c r="K565">
        <v>537.91999999999996</v>
      </c>
      <c r="L565">
        <v>64.27</v>
      </c>
      <c r="M565" t="s">
        <v>35</v>
      </c>
    </row>
    <row r="566" spans="1:13" x14ac:dyDescent="0.3">
      <c r="A566" t="s">
        <v>1561</v>
      </c>
      <c r="B566" t="s">
        <v>76</v>
      </c>
      <c r="C566" t="s">
        <v>490</v>
      </c>
      <c r="D566" s="7" t="s">
        <v>1103</v>
      </c>
      <c r="E566" t="s">
        <v>64</v>
      </c>
      <c r="F566" t="s">
        <v>18</v>
      </c>
      <c r="G566" t="s">
        <v>79</v>
      </c>
      <c r="H566">
        <v>6</v>
      </c>
      <c r="I566">
        <v>92.4</v>
      </c>
      <c r="J566">
        <v>0.15</v>
      </c>
      <c r="K566">
        <v>471.24</v>
      </c>
      <c r="L566">
        <v>121.42</v>
      </c>
      <c r="M566" t="s">
        <v>40</v>
      </c>
    </row>
    <row r="567" spans="1:13" x14ac:dyDescent="0.3">
      <c r="A567" t="s">
        <v>1562</v>
      </c>
      <c r="B567" t="s">
        <v>203</v>
      </c>
      <c r="C567" t="s">
        <v>1026</v>
      </c>
      <c r="D567" s="7" t="s">
        <v>1550</v>
      </c>
      <c r="E567" t="s">
        <v>64</v>
      </c>
      <c r="F567" t="s">
        <v>26</v>
      </c>
      <c r="G567" t="s">
        <v>84</v>
      </c>
      <c r="H567">
        <v>1</v>
      </c>
      <c r="I567">
        <v>220.5</v>
      </c>
      <c r="J567">
        <v>0.1</v>
      </c>
      <c r="K567">
        <v>198.45</v>
      </c>
      <c r="L567">
        <v>30.72</v>
      </c>
      <c r="M567" t="s">
        <v>35</v>
      </c>
    </row>
    <row r="568" spans="1:13" x14ac:dyDescent="0.3">
      <c r="A568" t="s">
        <v>1563</v>
      </c>
      <c r="B568" t="s">
        <v>583</v>
      </c>
      <c r="C568" t="s">
        <v>897</v>
      </c>
      <c r="D568" s="7" t="s">
        <v>1157</v>
      </c>
      <c r="E568" t="s">
        <v>17</v>
      </c>
      <c r="F568" t="s">
        <v>26</v>
      </c>
      <c r="G568" t="s">
        <v>27</v>
      </c>
      <c r="H568">
        <v>5</v>
      </c>
      <c r="I568">
        <v>205.03</v>
      </c>
      <c r="J568">
        <v>0.15</v>
      </c>
      <c r="K568">
        <v>871.38</v>
      </c>
      <c r="L568">
        <v>238.3</v>
      </c>
      <c r="M568" t="s">
        <v>35</v>
      </c>
    </row>
    <row r="569" spans="1:13" x14ac:dyDescent="0.3">
      <c r="A569" t="s">
        <v>1564</v>
      </c>
      <c r="B569" t="s">
        <v>1116</v>
      </c>
      <c r="C569" t="s">
        <v>192</v>
      </c>
      <c r="D569" s="7" t="s">
        <v>1565</v>
      </c>
      <c r="E569" t="s">
        <v>17</v>
      </c>
      <c r="F569" t="s">
        <v>33</v>
      </c>
      <c r="G569" t="s">
        <v>74</v>
      </c>
      <c r="H569">
        <v>3</v>
      </c>
      <c r="I569">
        <v>169.91</v>
      </c>
      <c r="J569">
        <v>0.05</v>
      </c>
      <c r="K569">
        <v>484.24</v>
      </c>
      <c r="L569">
        <v>98.3</v>
      </c>
      <c r="M569" t="s">
        <v>40</v>
      </c>
    </row>
    <row r="570" spans="1:13" x14ac:dyDescent="0.3">
      <c r="A570" t="s">
        <v>1566</v>
      </c>
      <c r="B570" t="s">
        <v>203</v>
      </c>
      <c r="C570" t="s">
        <v>1567</v>
      </c>
      <c r="D570" s="7" t="s">
        <v>651</v>
      </c>
      <c r="E570" t="s">
        <v>32</v>
      </c>
      <c r="F570" t="s">
        <v>33</v>
      </c>
      <c r="G570" t="s">
        <v>34</v>
      </c>
      <c r="H570">
        <v>6</v>
      </c>
      <c r="I570">
        <v>194.86</v>
      </c>
      <c r="J570">
        <v>0.1</v>
      </c>
      <c r="K570">
        <v>1052.24</v>
      </c>
      <c r="L570">
        <v>247.93</v>
      </c>
      <c r="M570" t="s">
        <v>20</v>
      </c>
    </row>
    <row r="571" spans="1:13" x14ac:dyDescent="0.3">
      <c r="A571" t="s">
        <v>1568</v>
      </c>
      <c r="B571" t="s">
        <v>1105</v>
      </c>
      <c r="C571" t="s">
        <v>517</v>
      </c>
      <c r="D571" s="7" t="s">
        <v>1569</v>
      </c>
      <c r="E571" t="s">
        <v>25</v>
      </c>
      <c r="F571" t="s">
        <v>18</v>
      </c>
      <c r="G571" t="s">
        <v>19</v>
      </c>
      <c r="H571">
        <v>7</v>
      </c>
      <c r="I571">
        <v>110.79</v>
      </c>
      <c r="J571">
        <v>0.05</v>
      </c>
      <c r="K571">
        <v>736.75</v>
      </c>
      <c r="L571">
        <v>198.06</v>
      </c>
      <c r="M571" t="s">
        <v>40</v>
      </c>
    </row>
    <row r="572" spans="1:13" x14ac:dyDescent="0.3">
      <c r="A572" t="s">
        <v>1570</v>
      </c>
      <c r="B572" t="s">
        <v>371</v>
      </c>
      <c r="C572" t="s">
        <v>1571</v>
      </c>
      <c r="D572" s="7" t="s">
        <v>937</v>
      </c>
      <c r="E572" t="s">
        <v>59</v>
      </c>
      <c r="F572" t="s">
        <v>26</v>
      </c>
      <c r="G572" t="s">
        <v>27</v>
      </c>
      <c r="H572">
        <v>8</v>
      </c>
      <c r="I572">
        <v>196.26</v>
      </c>
      <c r="J572">
        <v>0.1</v>
      </c>
      <c r="K572">
        <v>1413.07</v>
      </c>
      <c r="L572">
        <v>172.1</v>
      </c>
      <c r="M572" t="s">
        <v>40</v>
      </c>
    </row>
    <row r="573" spans="1:13" x14ac:dyDescent="0.3">
      <c r="A573" t="s">
        <v>1572</v>
      </c>
      <c r="B573" t="s">
        <v>1573</v>
      </c>
      <c r="C573" t="s">
        <v>1574</v>
      </c>
      <c r="D573" s="7" t="s">
        <v>1575</v>
      </c>
      <c r="E573" t="s">
        <v>32</v>
      </c>
      <c r="F573" t="s">
        <v>18</v>
      </c>
      <c r="G573" t="s">
        <v>19</v>
      </c>
      <c r="H573">
        <v>2</v>
      </c>
      <c r="I573">
        <v>85.53</v>
      </c>
      <c r="J573">
        <v>0.15</v>
      </c>
      <c r="K573">
        <v>145.4</v>
      </c>
      <c r="L573">
        <v>37.700000000000003</v>
      </c>
      <c r="M573" t="s">
        <v>20</v>
      </c>
    </row>
    <row r="574" spans="1:13" x14ac:dyDescent="0.3">
      <c r="A574" t="s">
        <v>1576</v>
      </c>
      <c r="B574" t="s">
        <v>771</v>
      </c>
      <c r="C574" t="s">
        <v>1079</v>
      </c>
      <c r="D574" s="7" t="s">
        <v>895</v>
      </c>
      <c r="E574" t="s">
        <v>32</v>
      </c>
      <c r="F574" t="s">
        <v>89</v>
      </c>
      <c r="G574" t="s">
        <v>90</v>
      </c>
      <c r="H574">
        <v>3</v>
      </c>
      <c r="I574">
        <v>59.72</v>
      </c>
      <c r="J574">
        <v>0</v>
      </c>
      <c r="K574">
        <v>179.16</v>
      </c>
      <c r="L574">
        <v>40.479999999999997</v>
      </c>
      <c r="M574" t="s">
        <v>35</v>
      </c>
    </row>
    <row r="575" spans="1:13" x14ac:dyDescent="0.3">
      <c r="A575" t="s">
        <v>1577</v>
      </c>
      <c r="B575" t="s">
        <v>1578</v>
      </c>
      <c r="C575" t="s">
        <v>1579</v>
      </c>
      <c r="D575" s="7" t="s">
        <v>661</v>
      </c>
      <c r="E575" t="s">
        <v>59</v>
      </c>
      <c r="F575" t="s">
        <v>26</v>
      </c>
      <c r="G575" t="s">
        <v>118</v>
      </c>
      <c r="H575">
        <v>1</v>
      </c>
      <c r="I575">
        <v>128.68</v>
      </c>
      <c r="J575">
        <v>0.15</v>
      </c>
      <c r="K575">
        <v>109.38</v>
      </c>
      <c r="L575">
        <v>9.85</v>
      </c>
      <c r="M575" t="s">
        <v>20</v>
      </c>
    </row>
    <row r="576" spans="1:13" x14ac:dyDescent="0.3">
      <c r="A576" t="s">
        <v>1580</v>
      </c>
      <c r="B576" t="s">
        <v>1581</v>
      </c>
      <c r="C576" t="s">
        <v>1582</v>
      </c>
      <c r="D576" s="7" t="s">
        <v>1583</v>
      </c>
      <c r="E576" t="s">
        <v>59</v>
      </c>
      <c r="F576" t="s">
        <v>33</v>
      </c>
      <c r="G576" t="s">
        <v>69</v>
      </c>
      <c r="H576">
        <v>2</v>
      </c>
      <c r="I576">
        <v>88.84</v>
      </c>
      <c r="J576">
        <v>0.15</v>
      </c>
      <c r="K576">
        <v>151.03</v>
      </c>
      <c r="L576">
        <v>43.3</v>
      </c>
      <c r="M576" t="s">
        <v>35</v>
      </c>
    </row>
    <row r="577" spans="1:13" x14ac:dyDescent="0.3">
      <c r="A577" t="s">
        <v>1584</v>
      </c>
      <c r="B577" t="s">
        <v>815</v>
      </c>
      <c r="C577" t="s">
        <v>1571</v>
      </c>
      <c r="D577" s="7" t="s">
        <v>269</v>
      </c>
      <c r="E577" t="s">
        <v>17</v>
      </c>
      <c r="F577" t="s">
        <v>26</v>
      </c>
      <c r="G577" t="s">
        <v>84</v>
      </c>
      <c r="H577">
        <v>4</v>
      </c>
      <c r="I577">
        <v>165.19</v>
      </c>
      <c r="J577">
        <v>0.05</v>
      </c>
      <c r="K577">
        <v>627.72</v>
      </c>
      <c r="L577">
        <v>100.04</v>
      </c>
      <c r="M577" t="s">
        <v>40</v>
      </c>
    </row>
    <row r="578" spans="1:13" x14ac:dyDescent="0.3">
      <c r="A578" t="s">
        <v>1585</v>
      </c>
      <c r="B578" t="s">
        <v>523</v>
      </c>
      <c r="C578" t="s">
        <v>353</v>
      </c>
      <c r="D578" s="7" t="s">
        <v>1436</v>
      </c>
      <c r="E578" t="s">
        <v>32</v>
      </c>
      <c r="F578" t="s">
        <v>89</v>
      </c>
      <c r="G578" t="s">
        <v>131</v>
      </c>
      <c r="H578">
        <v>6</v>
      </c>
      <c r="I578">
        <v>71.239999999999995</v>
      </c>
      <c r="J578">
        <v>0.15</v>
      </c>
      <c r="K578">
        <v>363.32</v>
      </c>
      <c r="L578">
        <v>99.18</v>
      </c>
      <c r="M578" t="s">
        <v>20</v>
      </c>
    </row>
    <row r="579" spans="1:13" x14ac:dyDescent="0.3">
      <c r="A579" t="s">
        <v>1586</v>
      </c>
      <c r="B579" t="s">
        <v>1465</v>
      </c>
      <c r="C579" t="s">
        <v>339</v>
      </c>
      <c r="D579" s="7" t="s">
        <v>868</v>
      </c>
      <c r="E579" t="s">
        <v>17</v>
      </c>
      <c r="F579" t="s">
        <v>33</v>
      </c>
      <c r="G579" t="s">
        <v>69</v>
      </c>
      <c r="H579">
        <v>3</v>
      </c>
      <c r="I579">
        <v>228.16</v>
      </c>
      <c r="J579">
        <v>0</v>
      </c>
      <c r="K579">
        <v>684.48</v>
      </c>
      <c r="L579">
        <v>181.8</v>
      </c>
      <c r="M579" t="s">
        <v>40</v>
      </c>
    </row>
    <row r="580" spans="1:13" x14ac:dyDescent="0.3">
      <c r="A580" t="s">
        <v>1587</v>
      </c>
      <c r="B580" t="s">
        <v>1459</v>
      </c>
      <c r="C580" t="s">
        <v>879</v>
      </c>
      <c r="D580" s="7" t="s">
        <v>161</v>
      </c>
      <c r="E580" t="s">
        <v>64</v>
      </c>
      <c r="F580" t="s">
        <v>26</v>
      </c>
      <c r="G580" t="s">
        <v>84</v>
      </c>
      <c r="H580">
        <v>2</v>
      </c>
      <c r="I580">
        <v>238.86</v>
      </c>
      <c r="J580">
        <v>0.1</v>
      </c>
      <c r="K580">
        <v>429.95</v>
      </c>
      <c r="L580">
        <v>121.11</v>
      </c>
      <c r="M580" t="s">
        <v>20</v>
      </c>
    </row>
    <row r="581" spans="1:13" x14ac:dyDescent="0.3">
      <c r="A581" t="s">
        <v>1588</v>
      </c>
      <c r="B581" t="s">
        <v>140</v>
      </c>
      <c r="C581" t="s">
        <v>1589</v>
      </c>
      <c r="D581" s="7" t="s">
        <v>1274</v>
      </c>
      <c r="E581" t="s">
        <v>59</v>
      </c>
      <c r="F581" t="s">
        <v>18</v>
      </c>
      <c r="G581" t="s">
        <v>45</v>
      </c>
      <c r="H581">
        <v>2</v>
      </c>
      <c r="I581">
        <v>79.03</v>
      </c>
      <c r="J581">
        <v>0.05</v>
      </c>
      <c r="K581">
        <v>150.16</v>
      </c>
      <c r="L581">
        <v>12.74</v>
      </c>
      <c r="M581" t="s">
        <v>35</v>
      </c>
    </row>
    <row r="582" spans="1:13" x14ac:dyDescent="0.3">
      <c r="A582" t="s">
        <v>1590</v>
      </c>
      <c r="B582" t="s">
        <v>616</v>
      </c>
      <c r="C582" t="s">
        <v>1591</v>
      </c>
      <c r="D582" s="7" t="s">
        <v>1592</v>
      </c>
      <c r="E582" t="s">
        <v>59</v>
      </c>
      <c r="F582" t="s">
        <v>18</v>
      </c>
      <c r="G582" t="s">
        <v>45</v>
      </c>
      <c r="H582">
        <v>4</v>
      </c>
      <c r="I582">
        <v>101.1</v>
      </c>
      <c r="J582">
        <v>0.15</v>
      </c>
      <c r="K582">
        <v>343.74</v>
      </c>
      <c r="L582">
        <v>65.790000000000006</v>
      </c>
      <c r="M582" t="s">
        <v>40</v>
      </c>
    </row>
    <row r="583" spans="1:13" x14ac:dyDescent="0.3">
      <c r="A583" t="s">
        <v>1593</v>
      </c>
      <c r="B583" t="s">
        <v>362</v>
      </c>
      <c r="C583" t="s">
        <v>984</v>
      </c>
      <c r="D583" s="7" t="s">
        <v>1594</v>
      </c>
      <c r="E583" t="s">
        <v>25</v>
      </c>
      <c r="F583" t="s">
        <v>18</v>
      </c>
      <c r="G583" t="s">
        <v>45</v>
      </c>
      <c r="H583">
        <v>4</v>
      </c>
      <c r="I583">
        <v>129.49</v>
      </c>
      <c r="J583">
        <v>0.1</v>
      </c>
      <c r="K583">
        <v>466.16</v>
      </c>
      <c r="L583">
        <v>60.01</v>
      </c>
      <c r="M583" t="s">
        <v>40</v>
      </c>
    </row>
    <row r="584" spans="1:13" x14ac:dyDescent="0.3">
      <c r="A584" t="s">
        <v>1595</v>
      </c>
      <c r="B584" t="s">
        <v>1489</v>
      </c>
      <c r="C584" t="s">
        <v>350</v>
      </c>
      <c r="D584" s="7" t="s">
        <v>1596</v>
      </c>
      <c r="E584" t="s">
        <v>32</v>
      </c>
      <c r="F584" t="s">
        <v>33</v>
      </c>
      <c r="G584" t="s">
        <v>50</v>
      </c>
      <c r="H584">
        <v>1</v>
      </c>
      <c r="I584">
        <v>194.06</v>
      </c>
      <c r="J584">
        <v>0.15</v>
      </c>
      <c r="K584">
        <v>164.95</v>
      </c>
      <c r="L584">
        <v>40.4</v>
      </c>
      <c r="M584" t="s">
        <v>35</v>
      </c>
    </row>
    <row r="585" spans="1:13" x14ac:dyDescent="0.3">
      <c r="A585" t="s">
        <v>1597</v>
      </c>
      <c r="B585" t="s">
        <v>1598</v>
      </c>
      <c r="C585" t="s">
        <v>144</v>
      </c>
      <c r="D585" s="7" t="s">
        <v>1455</v>
      </c>
      <c r="E585" t="s">
        <v>64</v>
      </c>
      <c r="F585" t="s">
        <v>18</v>
      </c>
      <c r="G585" t="s">
        <v>79</v>
      </c>
      <c r="H585">
        <v>8</v>
      </c>
      <c r="I585">
        <v>217.62</v>
      </c>
      <c r="J585">
        <v>0.15</v>
      </c>
      <c r="K585">
        <v>1479.82</v>
      </c>
      <c r="L585">
        <v>227.8</v>
      </c>
      <c r="M585" t="s">
        <v>40</v>
      </c>
    </row>
    <row r="586" spans="1:13" x14ac:dyDescent="0.3">
      <c r="A586" t="s">
        <v>1599</v>
      </c>
      <c r="B586" t="s">
        <v>489</v>
      </c>
      <c r="C586" t="s">
        <v>1195</v>
      </c>
      <c r="D586" s="7" t="s">
        <v>1600</v>
      </c>
      <c r="E586" t="s">
        <v>64</v>
      </c>
      <c r="F586" t="s">
        <v>18</v>
      </c>
      <c r="G586" t="s">
        <v>79</v>
      </c>
      <c r="H586">
        <v>3</v>
      </c>
      <c r="I586">
        <v>96.1</v>
      </c>
      <c r="J586">
        <v>0.15</v>
      </c>
      <c r="K586">
        <v>245.05</v>
      </c>
      <c r="L586">
        <v>26.48</v>
      </c>
      <c r="M586" t="s">
        <v>20</v>
      </c>
    </row>
    <row r="587" spans="1:13" x14ac:dyDescent="0.3">
      <c r="A587" t="s">
        <v>1601</v>
      </c>
      <c r="B587" t="s">
        <v>239</v>
      </c>
      <c r="C587" t="s">
        <v>1504</v>
      </c>
      <c r="D587" s="7" t="s">
        <v>193</v>
      </c>
      <c r="E587" t="s">
        <v>25</v>
      </c>
      <c r="F587" t="s">
        <v>18</v>
      </c>
      <c r="G587" t="s">
        <v>19</v>
      </c>
      <c r="H587">
        <v>5</v>
      </c>
      <c r="I587">
        <v>81.209999999999994</v>
      </c>
      <c r="J587">
        <v>0</v>
      </c>
      <c r="K587">
        <v>406.05</v>
      </c>
      <c r="L587">
        <v>41.31</v>
      </c>
      <c r="M587" t="s">
        <v>35</v>
      </c>
    </row>
    <row r="588" spans="1:13" x14ac:dyDescent="0.3">
      <c r="A588" t="s">
        <v>1602</v>
      </c>
      <c r="B588" t="s">
        <v>111</v>
      </c>
      <c r="C588" t="s">
        <v>1092</v>
      </c>
      <c r="D588" s="7" t="s">
        <v>1603</v>
      </c>
      <c r="E588" t="s">
        <v>32</v>
      </c>
      <c r="F588" t="s">
        <v>26</v>
      </c>
      <c r="G588" t="s">
        <v>84</v>
      </c>
      <c r="H588">
        <v>4</v>
      </c>
      <c r="I588">
        <v>226.88</v>
      </c>
      <c r="J588">
        <v>0</v>
      </c>
      <c r="K588">
        <v>907.52</v>
      </c>
      <c r="L588">
        <v>259.13</v>
      </c>
      <c r="M588" t="s">
        <v>40</v>
      </c>
    </row>
    <row r="589" spans="1:13" x14ac:dyDescent="0.3">
      <c r="A589" t="s">
        <v>1604</v>
      </c>
      <c r="B589" t="s">
        <v>359</v>
      </c>
      <c r="C589" t="s">
        <v>930</v>
      </c>
      <c r="D589" s="7" t="s">
        <v>1431</v>
      </c>
      <c r="E589" t="s">
        <v>59</v>
      </c>
      <c r="F589" t="s">
        <v>89</v>
      </c>
      <c r="G589" t="s">
        <v>131</v>
      </c>
      <c r="H589">
        <v>8</v>
      </c>
      <c r="I589">
        <v>239.41</v>
      </c>
      <c r="J589">
        <v>0.05</v>
      </c>
      <c r="K589">
        <v>1819.52</v>
      </c>
      <c r="L589">
        <v>471.59</v>
      </c>
      <c r="M589" t="s">
        <v>40</v>
      </c>
    </row>
    <row r="590" spans="1:13" x14ac:dyDescent="0.3">
      <c r="A590" t="s">
        <v>1605</v>
      </c>
      <c r="B590" t="s">
        <v>782</v>
      </c>
      <c r="C590" t="s">
        <v>1203</v>
      </c>
      <c r="D590" s="7" t="s">
        <v>992</v>
      </c>
      <c r="E590" t="s">
        <v>64</v>
      </c>
      <c r="F590" t="s">
        <v>26</v>
      </c>
      <c r="G590" t="s">
        <v>118</v>
      </c>
      <c r="H590">
        <v>7</v>
      </c>
      <c r="I590">
        <v>124.73</v>
      </c>
      <c r="J590">
        <v>0.15</v>
      </c>
      <c r="K590">
        <v>742.14</v>
      </c>
      <c r="L590">
        <v>202.61</v>
      </c>
      <c r="M590" t="s">
        <v>40</v>
      </c>
    </row>
    <row r="591" spans="1:13" x14ac:dyDescent="0.3">
      <c r="A591" t="s">
        <v>1606</v>
      </c>
      <c r="B591" t="s">
        <v>1607</v>
      </c>
      <c r="C591" t="s">
        <v>1247</v>
      </c>
      <c r="D591" s="7" t="s">
        <v>1575</v>
      </c>
      <c r="E591" t="s">
        <v>17</v>
      </c>
      <c r="F591" t="s">
        <v>89</v>
      </c>
      <c r="G591" t="s">
        <v>90</v>
      </c>
      <c r="H591">
        <v>2</v>
      </c>
      <c r="I591">
        <v>238.64</v>
      </c>
      <c r="J591">
        <v>0.05</v>
      </c>
      <c r="K591">
        <v>453.42</v>
      </c>
      <c r="L591">
        <v>118.03</v>
      </c>
      <c r="M591" t="s">
        <v>35</v>
      </c>
    </row>
    <row r="592" spans="1:13" x14ac:dyDescent="0.3">
      <c r="A592" t="s">
        <v>1608</v>
      </c>
      <c r="B592" t="s">
        <v>1609</v>
      </c>
      <c r="C592" t="s">
        <v>160</v>
      </c>
      <c r="D592" s="7" t="s">
        <v>1475</v>
      </c>
      <c r="E592" t="s">
        <v>64</v>
      </c>
      <c r="F592" t="s">
        <v>18</v>
      </c>
      <c r="G592" t="s">
        <v>19</v>
      </c>
      <c r="H592">
        <v>3</v>
      </c>
      <c r="I592">
        <v>67.75</v>
      </c>
      <c r="J592">
        <v>0.05</v>
      </c>
      <c r="K592">
        <v>193.09</v>
      </c>
      <c r="L592">
        <v>38.78</v>
      </c>
      <c r="M592" t="s">
        <v>20</v>
      </c>
    </row>
    <row r="593" spans="1:13" x14ac:dyDescent="0.3">
      <c r="A593" t="s">
        <v>1610</v>
      </c>
      <c r="B593" t="s">
        <v>1581</v>
      </c>
      <c r="C593" t="s">
        <v>1208</v>
      </c>
      <c r="D593" s="7" t="s">
        <v>992</v>
      </c>
      <c r="E593" t="s">
        <v>64</v>
      </c>
      <c r="F593" t="s">
        <v>18</v>
      </c>
      <c r="G593" t="s">
        <v>19</v>
      </c>
      <c r="H593">
        <v>2</v>
      </c>
      <c r="I593">
        <v>240.17</v>
      </c>
      <c r="J593">
        <v>0.1</v>
      </c>
      <c r="K593">
        <v>432.31</v>
      </c>
      <c r="L593">
        <v>70.14</v>
      </c>
      <c r="M593" t="s">
        <v>35</v>
      </c>
    </row>
    <row r="594" spans="1:13" x14ac:dyDescent="0.3">
      <c r="A594" t="s">
        <v>1611</v>
      </c>
      <c r="B594" t="s">
        <v>1307</v>
      </c>
      <c r="C594" t="s">
        <v>1411</v>
      </c>
      <c r="D594" s="7" t="s">
        <v>1612</v>
      </c>
      <c r="E594" t="s">
        <v>64</v>
      </c>
      <c r="F594" t="s">
        <v>26</v>
      </c>
      <c r="G594" t="s">
        <v>27</v>
      </c>
      <c r="H594">
        <v>1</v>
      </c>
      <c r="I594">
        <v>39.06</v>
      </c>
      <c r="J594">
        <v>0.05</v>
      </c>
      <c r="K594">
        <v>37.11</v>
      </c>
      <c r="L594">
        <v>5.39</v>
      </c>
      <c r="M594" t="s">
        <v>35</v>
      </c>
    </row>
    <row r="595" spans="1:13" x14ac:dyDescent="0.3">
      <c r="A595" t="s">
        <v>1613</v>
      </c>
      <c r="B595" t="s">
        <v>1578</v>
      </c>
      <c r="C595" t="s">
        <v>863</v>
      </c>
      <c r="D595" s="7" t="s">
        <v>1614</v>
      </c>
      <c r="E595" t="s">
        <v>64</v>
      </c>
      <c r="F595" t="s">
        <v>33</v>
      </c>
      <c r="G595" t="s">
        <v>69</v>
      </c>
      <c r="H595">
        <v>3</v>
      </c>
      <c r="I595">
        <v>34.6</v>
      </c>
      <c r="J595">
        <v>0.15</v>
      </c>
      <c r="K595">
        <v>88.23</v>
      </c>
      <c r="L595">
        <v>11.34</v>
      </c>
      <c r="M595" t="s">
        <v>20</v>
      </c>
    </row>
    <row r="596" spans="1:13" x14ac:dyDescent="0.3">
      <c r="A596" t="s">
        <v>1615</v>
      </c>
      <c r="B596" t="s">
        <v>1013</v>
      </c>
      <c r="C596" t="s">
        <v>1616</v>
      </c>
      <c r="D596" s="7" t="s">
        <v>848</v>
      </c>
      <c r="E596" t="s">
        <v>25</v>
      </c>
      <c r="F596" t="s">
        <v>26</v>
      </c>
      <c r="G596" t="s">
        <v>84</v>
      </c>
      <c r="H596">
        <v>4</v>
      </c>
      <c r="I596">
        <v>180.65</v>
      </c>
      <c r="J596">
        <v>0.15</v>
      </c>
      <c r="K596">
        <v>614.21</v>
      </c>
      <c r="L596">
        <v>128.49</v>
      </c>
      <c r="M596" t="s">
        <v>35</v>
      </c>
    </row>
    <row r="597" spans="1:13" x14ac:dyDescent="0.3">
      <c r="A597" t="s">
        <v>1617</v>
      </c>
      <c r="B597" t="s">
        <v>1144</v>
      </c>
      <c r="C597" t="s">
        <v>1618</v>
      </c>
      <c r="D597" s="7" t="s">
        <v>1182</v>
      </c>
      <c r="E597" t="s">
        <v>17</v>
      </c>
      <c r="F597" t="s">
        <v>33</v>
      </c>
      <c r="G597" t="s">
        <v>74</v>
      </c>
      <c r="H597">
        <v>4</v>
      </c>
      <c r="I597">
        <v>130.6</v>
      </c>
      <c r="J597">
        <v>0.15</v>
      </c>
      <c r="K597">
        <v>444.04</v>
      </c>
      <c r="L597">
        <v>36.979999999999997</v>
      </c>
      <c r="M597" t="s">
        <v>35</v>
      </c>
    </row>
    <row r="598" spans="1:13" x14ac:dyDescent="0.3">
      <c r="A598" t="s">
        <v>1619</v>
      </c>
      <c r="B598" t="s">
        <v>1620</v>
      </c>
      <c r="C598" t="s">
        <v>633</v>
      </c>
      <c r="D598" s="7" t="s">
        <v>951</v>
      </c>
      <c r="E598" t="s">
        <v>25</v>
      </c>
      <c r="F598" t="s">
        <v>33</v>
      </c>
      <c r="G598" t="s">
        <v>69</v>
      </c>
      <c r="H598">
        <v>4</v>
      </c>
      <c r="I598">
        <v>24.79</v>
      </c>
      <c r="J598">
        <v>0.1</v>
      </c>
      <c r="K598">
        <v>89.24</v>
      </c>
      <c r="L598">
        <v>20.47</v>
      </c>
      <c r="M598" t="s">
        <v>40</v>
      </c>
    </row>
    <row r="599" spans="1:13" x14ac:dyDescent="0.3">
      <c r="A599" t="s">
        <v>1621</v>
      </c>
      <c r="B599" t="s">
        <v>423</v>
      </c>
      <c r="C599" t="s">
        <v>160</v>
      </c>
      <c r="D599" s="7" t="s">
        <v>1622</v>
      </c>
      <c r="E599" t="s">
        <v>32</v>
      </c>
      <c r="F599" t="s">
        <v>26</v>
      </c>
      <c r="G599" t="s">
        <v>118</v>
      </c>
      <c r="H599">
        <v>6</v>
      </c>
      <c r="I599">
        <v>189.61</v>
      </c>
      <c r="J599">
        <v>0.05</v>
      </c>
      <c r="K599">
        <v>1080.78</v>
      </c>
      <c r="L599">
        <v>128.16</v>
      </c>
      <c r="M599" t="s">
        <v>35</v>
      </c>
    </row>
    <row r="600" spans="1:13" x14ac:dyDescent="0.3">
      <c r="A600" t="s">
        <v>1623</v>
      </c>
      <c r="B600" t="s">
        <v>1624</v>
      </c>
      <c r="C600" t="s">
        <v>1283</v>
      </c>
      <c r="D600" s="7" t="s">
        <v>906</v>
      </c>
      <c r="E600" t="s">
        <v>59</v>
      </c>
      <c r="F600" t="s">
        <v>89</v>
      </c>
      <c r="G600" t="s">
        <v>131</v>
      </c>
      <c r="H600">
        <v>6</v>
      </c>
      <c r="I600">
        <v>157.13</v>
      </c>
      <c r="J600">
        <v>0.15</v>
      </c>
      <c r="K600">
        <v>801.36</v>
      </c>
      <c r="L600">
        <v>134.76</v>
      </c>
      <c r="M600" t="s">
        <v>35</v>
      </c>
    </row>
    <row r="601" spans="1:13" x14ac:dyDescent="0.3">
      <c r="A601" t="s">
        <v>1625</v>
      </c>
      <c r="B601" t="s">
        <v>1626</v>
      </c>
      <c r="C601" t="s">
        <v>597</v>
      </c>
      <c r="D601" s="7" t="s">
        <v>1627</v>
      </c>
      <c r="E601" t="s">
        <v>32</v>
      </c>
      <c r="F601" t="s">
        <v>89</v>
      </c>
      <c r="G601" t="s">
        <v>90</v>
      </c>
      <c r="H601">
        <v>8</v>
      </c>
      <c r="I601">
        <v>149.62</v>
      </c>
      <c r="J601">
        <v>0.05</v>
      </c>
      <c r="K601">
        <v>1137.1099999999999</v>
      </c>
      <c r="L601">
        <v>185.05</v>
      </c>
      <c r="M601" t="s">
        <v>40</v>
      </c>
    </row>
    <row r="602" spans="1:13" x14ac:dyDescent="0.3">
      <c r="A602" t="s">
        <v>1628</v>
      </c>
      <c r="B602" t="s">
        <v>1629</v>
      </c>
      <c r="C602" t="s">
        <v>477</v>
      </c>
      <c r="D602" s="7" t="s">
        <v>1600</v>
      </c>
      <c r="E602" t="s">
        <v>25</v>
      </c>
      <c r="F602" t="s">
        <v>18</v>
      </c>
      <c r="G602" t="s">
        <v>79</v>
      </c>
      <c r="H602">
        <v>2</v>
      </c>
      <c r="I602">
        <v>59.97</v>
      </c>
      <c r="J602">
        <v>0.1</v>
      </c>
      <c r="K602">
        <v>107.95</v>
      </c>
      <c r="L602">
        <v>20.61</v>
      </c>
      <c r="M602" t="s">
        <v>20</v>
      </c>
    </row>
    <row r="603" spans="1:13" x14ac:dyDescent="0.3">
      <c r="A603" t="s">
        <v>1630</v>
      </c>
      <c r="B603" t="s">
        <v>188</v>
      </c>
      <c r="C603" t="s">
        <v>1193</v>
      </c>
      <c r="D603" s="7" t="s">
        <v>193</v>
      </c>
      <c r="E603" t="s">
        <v>64</v>
      </c>
      <c r="F603" t="s">
        <v>33</v>
      </c>
      <c r="G603" t="s">
        <v>50</v>
      </c>
      <c r="H603">
        <v>5</v>
      </c>
      <c r="I603">
        <v>35.25</v>
      </c>
      <c r="J603">
        <v>0.15</v>
      </c>
      <c r="K603">
        <v>149.81</v>
      </c>
      <c r="L603">
        <v>24.36</v>
      </c>
      <c r="M603" t="s">
        <v>20</v>
      </c>
    </row>
    <row r="604" spans="1:13" x14ac:dyDescent="0.3">
      <c r="A604" t="s">
        <v>1631</v>
      </c>
      <c r="B604" t="s">
        <v>115</v>
      </c>
      <c r="C604" t="s">
        <v>1567</v>
      </c>
      <c r="D604" s="7" t="s">
        <v>1632</v>
      </c>
      <c r="E604" t="s">
        <v>32</v>
      </c>
      <c r="F604" t="s">
        <v>26</v>
      </c>
      <c r="G604" t="s">
        <v>27</v>
      </c>
      <c r="H604">
        <v>2</v>
      </c>
      <c r="I604">
        <v>143.91</v>
      </c>
      <c r="J604">
        <v>0.1</v>
      </c>
      <c r="K604">
        <v>259.04000000000002</v>
      </c>
      <c r="L604">
        <v>45.19</v>
      </c>
      <c r="M604" t="s">
        <v>20</v>
      </c>
    </row>
    <row r="605" spans="1:13" x14ac:dyDescent="0.3">
      <c r="A605" t="s">
        <v>1633</v>
      </c>
      <c r="B605" t="s">
        <v>1634</v>
      </c>
      <c r="C605" t="s">
        <v>1635</v>
      </c>
      <c r="D605" s="7" t="s">
        <v>594</v>
      </c>
      <c r="E605" t="s">
        <v>32</v>
      </c>
      <c r="F605" t="s">
        <v>89</v>
      </c>
      <c r="G605" t="s">
        <v>90</v>
      </c>
      <c r="H605">
        <v>2</v>
      </c>
      <c r="I605">
        <v>238.32</v>
      </c>
      <c r="J605">
        <v>0.1</v>
      </c>
      <c r="K605">
        <v>428.98</v>
      </c>
      <c r="L605">
        <v>80.650000000000006</v>
      </c>
      <c r="M605" t="s">
        <v>20</v>
      </c>
    </row>
    <row r="606" spans="1:13" x14ac:dyDescent="0.3">
      <c r="A606" t="s">
        <v>1636</v>
      </c>
      <c r="B606" t="s">
        <v>1005</v>
      </c>
      <c r="C606" t="s">
        <v>687</v>
      </c>
      <c r="D606" s="7" t="s">
        <v>1182</v>
      </c>
      <c r="E606" t="s">
        <v>25</v>
      </c>
      <c r="F606" t="s">
        <v>89</v>
      </c>
      <c r="G606" t="s">
        <v>131</v>
      </c>
      <c r="H606">
        <v>3</v>
      </c>
      <c r="I606">
        <v>50.38</v>
      </c>
      <c r="J606">
        <v>0.05</v>
      </c>
      <c r="K606">
        <v>143.58000000000001</v>
      </c>
      <c r="L606">
        <v>34.130000000000003</v>
      </c>
      <c r="M606" t="s">
        <v>40</v>
      </c>
    </row>
    <row r="607" spans="1:13" x14ac:dyDescent="0.3">
      <c r="A607" t="s">
        <v>1637</v>
      </c>
      <c r="B607" t="s">
        <v>1307</v>
      </c>
      <c r="C607" t="s">
        <v>1145</v>
      </c>
      <c r="D607" s="7" t="s">
        <v>995</v>
      </c>
      <c r="E607" t="s">
        <v>17</v>
      </c>
      <c r="F607" t="s">
        <v>26</v>
      </c>
      <c r="G607" t="s">
        <v>27</v>
      </c>
      <c r="H607">
        <v>8</v>
      </c>
      <c r="I607">
        <v>164.07</v>
      </c>
      <c r="J607">
        <v>0.15</v>
      </c>
      <c r="K607">
        <v>1115.68</v>
      </c>
      <c r="L607">
        <v>185.58</v>
      </c>
      <c r="M607" t="s">
        <v>40</v>
      </c>
    </row>
    <row r="608" spans="1:13" x14ac:dyDescent="0.3">
      <c r="A608" t="s">
        <v>1638</v>
      </c>
      <c r="B608" t="s">
        <v>1059</v>
      </c>
      <c r="C608" t="s">
        <v>627</v>
      </c>
      <c r="D608" s="7" t="s">
        <v>466</v>
      </c>
      <c r="E608" t="s">
        <v>17</v>
      </c>
      <c r="F608" t="s">
        <v>26</v>
      </c>
      <c r="G608" t="s">
        <v>27</v>
      </c>
      <c r="H608">
        <v>6</v>
      </c>
      <c r="I608">
        <v>64.16</v>
      </c>
      <c r="J608">
        <v>0</v>
      </c>
      <c r="K608">
        <v>384.96</v>
      </c>
      <c r="L608">
        <v>79.349999999999994</v>
      </c>
      <c r="M608" t="s">
        <v>35</v>
      </c>
    </row>
    <row r="609" spans="1:13" x14ac:dyDescent="0.3">
      <c r="A609" t="s">
        <v>1639</v>
      </c>
      <c r="B609" t="s">
        <v>1105</v>
      </c>
      <c r="C609" t="s">
        <v>901</v>
      </c>
      <c r="D609" s="7" t="s">
        <v>1640</v>
      </c>
      <c r="E609" t="s">
        <v>59</v>
      </c>
      <c r="F609" t="s">
        <v>33</v>
      </c>
      <c r="G609" t="s">
        <v>50</v>
      </c>
      <c r="H609">
        <v>4</v>
      </c>
      <c r="I609">
        <v>153.58000000000001</v>
      </c>
      <c r="J609">
        <v>0</v>
      </c>
      <c r="K609">
        <v>614.32000000000005</v>
      </c>
      <c r="L609">
        <v>139.53</v>
      </c>
      <c r="M609" t="s">
        <v>40</v>
      </c>
    </row>
    <row r="610" spans="1:13" x14ac:dyDescent="0.3">
      <c r="A610" t="s">
        <v>1641</v>
      </c>
      <c r="B610" t="s">
        <v>918</v>
      </c>
      <c r="C610" t="s">
        <v>1642</v>
      </c>
      <c r="D610" s="7" t="s">
        <v>655</v>
      </c>
      <c r="E610" t="s">
        <v>17</v>
      </c>
      <c r="F610" t="s">
        <v>89</v>
      </c>
      <c r="G610" t="s">
        <v>90</v>
      </c>
      <c r="H610">
        <v>8</v>
      </c>
      <c r="I610">
        <v>59.78</v>
      </c>
      <c r="J610">
        <v>0</v>
      </c>
      <c r="K610">
        <v>478.24</v>
      </c>
      <c r="L610">
        <v>99.85</v>
      </c>
      <c r="M610" t="s">
        <v>35</v>
      </c>
    </row>
    <row r="611" spans="1:13" x14ac:dyDescent="0.3">
      <c r="A611" t="s">
        <v>1643</v>
      </c>
      <c r="B611" t="s">
        <v>1644</v>
      </c>
      <c r="C611" t="s">
        <v>633</v>
      </c>
      <c r="D611" s="7" t="s">
        <v>1347</v>
      </c>
      <c r="E611" t="s">
        <v>25</v>
      </c>
      <c r="F611" t="s">
        <v>18</v>
      </c>
      <c r="G611" t="s">
        <v>79</v>
      </c>
      <c r="H611">
        <v>2</v>
      </c>
      <c r="I611">
        <v>41.14</v>
      </c>
      <c r="J611">
        <v>0.15</v>
      </c>
      <c r="K611">
        <v>69.94</v>
      </c>
      <c r="L611">
        <v>13.17</v>
      </c>
      <c r="M611" t="s">
        <v>20</v>
      </c>
    </row>
    <row r="612" spans="1:13" x14ac:dyDescent="0.3">
      <c r="A612" t="s">
        <v>1645</v>
      </c>
      <c r="B612" t="s">
        <v>653</v>
      </c>
      <c r="C612" t="s">
        <v>1646</v>
      </c>
      <c r="D612" s="7" t="s">
        <v>1647</v>
      </c>
      <c r="E612" t="s">
        <v>64</v>
      </c>
      <c r="F612" t="s">
        <v>18</v>
      </c>
      <c r="G612" t="s">
        <v>19</v>
      </c>
      <c r="H612">
        <v>6</v>
      </c>
      <c r="I612">
        <v>99.29</v>
      </c>
      <c r="J612">
        <v>0</v>
      </c>
      <c r="K612">
        <v>595.74</v>
      </c>
      <c r="L612">
        <v>57.83</v>
      </c>
      <c r="M612" t="s">
        <v>20</v>
      </c>
    </row>
    <row r="613" spans="1:13" x14ac:dyDescent="0.3">
      <c r="A613" t="s">
        <v>1648</v>
      </c>
      <c r="B613" t="s">
        <v>235</v>
      </c>
      <c r="C613" t="s">
        <v>1329</v>
      </c>
      <c r="D613" s="7" t="s">
        <v>1647</v>
      </c>
      <c r="E613" t="s">
        <v>59</v>
      </c>
      <c r="F613" t="s">
        <v>89</v>
      </c>
      <c r="G613" t="s">
        <v>90</v>
      </c>
      <c r="H613">
        <v>7</v>
      </c>
      <c r="I613">
        <v>185.14</v>
      </c>
      <c r="J613">
        <v>0</v>
      </c>
      <c r="K613">
        <v>1295.98</v>
      </c>
      <c r="L613">
        <v>240.31</v>
      </c>
      <c r="M613" t="s">
        <v>20</v>
      </c>
    </row>
    <row r="614" spans="1:13" x14ac:dyDescent="0.3">
      <c r="A614" t="s">
        <v>1649</v>
      </c>
      <c r="B614" t="s">
        <v>1650</v>
      </c>
      <c r="C614" t="s">
        <v>617</v>
      </c>
      <c r="D614" s="7" t="s">
        <v>68</v>
      </c>
      <c r="E614" t="s">
        <v>25</v>
      </c>
      <c r="F614" t="s">
        <v>18</v>
      </c>
      <c r="G614" t="s">
        <v>45</v>
      </c>
      <c r="H614">
        <v>1</v>
      </c>
      <c r="I614">
        <v>82.39</v>
      </c>
      <c r="J614">
        <v>0.1</v>
      </c>
      <c r="K614">
        <v>74.150000000000006</v>
      </c>
      <c r="L614">
        <v>11.64</v>
      </c>
      <c r="M614" t="s">
        <v>20</v>
      </c>
    </row>
    <row r="615" spans="1:13" x14ac:dyDescent="0.3">
      <c r="A615" t="s">
        <v>1651</v>
      </c>
      <c r="B615" t="s">
        <v>1377</v>
      </c>
      <c r="C615" t="s">
        <v>1008</v>
      </c>
      <c r="D615" s="7" t="s">
        <v>325</v>
      </c>
      <c r="E615" t="s">
        <v>25</v>
      </c>
      <c r="F615" t="s">
        <v>26</v>
      </c>
      <c r="G615" t="s">
        <v>27</v>
      </c>
      <c r="H615">
        <v>3</v>
      </c>
      <c r="I615">
        <v>121.87</v>
      </c>
      <c r="J615">
        <v>0.15</v>
      </c>
      <c r="K615">
        <v>310.77</v>
      </c>
      <c r="L615">
        <v>35.58</v>
      </c>
      <c r="M615" t="s">
        <v>40</v>
      </c>
    </row>
    <row r="616" spans="1:13" x14ac:dyDescent="0.3">
      <c r="A616" t="s">
        <v>1652</v>
      </c>
      <c r="B616" t="s">
        <v>583</v>
      </c>
      <c r="C616" t="s">
        <v>1653</v>
      </c>
      <c r="D616" s="7" t="s">
        <v>178</v>
      </c>
      <c r="E616" t="s">
        <v>32</v>
      </c>
      <c r="F616" t="s">
        <v>18</v>
      </c>
      <c r="G616" t="s">
        <v>79</v>
      </c>
      <c r="H616">
        <v>7</v>
      </c>
      <c r="I616">
        <v>79.56</v>
      </c>
      <c r="J616">
        <v>0.05</v>
      </c>
      <c r="K616">
        <v>529.07000000000005</v>
      </c>
      <c r="L616">
        <v>104.93</v>
      </c>
      <c r="M616" t="s">
        <v>40</v>
      </c>
    </row>
    <row r="617" spans="1:13" x14ac:dyDescent="0.3">
      <c r="A617" t="s">
        <v>1654</v>
      </c>
      <c r="B617" t="s">
        <v>712</v>
      </c>
      <c r="C617" t="s">
        <v>1090</v>
      </c>
      <c r="D617" s="7" t="s">
        <v>1655</v>
      </c>
      <c r="E617" t="s">
        <v>32</v>
      </c>
      <c r="F617" t="s">
        <v>26</v>
      </c>
      <c r="G617" t="s">
        <v>84</v>
      </c>
      <c r="H617">
        <v>1</v>
      </c>
      <c r="I617">
        <v>235.67</v>
      </c>
      <c r="J617">
        <v>0.05</v>
      </c>
      <c r="K617">
        <v>223.89</v>
      </c>
      <c r="L617">
        <v>38.78</v>
      </c>
      <c r="M617" t="s">
        <v>20</v>
      </c>
    </row>
    <row r="618" spans="1:13" x14ac:dyDescent="0.3">
      <c r="A618" t="s">
        <v>1656</v>
      </c>
      <c r="B618" t="s">
        <v>1657</v>
      </c>
      <c r="C618" t="s">
        <v>221</v>
      </c>
      <c r="D618" s="7" t="s">
        <v>1655</v>
      </c>
      <c r="E618" t="s">
        <v>25</v>
      </c>
      <c r="F618" t="s">
        <v>18</v>
      </c>
      <c r="G618" t="s">
        <v>79</v>
      </c>
      <c r="H618">
        <v>4</v>
      </c>
      <c r="I618">
        <v>75.28</v>
      </c>
      <c r="J618">
        <v>0.15</v>
      </c>
      <c r="K618">
        <v>255.95</v>
      </c>
      <c r="L618">
        <v>51.33</v>
      </c>
      <c r="M618" t="s">
        <v>40</v>
      </c>
    </row>
    <row r="619" spans="1:13" x14ac:dyDescent="0.3">
      <c r="A619" t="s">
        <v>1658</v>
      </c>
      <c r="B619" t="s">
        <v>523</v>
      </c>
      <c r="C619" t="s">
        <v>156</v>
      </c>
      <c r="D619" s="7" t="s">
        <v>31</v>
      </c>
      <c r="E619" t="s">
        <v>25</v>
      </c>
      <c r="F619" t="s">
        <v>26</v>
      </c>
      <c r="G619" t="s">
        <v>27</v>
      </c>
      <c r="H619">
        <v>4</v>
      </c>
      <c r="I619">
        <v>164.59</v>
      </c>
      <c r="J619">
        <v>0.1</v>
      </c>
      <c r="K619">
        <v>592.52</v>
      </c>
      <c r="L619">
        <v>166.01</v>
      </c>
      <c r="M619" t="s">
        <v>20</v>
      </c>
    </row>
    <row r="620" spans="1:13" x14ac:dyDescent="0.3">
      <c r="A620" t="s">
        <v>1659</v>
      </c>
      <c r="B620" t="s">
        <v>1252</v>
      </c>
      <c r="C620" t="s">
        <v>1087</v>
      </c>
      <c r="D620" s="7" t="s">
        <v>1245</v>
      </c>
      <c r="E620" t="s">
        <v>32</v>
      </c>
      <c r="F620" t="s">
        <v>18</v>
      </c>
      <c r="G620" t="s">
        <v>19</v>
      </c>
      <c r="H620">
        <v>8</v>
      </c>
      <c r="I620">
        <v>244.3</v>
      </c>
      <c r="J620">
        <v>0.05</v>
      </c>
      <c r="K620">
        <v>1856.68</v>
      </c>
      <c r="L620">
        <v>391.37</v>
      </c>
      <c r="M620" t="s">
        <v>20</v>
      </c>
    </row>
    <row r="621" spans="1:13" x14ac:dyDescent="0.3">
      <c r="A621" t="s">
        <v>1660</v>
      </c>
      <c r="B621" t="s">
        <v>111</v>
      </c>
      <c r="C621" t="s">
        <v>827</v>
      </c>
      <c r="D621" s="7" t="s">
        <v>1661</v>
      </c>
      <c r="E621" t="s">
        <v>32</v>
      </c>
      <c r="F621" t="s">
        <v>26</v>
      </c>
      <c r="G621" t="s">
        <v>84</v>
      </c>
      <c r="H621">
        <v>1</v>
      </c>
      <c r="I621">
        <v>174.04</v>
      </c>
      <c r="J621">
        <v>0.15</v>
      </c>
      <c r="K621">
        <v>147.93</v>
      </c>
      <c r="L621">
        <v>19.59</v>
      </c>
      <c r="M621" t="s">
        <v>40</v>
      </c>
    </row>
    <row r="622" spans="1:13" x14ac:dyDescent="0.3">
      <c r="A622" t="s">
        <v>1662</v>
      </c>
      <c r="B622" t="s">
        <v>1018</v>
      </c>
      <c r="C622" t="s">
        <v>1119</v>
      </c>
      <c r="D622" s="7" t="s">
        <v>1553</v>
      </c>
      <c r="E622" t="s">
        <v>59</v>
      </c>
      <c r="F622" t="s">
        <v>33</v>
      </c>
      <c r="G622" t="s">
        <v>34</v>
      </c>
      <c r="H622">
        <v>1</v>
      </c>
      <c r="I622">
        <v>246.09</v>
      </c>
      <c r="J622">
        <v>0.1</v>
      </c>
      <c r="K622">
        <v>221.48</v>
      </c>
      <c r="L622">
        <v>42.12</v>
      </c>
      <c r="M622" t="s">
        <v>35</v>
      </c>
    </row>
    <row r="623" spans="1:13" x14ac:dyDescent="0.3">
      <c r="A623" t="s">
        <v>1663</v>
      </c>
      <c r="B623" t="s">
        <v>1029</v>
      </c>
      <c r="C623" t="s">
        <v>794</v>
      </c>
      <c r="D623" s="7" t="s">
        <v>1664</v>
      </c>
      <c r="E623" t="s">
        <v>64</v>
      </c>
      <c r="F623" t="s">
        <v>18</v>
      </c>
      <c r="G623" t="s">
        <v>45</v>
      </c>
      <c r="H623">
        <v>3</v>
      </c>
      <c r="I623">
        <v>142.04</v>
      </c>
      <c r="J623">
        <v>0</v>
      </c>
      <c r="K623">
        <v>426.12</v>
      </c>
      <c r="L623">
        <v>73.5</v>
      </c>
      <c r="M623" t="s">
        <v>20</v>
      </c>
    </row>
    <row r="624" spans="1:13" x14ac:dyDescent="0.3">
      <c r="A624" t="s">
        <v>1665</v>
      </c>
      <c r="B624" t="s">
        <v>1536</v>
      </c>
      <c r="C624" t="s">
        <v>112</v>
      </c>
      <c r="D624" s="7" t="s">
        <v>1666</v>
      </c>
      <c r="E624" t="s">
        <v>25</v>
      </c>
      <c r="F624" t="s">
        <v>26</v>
      </c>
      <c r="G624" t="s">
        <v>118</v>
      </c>
      <c r="H624">
        <v>2</v>
      </c>
      <c r="I624">
        <v>190.72</v>
      </c>
      <c r="J624">
        <v>0.05</v>
      </c>
      <c r="K624">
        <v>362.37</v>
      </c>
      <c r="L624">
        <v>59.04</v>
      </c>
      <c r="M624" t="s">
        <v>20</v>
      </c>
    </row>
    <row r="625" spans="1:13" x14ac:dyDescent="0.3">
      <c r="A625" t="s">
        <v>1667</v>
      </c>
      <c r="B625" t="s">
        <v>1668</v>
      </c>
      <c r="C625" t="s">
        <v>1239</v>
      </c>
      <c r="D625" s="7" t="s">
        <v>1669</v>
      </c>
      <c r="E625" t="s">
        <v>59</v>
      </c>
      <c r="F625" t="s">
        <v>18</v>
      </c>
      <c r="G625" t="s">
        <v>79</v>
      </c>
      <c r="H625">
        <v>6</v>
      </c>
      <c r="I625">
        <v>30.37</v>
      </c>
      <c r="J625">
        <v>0.15</v>
      </c>
      <c r="K625">
        <v>154.88999999999999</v>
      </c>
      <c r="L625">
        <v>41.02</v>
      </c>
      <c r="M625" t="s">
        <v>20</v>
      </c>
    </row>
    <row r="626" spans="1:13" x14ac:dyDescent="0.3">
      <c r="A626" t="s">
        <v>1670</v>
      </c>
      <c r="B626" t="s">
        <v>229</v>
      </c>
      <c r="C626" t="s">
        <v>1090</v>
      </c>
      <c r="D626" s="7" t="s">
        <v>1295</v>
      </c>
      <c r="E626" t="s">
        <v>59</v>
      </c>
      <c r="F626" t="s">
        <v>18</v>
      </c>
      <c r="G626" t="s">
        <v>19</v>
      </c>
      <c r="H626">
        <v>8</v>
      </c>
      <c r="I626">
        <v>119.44</v>
      </c>
      <c r="J626">
        <v>0.15</v>
      </c>
      <c r="K626">
        <v>812.19</v>
      </c>
      <c r="L626">
        <v>66.02</v>
      </c>
      <c r="M626" t="s">
        <v>35</v>
      </c>
    </row>
    <row r="627" spans="1:13" x14ac:dyDescent="0.3">
      <c r="A627" t="s">
        <v>1671</v>
      </c>
      <c r="B627" t="s">
        <v>320</v>
      </c>
      <c r="C627" t="s">
        <v>737</v>
      </c>
      <c r="D627" s="7" t="s">
        <v>193</v>
      </c>
      <c r="E627" t="s">
        <v>32</v>
      </c>
      <c r="F627" t="s">
        <v>89</v>
      </c>
      <c r="G627" t="s">
        <v>131</v>
      </c>
      <c r="H627">
        <v>6</v>
      </c>
      <c r="I627">
        <v>85.06</v>
      </c>
      <c r="J627">
        <v>0</v>
      </c>
      <c r="K627">
        <v>510.36</v>
      </c>
      <c r="L627">
        <v>137.58000000000001</v>
      </c>
      <c r="M627" t="s">
        <v>20</v>
      </c>
    </row>
    <row r="628" spans="1:13" x14ac:dyDescent="0.3">
      <c r="A628" t="s">
        <v>1672</v>
      </c>
      <c r="B628" t="s">
        <v>217</v>
      </c>
      <c r="C628" t="s">
        <v>794</v>
      </c>
      <c r="D628" s="7" t="s">
        <v>227</v>
      </c>
      <c r="E628" t="s">
        <v>17</v>
      </c>
      <c r="F628" t="s">
        <v>26</v>
      </c>
      <c r="G628" t="s">
        <v>118</v>
      </c>
      <c r="H628">
        <v>4</v>
      </c>
      <c r="I628">
        <v>101.47</v>
      </c>
      <c r="J628">
        <v>0.05</v>
      </c>
      <c r="K628">
        <v>385.59</v>
      </c>
      <c r="L628">
        <v>114.11</v>
      </c>
      <c r="M628" t="s">
        <v>40</v>
      </c>
    </row>
    <row r="629" spans="1:13" x14ac:dyDescent="0.3">
      <c r="A629" t="s">
        <v>1673</v>
      </c>
      <c r="B629" t="s">
        <v>47</v>
      </c>
      <c r="C629" t="s">
        <v>156</v>
      </c>
      <c r="D629" s="7" t="s">
        <v>718</v>
      </c>
      <c r="E629" t="s">
        <v>17</v>
      </c>
      <c r="F629" t="s">
        <v>89</v>
      </c>
      <c r="G629" t="s">
        <v>131</v>
      </c>
      <c r="H629">
        <v>1</v>
      </c>
      <c r="I629">
        <v>145.28</v>
      </c>
      <c r="J629">
        <v>0.1</v>
      </c>
      <c r="K629">
        <v>130.75</v>
      </c>
      <c r="L629">
        <v>23.26</v>
      </c>
      <c r="M629" t="s">
        <v>40</v>
      </c>
    </row>
    <row r="630" spans="1:13" x14ac:dyDescent="0.3">
      <c r="A630" t="s">
        <v>1674</v>
      </c>
      <c r="B630" t="s">
        <v>1634</v>
      </c>
      <c r="C630" t="s">
        <v>578</v>
      </c>
      <c r="D630" s="7" t="s">
        <v>1675</v>
      </c>
      <c r="E630" t="s">
        <v>64</v>
      </c>
      <c r="F630" t="s">
        <v>89</v>
      </c>
      <c r="G630" t="s">
        <v>150</v>
      </c>
      <c r="H630">
        <v>4</v>
      </c>
      <c r="I630">
        <v>81.790000000000006</v>
      </c>
      <c r="J630">
        <v>0</v>
      </c>
      <c r="K630">
        <v>327.16000000000003</v>
      </c>
      <c r="L630">
        <v>92.68</v>
      </c>
      <c r="M630" t="s">
        <v>35</v>
      </c>
    </row>
    <row r="631" spans="1:13" x14ac:dyDescent="0.3">
      <c r="A631" t="s">
        <v>1676</v>
      </c>
      <c r="B631" t="s">
        <v>1216</v>
      </c>
      <c r="C631" t="s">
        <v>1302</v>
      </c>
      <c r="D631" s="7" t="s">
        <v>1550</v>
      </c>
      <c r="E631" t="s">
        <v>32</v>
      </c>
      <c r="F631" t="s">
        <v>89</v>
      </c>
      <c r="G631" t="s">
        <v>90</v>
      </c>
      <c r="H631">
        <v>2</v>
      </c>
      <c r="I631">
        <v>151.16999999999999</v>
      </c>
      <c r="J631">
        <v>0.15</v>
      </c>
      <c r="K631">
        <v>256.99</v>
      </c>
      <c r="L631">
        <v>62.09</v>
      </c>
      <c r="M631" t="s">
        <v>20</v>
      </c>
    </row>
    <row r="632" spans="1:13" x14ac:dyDescent="0.3">
      <c r="A632" t="s">
        <v>1677</v>
      </c>
      <c r="B632" t="s">
        <v>195</v>
      </c>
      <c r="C632" t="s">
        <v>865</v>
      </c>
      <c r="D632" s="7" t="s">
        <v>161</v>
      </c>
      <c r="E632" t="s">
        <v>25</v>
      </c>
      <c r="F632" t="s">
        <v>18</v>
      </c>
      <c r="G632" t="s">
        <v>45</v>
      </c>
      <c r="H632">
        <v>1</v>
      </c>
      <c r="I632">
        <v>150.49</v>
      </c>
      <c r="J632">
        <v>0.1</v>
      </c>
      <c r="K632">
        <v>135.44</v>
      </c>
      <c r="L632">
        <v>13.27</v>
      </c>
      <c r="M632" t="s">
        <v>35</v>
      </c>
    </row>
    <row r="633" spans="1:13" x14ac:dyDescent="0.3">
      <c r="A633" t="s">
        <v>1678</v>
      </c>
      <c r="B633" t="s">
        <v>775</v>
      </c>
      <c r="C633" t="s">
        <v>1679</v>
      </c>
      <c r="D633" s="7" t="s">
        <v>1680</v>
      </c>
      <c r="E633" t="s">
        <v>59</v>
      </c>
      <c r="F633" t="s">
        <v>89</v>
      </c>
      <c r="G633" t="s">
        <v>90</v>
      </c>
      <c r="H633">
        <v>1</v>
      </c>
      <c r="I633">
        <v>238.77</v>
      </c>
      <c r="J633">
        <v>0.15</v>
      </c>
      <c r="K633">
        <v>202.95</v>
      </c>
      <c r="L633">
        <v>35.020000000000003</v>
      </c>
      <c r="M633" t="s">
        <v>40</v>
      </c>
    </row>
    <row r="634" spans="1:13" x14ac:dyDescent="0.3">
      <c r="A634" t="s">
        <v>1681</v>
      </c>
      <c r="B634" t="s">
        <v>464</v>
      </c>
      <c r="C634" t="s">
        <v>1682</v>
      </c>
      <c r="D634" s="7" t="s">
        <v>102</v>
      </c>
      <c r="E634" t="s">
        <v>17</v>
      </c>
      <c r="F634" t="s">
        <v>89</v>
      </c>
      <c r="G634" t="s">
        <v>150</v>
      </c>
      <c r="H634">
        <v>2</v>
      </c>
      <c r="I634">
        <v>201.74</v>
      </c>
      <c r="J634">
        <v>0.1</v>
      </c>
      <c r="K634">
        <v>363.13</v>
      </c>
      <c r="L634">
        <v>77.69</v>
      </c>
      <c r="M634" t="s">
        <v>35</v>
      </c>
    </row>
    <row r="635" spans="1:13" x14ac:dyDescent="0.3">
      <c r="A635" t="s">
        <v>1683</v>
      </c>
      <c r="B635" t="s">
        <v>1684</v>
      </c>
      <c r="C635" t="s">
        <v>1532</v>
      </c>
      <c r="D635" s="7" t="s">
        <v>284</v>
      </c>
      <c r="E635" t="s">
        <v>25</v>
      </c>
      <c r="F635" t="s">
        <v>18</v>
      </c>
      <c r="G635" t="s">
        <v>79</v>
      </c>
      <c r="H635">
        <v>4</v>
      </c>
      <c r="I635">
        <v>234.11</v>
      </c>
      <c r="J635">
        <v>0.05</v>
      </c>
      <c r="K635">
        <v>889.62</v>
      </c>
      <c r="L635">
        <v>185.89</v>
      </c>
      <c r="M635" t="s">
        <v>20</v>
      </c>
    </row>
    <row r="636" spans="1:13" x14ac:dyDescent="0.3">
      <c r="A636" t="s">
        <v>1685</v>
      </c>
      <c r="B636" t="s">
        <v>643</v>
      </c>
      <c r="C636" t="s">
        <v>369</v>
      </c>
      <c r="D636" s="7" t="s">
        <v>487</v>
      </c>
      <c r="E636" t="s">
        <v>17</v>
      </c>
      <c r="F636" t="s">
        <v>18</v>
      </c>
      <c r="G636" t="s">
        <v>79</v>
      </c>
      <c r="H636">
        <v>3</v>
      </c>
      <c r="I636">
        <v>87.4</v>
      </c>
      <c r="J636">
        <v>0.1</v>
      </c>
      <c r="K636">
        <v>235.98</v>
      </c>
      <c r="L636">
        <v>66.73</v>
      </c>
      <c r="M636" t="s">
        <v>40</v>
      </c>
    </row>
    <row r="637" spans="1:13" x14ac:dyDescent="0.3">
      <c r="A637" t="s">
        <v>1686</v>
      </c>
      <c r="B637" t="s">
        <v>432</v>
      </c>
      <c r="C637" t="s">
        <v>1302</v>
      </c>
      <c r="D637" s="7" t="s">
        <v>1687</v>
      </c>
      <c r="E637" t="s">
        <v>59</v>
      </c>
      <c r="F637" t="s">
        <v>26</v>
      </c>
      <c r="G637" t="s">
        <v>118</v>
      </c>
      <c r="H637">
        <v>5</v>
      </c>
      <c r="I637">
        <v>166.18</v>
      </c>
      <c r="J637">
        <v>0</v>
      </c>
      <c r="K637">
        <v>830.9</v>
      </c>
      <c r="L637">
        <v>175.59</v>
      </c>
      <c r="M637" t="s">
        <v>35</v>
      </c>
    </row>
    <row r="638" spans="1:13" x14ac:dyDescent="0.3">
      <c r="A638" t="s">
        <v>1688</v>
      </c>
      <c r="B638" t="s">
        <v>999</v>
      </c>
      <c r="C638" t="s">
        <v>843</v>
      </c>
      <c r="D638" s="7" t="s">
        <v>1689</v>
      </c>
      <c r="E638" t="s">
        <v>25</v>
      </c>
      <c r="F638" t="s">
        <v>89</v>
      </c>
      <c r="G638" t="s">
        <v>131</v>
      </c>
      <c r="H638">
        <v>3</v>
      </c>
      <c r="I638">
        <v>113.74</v>
      </c>
      <c r="J638">
        <v>0.05</v>
      </c>
      <c r="K638">
        <v>324.16000000000003</v>
      </c>
      <c r="L638">
        <v>84.16</v>
      </c>
      <c r="M638" t="s">
        <v>35</v>
      </c>
    </row>
    <row r="639" spans="1:13" x14ac:dyDescent="0.3">
      <c r="A639" t="s">
        <v>1690</v>
      </c>
      <c r="B639" t="s">
        <v>1691</v>
      </c>
      <c r="C639" t="s">
        <v>1692</v>
      </c>
      <c r="D639" s="7" t="s">
        <v>1693</v>
      </c>
      <c r="E639" t="s">
        <v>59</v>
      </c>
      <c r="F639" t="s">
        <v>18</v>
      </c>
      <c r="G639" t="s">
        <v>45</v>
      </c>
      <c r="H639">
        <v>7</v>
      </c>
      <c r="I639">
        <v>154.66</v>
      </c>
      <c r="J639">
        <v>0</v>
      </c>
      <c r="K639">
        <v>1082.6199999999999</v>
      </c>
      <c r="L639">
        <v>149.80000000000001</v>
      </c>
      <c r="M639" t="s">
        <v>20</v>
      </c>
    </row>
    <row r="640" spans="1:13" x14ac:dyDescent="0.3">
      <c r="A640" t="s">
        <v>1694</v>
      </c>
      <c r="B640" t="s">
        <v>388</v>
      </c>
      <c r="C640" t="s">
        <v>1046</v>
      </c>
      <c r="D640" s="7" t="s">
        <v>122</v>
      </c>
      <c r="E640" t="s">
        <v>59</v>
      </c>
      <c r="F640" t="s">
        <v>33</v>
      </c>
      <c r="G640" t="s">
        <v>34</v>
      </c>
      <c r="H640">
        <v>5</v>
      </c>
      <c r="I640">
        <v>184.11</v>
      </c>
      <c r="J640">
        <v>0.15</v>
      </c>
      <c r="K640">
        <v>782.47</v>
      </c>
      <c r="L640">
        <v>157.66</v>
      </c>
      <c r="M640" t="s">
        <v>35</v>
      </c>
    </row>
    <row r="641" spans="1:13" x14ac:dyDescent="0.3">
      <c r="A641" t="s">
        <v>1695</v>
      </c>
      <c r="B641" t="s">
        <v>1696</v>
      </c>
      <c r="C641" t="s">
        <v>429</v>
      </c>
      <c r="D641" s="7" t="s">
        <v>839</v>
      </c>
      <c r="E641" t="s">
        <v>59</v>
      </c>
      <c r="F641" t="s">
        <v>33</v>
      </c>
      <c r="G641" t="s">
        <v>74</v>
      </c>
      <c r="H641">
        <v>3</v>
      </c>
      <c r="I641">
        <v>195.69</v>
      </c>
      <c r="J641">
        <v>0</v>
      </c>
      <c r="K641">
        <v>587.07000000000005</v>
      </c>
      <c r="L641">
        <v>127.5</v>
      </c>
      <c r="M641" t="s">
        <v>40</v>
      </c>
    </row>
    <row r="642" spans="1:13" x14ac:dyDescent="0.3">
      <c r="A642" t="s">
        <v>1697</v>
      </c>
      <c r="B642" t="s">
        <v>924</v>
      </c>
      <c r="C642" t="s">
        <v>1698</v>
      </c>
      <c r="D642" s="7" t="s">
        <v>816</v>
      </c>
      <c r="E642" t="s">
        <v>25</v>
      </c>
      <c r="F642" t="s">
        <v>18</v>
      </c>
      <c r="G642" t="s">
        <v>79</v>
      </c>
      <c r="H642">
        <v>1</v>
      </c>
      <c r="I642">
        <v>43.54</v>
      </c>
      <c r="J642">
        <v>0.05</v>
      </c>
      <c r="K642">
        <v>41.36</v>
      </c>
      <c r="L642">
        <v>4.49</v>
      </c>
      <c r="M642" t="s">
        <v>20</v>
      </c>
    </row>
    <row r="643" spans="1:13" x14ac:dyDescent="0.3">
      <c r="A643" t="s">
        <v>1699</v>
      </c>
      <c r="B643" t="s">
        <v>282</v>
      </c>
      <c r="C643" t="s">
        <v>1700</v>
      </c>
      <c r="D643" s="7" t="s">
        <v>1701</v>
      </c>
      <c r="E643" t="s">
        <v>25</v>
      </c>
      <c r="F643" t="s">
        <v>26</v>
      </c>
      <c r="G643" t="s">
        <v>84</v>
      </c>
      <c r="H643">
        <v>2</v>
      </c>
      <c r="I643">
        <v>85.6</v>
      </c>
      <c r="J643">
        <v>0</v>
      </c>
      <c r="K643">
        <v>171.2</v>
      </c>
      <c r="L643">
        <v>45.53</v>
      </c>
      <c r="M643" t="s">
        <v>40</v>
      </c>
    </row>
    <row r="644" spans="1:13" x14ac:dyDescent="0.3">
      <c r="A644" t="s">
        <v>1702</v>
      </c>
      <c r="B644" t="s">
        <v>1703</v>
      </c>
      <c r="C644" t="s">
        <v>1704</v>
      </c>
      <c r="D644" s="7" t="s">
        <v>1705</v>
      </c>
      <c r="E644" t="s">
        <v>32</v>
      </c>
      <c r="F644" t="s">
        <v>89</v>
      </c>
      <c r="G644" t="s">
        <v>131</v>
      </c>
      <c r="H644">
        <v>5</v>
      </c>
      <c r="I644">
        <v>77.81</v>
      </c>
      <c r="J644">
        <v>0.1</v>
      </c>
      <c r="K644">
        <v>350.15</v>
      </c>
      <c r="L644">
        <v>73.14</v>
      </c>
      <c r="M644" t="s">
        <v>35</v>
      </c>
    </row>
    <row r="645" spans="1:13" x14ac:dyDescent="0.3">
      <c r="A645" t="s">
        <v>1706</v>
      </c>
      <c r="B645" t="s">
        <v>447</v>
      </c>
      <c r="C645" t="s">
        <v>1406</v>
      </c>
      <c r="D645" s="7" t="s">
        <v>1022</v>
      </c>
      <c r="E645" t="s">
        <v>25</v>
      </c>
      <c r="F645" t="s">
        <v>89</v>
      </c>
      <c r="G645" t="s">
        <v>90</v>
      </c>
      <c r="H645">
        <v>4</v>
      </c>
      <c r="I645">
        <v>242.27</v>
      </c>
      <c r="J645">
        <v>0.05</v>
      </c>
      <c r="K645">
        <v>920.63</v>
      </c>
      <c r="L645">
        <v>184.52</v>
      </c>
      <c r="M645" t="s">
        <v>40</v>
      </c>
    </row>
    <row r="646" spans="1:13" x14ac:dyDescent="0.3">
      <c r="A646" t="s">
        <v>1707</v>
      </c>
      <c r="B646" t="s">
        <v>690</v>
      </c>
      <c r="C646" t="s">
        <v>1438</v>
      </c>
      <c r="D646" s="7" t="s">
        <v>1365</v>
      </c>
      <c r="E646" t="s">
        <v>32</v>
      </c>
      <c r="F646" t="s">
        <v>89</v>
      </c>
      <c r="G646" t="s">
        <v>150</v>
      </c>
      <c r="H646">
        <v>7</v>
      </c>
      <c r="I646">
        <v>52.06</v>
      </c>
      <c r="J646">
        <v>0.1</v>
      </c>
      <c r="K646">
        <v>327.98</v>
      </c>
      <c r="L646">
        <v>62.23</v>
      </c>
      <c r="M646" t="s">
        <v>20</v>
      </c>
    </row>
    <row r="647" spans="1:13" x14ac:dyDescent="0.3">
      <c r="A647" t="s">
        <v>1708</v>
      </c>
      <c r="B647" t="s">
        <v>385</v>
      </c>
      <c r="C647" t="s">
        <v>717</v>
      </c>
      <c r="D647" s="7" t="s">
        <v>825</v>
      </c>
      <c r="E647" t="s">
        <v>17</v>
      </c>
      <c r="F647" t="s">
        <v>26</v>
      </c>
      <c r="G647" t="s">
        <v>118</v>
      </c>
      <c r="H647">
        <v>5</v>
      </c>
      <c r="I647">
        <v>242.77</v>
      </c>
      <c r="J647">
        <v>0.1</v>
      </c>
      <c r="K647">
        <v>1092.47</v>
      </c>
      <c r="L647">
        <v>108.5</v>
      </c>
      <c r="M647" t="s">
        <v>35</v>
      </c>
    </row>
    <row r="648" spans="1:13" x14ac:dyDescent="0.3">
      <c r="A648" t="s">
        <v>1709</v>
      </c>
      <c r="B648" t="s">
        <v>1710</v>
      </c>
      <c r="C648" t="s">
        <v>1646</v>
      </c>
      <c r="D648" s="7" t="s">
        <v>1455</v>
      </c>
      <c r="E648" t="s">
        <v>32</v>
      </c>
      <c r="F648" t="s">
        <v>26</v>
      </c>
      <c r="G648" t="s">
        <v>118</v>
      </c>
      <c r="H648">
        <v>7</v>
      </c>
      <c r="I648">
        <v>124.76</v>
      </c>
      <c r="J648">
        <v>0</v>
      </c>
      <c r="K648">
        <v>873.32</v>
      </c>
      <c r="L648">
        <v>257.76</v>
      </c>
      <c r="M648" t="s">
        <v>40</v>
      </c>
    </row>
    <row r="649" spans="1:13" x14ac:dyDescent="0.3">
      <c r="A649" t="s">
        <v>1711</v>
      </c>
      <c r="B649" t="s">
        <v>1691</v>
      </c>
      <c r="C649" t="s">
        <v>397</v>
      </c>
      <c r="D649" s="7" t="s">
        <v>1463</v>
      </c>
      <c r="E649" t="s">
        <v>25</v>
      </c>
      <c r="F649" t="s">
        <v>33</v>
      </c>
      <c r="G649" t="s">
        <v>50</v>
      </c>
      <c r="H649">
        <v>7</v>
      </c>
      <c r="I649">
        <v>193.22</v>
      </c>
      <c r="J649">
        <v>0</v>
      </c>
      <c r="K649">
        <v>1352.54</v>
      </c>
      <c r="L649">
        <v>182.6</v>
      </c>
      <c r="M649" t="s">
        <v>40</v>
      </c>
    </row>
    <row r="650" spans="1:13" x14ac:dyDescent="0.3">
      <c r="A650" t="s">
        <v>1712</v>
      </c>
      <c r="B650" t="s">
        <v>1713</v>
      </c>
      <c r="C650" t="s">
        <v>590</v>
      </c>
      <c r="D650" s="7" t="s">
        <v>1157</v>
      </c>
      <c r="E650" t="s">
        <v>25</v>
      </c>
      <c r="F650" t="s">
        <v>89</v>
      </c>
      <c r="G650" t="s">
        <v>150</v>
      </c>
      <c r="H650">
        <v>6</v>
      </c>
      <c r="I650">
        <v>100.94</v>
      </c>
      <c r="J650">
        <v>0</v>
      </c>
      <c r="K650">
        <v>605.64</v>
      </c>
      <c r="L650">
        <v>134.59</v>
      </c>
      <c r="M650" t="s">
        <v>20</v>
      </c>
    </row>
    <row r="651" spans="1:13" x14ac:dyDescent="0.3">
      <c r="A651" t="s">
        <v>1714</v>
      </c>
      <c r="B651" t="s">
        <v>1715</v>
      </c>
      <c r="C651" t="s">
        <v>1237</v>
      </c>
      <c r="D651" s="7" t="s">
        <v>1084</v>
      </c>
      <c r="E651" t="s">
        <v>32</v>
      </c>
      <c r="F651" t="s">
        <v>18</v>
      </c>
      <c r="G651" t="s">
        <v>79</v>
      </c>
      <c r="H651">
        <v>2</v>
      </c>
      <c r="I651">
        <v>28.87</v>
      </c>
      <c r="J651">
        <v>0</v>
      </c>
      <c r="K651">
        <v>57.74</v>
      </c>
      <c r="L651">
        <v>8.0399999999999991</v>
      </c>
      <c r="M651" t="s">
        <v>35</v>
      </c>
    </row>
    <row r="652" spans="1:13" x14ac:dyDescent="0.3">
      <c r="A652" t="s">
        <v>1716</v>
      </c>
      <c r="B652" t="s">
        <v>957</v>
      </c>
      <c r="C652" t="s">
        <v>105</v>
      </c>
      <c r="D652" s="7" t="s">
        <v>1103</v>
      </c>
      <c r="E652" t="s">
        <v>32</v>
      </c>
      <c r="F652" t="s">
        <v>26</v>
      </c>
      <c r="G652" t="s">
        <v>118</v>
      </c>
      <c r="H652">
        <v>5</v>
      </c>
      <c r="I652">
        <v>98.85</v>
      </c>
      <c r="J652">
        <v>0.15</v>
      </c>
      <c r="K652">
        <v>420.11</v>
      </c>
      <c r="L652">
        <v>40.85</v>
      </c>
      <c r="M652" t="s">
        <v>40</v>
      </c>
    </row>
    <row r="653" spans="1:13" x14ac:dyDescent="0.3">
      <c r="A653" t="s">
        <v>1717</v>
      </c>
      <c r="B653" t="s">
        <v>1018</v>
      </c>
      <c r="C653" t="s">
        <v>737</v>
      </c>
      <c r="D653" s="7" t="s">
        <v>1718</v>
      </c>
      <c r="E653" t="s">
        <v>59</v>
      </c>
      <c r="F653" t="s">
        <v>89</v>
      </c>
      <c r="G653" t="s">
        <v>150</v>
      </c>
      <c r="H653">
        <v>2</v>
      </c>
      <c r="I653">
        <v>58.64</v>
      </c>
      <c r="J653">
        <v>0.15</v>
      </c>
      <c r="K653">
        <v>99.69</v>
      </c>
      <c r="L653">
        <v>12.1</v>
      </c>
      <c r="M653" t="s">
        <v>35</v>
      </c>
    </row>
    <row r="654" spans="1:13" x14ac:dyDescent="0.3">
      <c r="A654" t="s">
        <v>1719</v>
      </c>
      <c r="B654" t="s">
        <v>1720</v>
      </c>
      <c r="C654" t="s">
        <v>559</v>
      </c>
      <c r="D654" s="7" t="s">
        <v>1463</v>
      </c>
      <c r="E654" t="s">
        <v>59</v>
      </c>
      <c r="F654" t="s">
        <v>89</v>
      </c>
      <c r="G654" t="s">
        <v>131</v>
      </c>
      <c r="H654">
        <v>2</v>
      </c>
      <c r="I654">
        <v>151.94</v>
      </c>
      <c r="J654">
        <v>0.1</v>
      </c>
      <c r="K654">
        <v>273.49</v>
      </c>
      <c r="L654">
        <v>50.93</v>
      </c>
      <c r="M654" t="s">
        <v>35</v>
      </c>
    </row>
    <row r="655" spans="1:13" x14ac:dyDescent="0.3">
      <c r="A655" t="s">
        <v>1721</v>
      </c>
      <c r="B655" t="s">
        <v>203</v>
      </c>
      <c r="C655" t="s">
        <v>597</v>
      </c>
      <c r="D655" s="7" t="s">
        <v>1439</v>
      </c>
      <c r="E655" t="s">
        <v>17</v>
      </c>
      <c r="F655" t="s">
        <v>33</v>
      </c>
      <c r="G655" t="s">
        <v>74</v>
      </c>
      <c r="H655">
        <v>6</v>
      </c>
      <c r="I655">
        <v>42.08</v>
      </c>
      <c r="J655">
        <v>0.15</v>
      </c>
      <c r="K655">
        <v>214.61</v>
      </c>
      <c r="L655">
        <v>60.76</v>
      </c>
      <c r="M655" t="s">
        <v>20</v>
      </c>
    </row>
    <row r="656" spans="1:13" x14ac:dyDescent="0.3">
      <c r="A656" t="s">
        <v>1722</v>
      </c>
      <c r="B656" t="s">
        <v>338</v>
      </c>
      <c r="C656" t="s">
        <v>1529</v>
      </c>
      <c r="D656" s="7" t="s">
        <v>1723</v>
      </c>
      <c r="E656" t="s">
        <v>25</v>
      </c>
      <c r="F656" t="s">
        <v>89</v>
      </c>
      <c r="G656" t="s">
        <v>150</v>
      </c>
      <c r="H656">
        <v>5</v>
      </c>
      <c r="I656">
        <v>183.72</v>
      </c>
      <c r="J656">
        <v>0.1</v>
      </c>
      <c r="K656">
        <v>826.74</v>
      </c>
      <c r="L656">
        <v>123.34</v>
      </c>
      <c r="M656" t="s">
        <v>20</v>
      </c>
    </row>
    <row r="657" spans="1:13" x14ac:dyDescent="0.3">
      <c r="A657" t="s">
        <v>1724</v>
      </c>
      <c r="B657" t="s">
        <v>657</v>
      </c>
      <c r="C657" t="s">
        <v>1692</v>
      </c>
      <c r="D657" s="7" t="s">
        <v>1725</v>
      </c>
      <c r="E657" t="s">
        <v>17</v>
      </c>
      <c r="F657" t="s">
        <v>26</v>
      </c>
      <c r="G657" t="s">
        <v>118</v>
      </c>
      <c r="H657">
        <v>7</v>
      </c>
      <c r="I657">
        <v>85.9</v>
      </c>
      <c r="J657">
        <v>0</v>
      </c>
      <c r="K657">
        <v>601.29999999999995</v>
      </c>
      <c r="L657">
        <v>137.69</v>
      </c>
      <c r="M657" t="s">
        <v>35</v>
      </c>
    </row>
    <row r="658" spans="1:13" x14ac:dyDescent="0.3">
      <c r="A658" t="s">
        <v>1726</v>
      </c>
      <c r="B658" t="s">
        <v>1703</v>
      </c>
      <c r="C658" t="s">
        <v>1391</v>
      </c>
      <c r="D658" s="7" t="s">
        <v>149</v>
      </c>
      <c r="E658" t="s">
        <v>59</v>
      </c>
      <c r="F658" t="s">
        <v>18</v>
      </c>
      <c r="G658" t="s">
        <v>45</v>
      </c>
      <c r="H658">
        <v>2</v>
      </c>
      <c r="I658">
        <v>237.25</v>
      </c>
      <c r="J658">
        <v>0.1</v>
      </c>
      <c r="K658">
        <v>427.05</v>
      </c>
      <c r="L658">
        <v>61.82</v>
      </c>
      <c r="M658" t="s">
        <v>20</v>
      </c>
    </row>
    <row r="659" spans="1:13" x14ac:dyDescent="0.3">
      <c r="A659" t="s">
        <v>1727</v>
      </c>
      <c r="B659" t="s">
        <v>298</v>
      </c>
      <c r="C659" t="s">
        <v>1728</v>
      </c>
      <c r="D659" s="7" t="s">
        <v>965</v>
      </c>
      <c r="E659" t="s">
        <v>64</v>
      </c>
      <c r="F659" t="s">
        <v>33</v>
      </c>
      <c r="G659" t="s">
        <v>74</v>
      </c>
      <c r="H659">
        <v>7</v>
      </c>
      <c r="I659">
        <v>74.099999999999994</v>
      </c>
      <c r="J659">
        <v>0</v>
      </c>
      <c r="K659">
        <v>518.70000000000005</v>
      </c>
      <c r="L659">
        <v>149.72</v>
      </c>
      <c r="M659" t="s">
        <v>40</v>
      </c>
    </row>
    <row r="660" spans="1:13" x14ac:dyDescent="0.3">
      <c r="A660" t="s">
        <v>1729</v>
      </c>
      <c r="B660" t="s">
        <v>1089</v>
      </c>
      <c r="C660" t="s">
        <v>1033</v>
      </c>
      <c r="D660" s="7" t="s">
        <v>117</v>
      </c>
      <c r="E660" t="s">
        <v>59</v>
      </c>
      <c r="F660" t="s">
        <v>26</v>
      </c>
      <c r="G660" t="s">
        <v>27</v>
      </c>
      <c r="H660">
        <v>5</v>
      </c>
      <c r="I660">
        <v>159.76</v>
      </c>
      <c r="J660">
        <v>0.05</v>
      </c>
      <c r="K660">
        <v>758.86</v>
      </c>
      <c r="L660">
        <v>213.62</v>
      </c>
      <c r="M660" t="s">
        <v>35</v>
      </c>
    </row>
    <row r="661" spans="1:13" x14ac:dyDescent="0.3">
      <c r="A661" t="s">
        <v>1730</v>
      </c>
      <c r="B661" t="s">
        <v>1059</v>
      </c>
      <c r="C661" t="s">
        <v>1094</v>
      </c>
      <c r="D661" s="7" t="s">
        <v>1731</v>
      </c>
      <c r="E661" t="s">
        <v>32</v>
      </c>
      <c r="F661" t="s">
        <v>33</v>
      </c>
      <c r="G661" t="s">
        <v>69</v>
      </c>
      <c r="H661">
        <v>8</v>
      </c>
      <c r="I661">
        <v>101.94</v>
      </c>
      <c r="J661">
        <v>0.05</v>
      </c>
      <c r="K661">
        <v>774.74</v>
      </c>
      <c r="L661">
        <v>127.46</v>
      </c>
      <c r="M661" t="s">
        <v>40</v>
      </c>
    </row>
    <row r="662" spans="1:13" x14ac:dyDescent="0.3">
      <c r="A662" t="s">
        <v>1732</v>
      </c>
      <c r="B662" t="s">
        <v>1733</v>
      </c>
      <c r="C662" t="s">
        <v>1166</v>
      </c>
      <c r="D662" s="7" t="s">
        <v>1734</v>
      </c>
      <c r="E662" t="s">
        <v>32</v>
      </c>
      <c r="F662" t="s">
        <v>89</v>
      </c>
      <c r="G662" t="s">
        <v>131</v>
      </c>
      <c r="H662">
        <v>6</v>
      </c>
      <c r="I662">
        <v>181.35</v>
      </c>
      <c r="J662">
        <v>0.05</v>
      </c>
      <c r="K662">
        <v>1033.69</v>
      </c>
      <c r="L662">
        <v>123.25</v>
      </c>
      <c r="M662" t="s">
        <v>40</v>
      </c>
    </row>
    <row r="663" spans="1:13" x14ac:dyDescent="0.3">
      <c r="A663" t="s">
        <v>1735</v>
      </c>
      <c r="B663" t="s">
        <v>302</v>
      </c>
      <c r="C663" t="s">
        <v>393</v>
      </c>
      <c r="D663" s="7" t="s">
        <v>1505</v>
      </c>
      <c r="E663" t="s">
        <v>17</v>
      </c>
      <c r="F663" t="s">
        <v>18</v>
      </c>
      <c r="G663" t="s">
        <v>45</v>
      </c>
      <c r="H663">
        <v>4</v>
      </c>
      <c r="I663">
        <v>13.3</v>
      </c>
      <c r="J663">
        <v>0</v>
      </c>
      <c r="K663">
        <v>53.2</v>
      </c>
      <c r="L663">
        <v>13.98</v>
      </c>
      <c r="M663" t="s">
        <v>40</v>
      </c>
    </row>
    <row r="664" spans="1:13" x14ac:dyDescent="0.3">
      <c r="A664" t="s">
        <v>1736</v>
      </c>
      <c r="B664" t="s">
        <v>630</v>
      </c>
      <c r="C664" t="s">
        <v>1737</v>
      </c>
      <c r="D664" s="7" t="s">
        <v>1738</v>
      </c>
      <c r="E664" t="s">
        <v>25</v>
      </c>
      <c r="F664" t="s">
        <v>18</v>
      </c>
      <c r="G664" t="s">
        <v>45</v>
      </c>
      <c r="H664">
        <v>1</v>
      </c>
      <c r="I664">
        <v>146.56</v>
      </c>
      <c r="J664">
        <v>0.1</v>
      </c>
      <c r="K664">
        <v>131.9</v>
      </c>
      <c r="L664">
        <v>19.68</v>
      </c>
      <c r="M664" t="s">
        <v>40</v>
      </c>
    </row>
    <row r="665" spans="1:13" x14ac:dyDescent="0.3">
      <c r="A665" t="s">
        <v>1739</v>
      </c>
      <c r="B665" t="s">
        <v>443</v>
      </c>
      <c r="C665" t="s">
        <v>930</v>
      </c>
      <c r="D665" s="7" t="s">
        <v>1077</v>
      </c>
      <c r="E665" t="s">
        <v>32</v>
      </c>
      <c r="F665" t="s">
        <v>89</v>
      </c>
      <c r="G665" t="s">
        <v>90</v>
      </c>
      <c r="H665">
        <v>8</v>
      </c>
      <c r="I665">
        <v>243.28</v>
      </c>
      <c r="J665">
        <v>0</v>
      </c>
      <c r="K665">
        <v>1946.24</v>
      </c>
      <c r="L665">
        <v>330.91</v>
      </c>
      <c r="M665" t="s">
        <v>20</v>
      </c>
    </row>
    <row r="666" spans="1:13" x14ac:dyDescent="0.3">
      <c r="A666" t="s">
        <v>1740</v>
      </c>
      <c r="B666" t="s">
        <v>210</v>
      </c>
      <c r="C666" t="s">
        <v>353</v>
      </c>
      <c r="D666" s="7" t="s">
        <v>455</v>
      </c>
      <c r="E666" t="s">
        <v>64</v>
      </c>
      <c r="F666" t="s">
        <v>18</v>
      </c>
      <c r="G666" t="s">
        <v>45</v>
      </c>
      <c r="H666">
        <v>1</v>
      </c>
      <c r="I666">
        <v>213.62</v>
      </c>
      <c r="J666">
        <v>0</v>
      </c>
      <c r="K666">
        <v>213.62</v>
      </c>
      <c r="L666">
        <v>40.549999999999997</v>
      </c>
      <c r="M666" t="s">
        <v>35</v>
      </c>
    </row>
    <row r="667" spans="1:13" x14ac:dyDescent="0.3">
      <c r="A667" t="s">
        <v>1741</v>
      </c>
      <c r="B667" t="s">
        <v>1742</v>
      </c>
      <c r="C667" t="s">
        <v>1532</v>
      </c>
      <c r="D667" s="7" t="s">
        <v>1669</v>
      </c>
      <c r="E667" t="s">
        <v>17</v>
      </c>
      <c r="F667" t="s">
        <v>26</v>
      </c>
      <c r="G667" t="s">
        <v>118</v>
      </c>
      <c r="H667">
        <v>1</v>
      </c>
      <c r="I667">
        <v>65.77</v>
      </c>
      <c r="J667">
        <v>0.15</v>
      </c>
      <c r="K667">
        <v>55.9</v>
      </c>
      <c r="L667">
        <v>10.42</v>
      </c>
      <c r="M667" t="s">
        <v>35</v>
      </c>
    </row>
    <row r="668" spans="1:13" x14ac:dyDescent="0.3">
      <c r="A668" t="s">
        <v>1743</v>
      </c>
      <c r="B668" t="s">
        <v>349</v>
      </c>
      <c r="C668" t="s">
        <v>1744</v>
      </c>
      <c r="D668" s="7" t="s">
        <v>141</v>
      </c>
      <c r="E668" t="s">
        <v>32</v>
      </c>
      <c r="F668" t="s">
        <v>33</v>
      </c>
      <c r="G668" t="s">
        <v>74</v>
      </c>
      <c r="H668">
        <v>8</v>
      </c>
      <c r="I668">
        <v>147.9</v>
      </c>
      <c r="J668">
        <v>0.15</v>
      </c>
      <c r="K668">
        <v>1005.72</v>
      </c>
      <c r="L668">
        <v>288.29000000000002</v>
      </c>
      <c r="M668" t="s">
        <v>40</v>
      </c>
    </row>
    <row r="669" spans="1:13" x14ac:dyDescent="0.3">
      <c r="A669" t="s">
        <v>1745</v>
      </c>
      <c r="B669" t="s">
        <v>1746</v>
      </c>
      <c r="C669" t="s">
        <v>1747</v>
      </c>
      <c r="D669" s="7" t="s">
        <v>605</v>
      </c>
      <c r="E669" t="s">
        <v>17</v>
      </c>
      <c r="F669" t="s">
        <v>26</v>
      </c>
      <c r="G669" t="s">
        <v>27</v>
      </c>
      <c r="H669">
        <v>6</v>
      </c>
      <c r="I669">
        <v>217.38</v>
      </c>
      <c r="J669">
        <v>0.15</v>
      </c>
      <c r="K669">
        <v>1108.6400000000001</v>
      </c>
      <c r="L669">
        <v>266.07</v>
      </c>
      <c r="M669" t="s">
        <v>40</v>
      </c>
    </row>
    <row r="670" spans="1:13" x14ac:dyDescent="0.3">
      <c r="A670" t="s">
        <v>1748</v>
      </c>
      <c r="B670" t="s">
        <v>1713</v>
      </c>
      <c r="C670" t="s">
        <v>1749</v>
      </c>
      <c r="D670" s="7" t="s">
        <v>1750</v>
      </c>
      <c r="E670" t="s">
        <v>32</v>
      </c>
      <c r="F670" t="s">
        <v>33</v>
      </c>
      <c r="G670" t="s">
        <v>74</v>
      </c>
      <c r="H670">
        <v>1</v>
      </c>
      <c r="I670">
        <v>44.42</v>
      </c>
      <c r="J670">
        <v>0.15</v>
      </c>
      <c r="K670">
        <v>37.76</v>
      </c>
      <c r="L670">
        <v>3.92</v>
      </c>
      <c r="M670" t="s">
        <v>20</v>
      </c>
    </row>
    <row r="671" spans="1:13" x14ac:dyDescent="0.3">
      <c r="A671" t="s">
        <v>1751</v>
      </c>
      <c r="B671" t="s">
        <v>302</v>
      </c>
      <c r="C671" t="s">
        <v>1092</v>
      </c>
      <c r="D671" s="7" t="s">
        <v>212</v>
      </c>
      <c r="E671" t="s">
        <v>17</v>
      </c>
      <c r="F671" t="s">
        <v>18</v>
      </c>
      <c r="G671" t="s">
        <v>45</v>
      </c>
      <c r="H671">
        <v>3</v>
      </c>
      <c r="I671">
        <v>18.89</v>
      </c>
      <c r="J671">
        <v>0</v>
      </c>
      <c r="K671">
        <v>56.67</v>
      </c>
      <c r="L671">
        <v>15.29</v>
      </c>
      <c r="M671" t="s">
        <v>20</v>
      </c>
    </row>
    <row r="672" spans="1:13" x14ac:dyDescent="0.3">
      <c r="A672" t="s">
        <v>1752</v>
      </c>
      <c r="B672" t="s">
        <v>705</v>
      </c>
      <c r="C672" t="s">
        <v>1141</v>
      </c>
      <c r="D672" s="7" t="s">
        <v>329</v>
      </c>
      <c r="E672" t="s">
        <v>25</v>
      </c>
      <c r="F672" t="s">
        <v>18</v>
      </c>
      <c r="G672" t="s">
        <v>79</v>
      </c>
      <c r="H672">
        <v>6</v>
      </c>
      <c r="I672">
        <v>60.19</v>
      </c>
      <c r="J672">
        <v>0.15</v>
      </c>
      <c r="K672">
        <v>306.97000000000003</v>
      </c>
      <c r="L672">
        <v>38.94</v>
      </c>
      <c r="M672" t="s">
        <v>35</v>
      </c>
    </row>
    <row r="673" spans="1:13" x14ac:dyDescent="0.3">
      <c r="A673" t="s">
        <v>1753</v>
      </c>
      <c r="B673" t="s">
        <v>392</v>
      </c>
      <c r="C673" t="s">
        <v>1754</v>
      </c>
      <c r="D673" s="7" t="s">
        <v>1755</v>
      </c>
      <c r="E673" t="s">
        <v>17</v>
      </c>
      <c r="F673" t="s">
        <v>26</v>
      </c>
      <c r="G673" t="s">
        <v>84</v>
      </c>
      <c r="H673">
        <v>5</v>
      </c>
      <c r="I673">
        <v>11.93</v>
      </c>
      <c r="J673">
        <v>0.05</v>
      </c>
      <c r="K673">
        <v>56.67</v>
      </c>
      <c r="L673">
        <v>4.79</v>
      </c>
      <c r="M673" t="s">
        <v>35</v>
      </c>
    </row>
    <row r="674" spans="1:13" x14ac:dyDescent="0.3">
      <c r="A674" t="s">
        <v>1756</v>
      </c>
      <c r="B674" t="s">
        <v>1757</v>
      </c>
      <c r="C674" t="s">
        <v>101</v>
      </c>
      <c r="D674" s="7" t="s">
        <v>1362</v>
      </c>
      <c r="E674" t="s">
        <v>17</v>
      </c>
      <c r="F674" t="s">
        <v>26</v>
      </c>
      <c r="G674" t="s">
        <v>118</v>
      </c>
      <c r="H674">
        <v>3</v>
      </c>
      <c r="I674">
        <v>168.57</v>
      </c>
      <c r="J674">
        <v>0.05</v>
      </c>
      <c r="K674">
        <v>480.42</v>
      </c>
      <c r="L674">
        <v>96.07</v>
      </c>
      <c r="M674" t="s">
        <v>35</v>
      </c>
    </row>
    <row r="675" spans="1:13" x14ac:dyDescent="0.3">
      <c r="A675" t="s">
        <v>1758</v>
      </c>
      <c r="B675" t="s">
        <v>1335</v>
      </c>
      <c r="C675" t="s">
        <v>417</v>
      </c>
      <c r="D675" s="7" t="s">
        <v>816</v>
      </c>
      <c r="E675" t="s">
        <v>59</v>
      </c>
      <c r="F675" t="s">
        <v>89</v>
      </c>
      <c r="G675" t="s">
        <v>131</v>
      </c>
      <c r="H675">
        <v>2</v>
      </c>
      <c r="I675">
        <v>94.11</v>
      </c>
      <c r="J675">
        <v>0.15</v>
      </c>
      <c r="K675">
        <v>159.99</v>
      </c>
      <c r="L675">
        <v>36.270000000000003</v>
      </c>
      <c r="M675" t="s">
        <v>20</v>
      </c>
    </row>
    <row r="676" spans="1:13" x14ac:dyDescent="0.3">
      <c r="A676" t="s">
        <v>1759</v>
      </c>
      <c r="B676" t="s">
        <v>705</v>
      </c>
      <c r="C676" t="s">
        <v>1760</v>
      </c>
      <c r="D676" s="7" t="s">
        <v>469</v>
      </c>
      <c r="E676" t="s">
        <v>25</v>
      </c>
      <c r="F676" t="s">
        <v>18</v>
      </c>
      <c r="G676" t="s">
        <v>19</v>
      </c>
      <c r="H676">
        <v>1</v>
      </c>
      <c r="I676">
        <v>155.71</v>
      </c>
      <c r="J676">
        <v>0.1</v>
      </c>
      <c r="K676">
        <v>140.13999999999999</v>
      </c>
      <c r="L676">
        <v>13.13</v>
      </c>
      <c r="M676" t="s">
        <v>40</v>
      </c>
    </row>
    <row r="677" spans="1:13" x14ac:dyDescent="0.3">
      <c r="A677" t="s">
        <v>1761</v>
      </c>
      <c r="B677" t="s">
        <v>678</v>
      </c>
      <c r="C677" t="s">
        <v>1195</v>
      </c>
      <c r="D677" s="7" t="s">
        <v>537</v>
      </c>
      <c r="E677" t="s">
        <v>32</v>
      </c>
      <c r="F677" t="s">
        <v>18</v>
      </c>
      <c r="G677" t="s">
        <v>45</v>
      </c>
      <c r="H677">
        <v>3</v>
      </c>
      <c r="I677">
        <v>108.17</v>
      </c>
      <c r="J677">
        <v>0</v>
      </c>
      <c r="K677">
        <v>324.51</v>
      </c>
      <c r="L677">
        <v>66.489999999999995</v>
      </c>
      <c r="M677" t="s">
        <v>40</v>
      </c>
    </row>
    <row r="678" spans="1:13" x14ac:dyDescent="0.3">
      <c r="A678" t="s">
        <v>1762</v>
      </c>
      <c r="B678" t="s">
        <v>1013</v>
      </c>
      <c r="C678" t="s">
        <v>1046</v>
      </c>
      <c r="D678" s="7" t="s">
        <v>1763</v>
      </c>
      <c r="E678" t="s">
        <v>59</v>
      </c>
      <c r="F678" t="s">
        <v>33</v>
      </c>
      <c r="G678" t="s">
        <v>34</v>
      </c>
      <c r="H678">
        <v>4</v>
      </c>
      <c r="I678">
        <v>44.97</v>
      </c>
      <c r="J678">
        <v>0.1</v>
      </c>
      <c r="K678">
        <v>161.88999999999999</v>
      </c>
      <c r="L678">
        <v>34.65</v>
      </c>
      <c r="M678" t="s">
        <v>20</v>
      </c>
    </row>
    <row r="679" spans="1:13" x14ac:dyDescent="0.3">
      <c r="A679" t="s">
        <v>1764</v>
      </c>
      <c r="B679" t="s">
        <v>246</v>
      </c>
      <c r="C679" t="s">
        <v>1765</v>
      </c>
      <c r="D679" s="7" t="s">
        <v>1640</v>
      </c>
      <c r="E679" t="s">
        <v>59</v>
      </c>
      <c r="F679" t="s">
        <v>33</v>
      </c>
      <c r="G679" t="s">
        <v>50</v>
      </c>
      <c r="H679">
        <v>6</v>
      </c>
      <c r="I679">
        <v>48.71</v>
      </c>
      <c r="J679">
        <v>0.05</v>
      </c>
      <c r="K679">
        <v>277.64999999999998</v>
      </c>
      <c r="L679">
        <v>33.24</v>
      </c>
      <c r="M679" t="s">
        <v>20</v>
      </c>
    </row>
    <row r="680" spans="1:13" x14ac:dyDescent="0.3">
      <c r="A680" t="s">
        <v>1766</v>
      </c>
      <c r="B680" t="s">
        <v>271</v>
      </c>
      <c r="C680" t="s">
        <v>597</v>
      </c>
      <c r="D680" s="7" t="s">
        <v>1767</v>
      </c>
      <c r="E680" t="s">
        <v>59</v>
      </c>
      <c r="F680" t="s">
        <v>33</v>
      </c>
      <c r="G680" t="s">
        <v>34</v>
      </c>
      <c r="H680">
        <v>4</v>
      </c>
      <c r="I680">
        <v>83.09</v>
      </c>
      <c r="J680">
        <v>0.05</v>
      </c>
      <c r="K680">
        <v>315.74</v>
      </c>
      <c r="L680">
        <v>57.22</v>
      </c>
      <c r="M680" t="s">
        <v>40</v>
      </c>
    </row>
    <row r="681" spans="1:13" x14ac:dyDescent="0.3">
      <c r="A681" t="s">
        <v>1768</v>
      </c>
      <c r="B681" t="s">
        <v>1025</v>
      </c>
      <c r="C681" t="s">
        <v>654</v>
      </c>
      <c r="D681" s="7" t="s">
        <v>1490</v>
      </c>
      <c r="E681" t="s">
        <v>59</v>
      </c>
      <c r="F681" t="s">
        <v>18</v>
      </c>
      <c r="G681" t="s">
        <v>79</v>
      </c>
      <c r="H681">
        <v>2</v>
      </c>
      <c r="I681">
        <v>18.739999999999998</v>
      </c>
      <c r="J681">
        <v>0.05</v>
      </c>
      <c r="K681">
        <v>35.61</v>
      </c>
      <c r="L681">
        <v>7.44</v>
      </c>
      <c r="M681" t="s">
        <v>20</v>
      </c>
    </row>
    <row r="682" spans="1:13" x14ac:dyDescent="0.3">
      <c r="A682" t="s">
        <v>1769</v>
      </c>
      <c r="B682" t="s">
        <v>1710</v>
      </c>
      <c r="C682" t="s">
        <v>15</v>
      </c>
      <c r="D682" s="7" t="s">
        <v>1423</v>
      </c>
      <c r="E682" t="s">
        <v>25</v>
      </c>
      <c r="F682" t="s">
        <v>33</v>
      </c>
      <c r="G682" t="s">
        <v>50</v>
      </c>
      <c r="H682">
        <v>8</v>
      </c>
      <c r="I682">
        <v>187.68</v>
      </c>
      <c r="J682">
        <v>0.1</v>
      </c>
      <c r="K682">
        <v>1351.3</v>
      </c>
      <c r="L682">
        <v>297.52</v>
      </c>
      <c r="M682" t="s">
        <v>35</v>
      </c>
    </row>
    <row r="683" spans="1:13" x14ac:dyDescent="0.3">
      <c r="A683" t="s">
        <v>1770</v>
      </c>
      <c r="B683" t="s">
        <v>678</v>
      </c>
      <c r="C683" t="s">
        <v>1771</v>
      </c>
      <c r="D683" s="7" t="s">
        <v>568</v>
      </c>
      <c r="E683" t="s">
        <v>64</v>
      </c>
      <c r="F683" t="s">
        <v>26</v>
      </c>
      <c r="G683" t="s">
        <v>84</v>
      </c>
      <c r="H683">
        <v>6</v>
      </c>
      <c r="I683">
        <v>50.74</v>
      </c>
      <c r="J683">
        <v>0</v>
      </c>
      <c r="K683">
        <v>304.44</v>
      </c>
      <c r="L683">
        <v>68.430000000000007</v>
      </c>
      <c r="M683" t="s">
        <v>35</v>
      </c>
    </row>
    <row r="684" spans="1:13" x14ac:dyDescent="0.3">
      <c r="A684" t="s">
        <v>1772</v>
      </c>
      <c r="B684" t="s">
        <v>1773</v>
      </c>
      <c r="C684" t="s">
        <v>181</v>
      </c>
      <c r="D684" s="7" t="s">
        <v>1250</v>
      </c>
      <c r="E684" t="s">
        <v>59</v>
      </c>
      <c r="F684" t="s">
        <v>89</v>
      </c>
      <c r="G684" t="s">
        <v>150</v>
      </c>
      <c r="H684">
        <v>5</v>
      </c>
      <c r="I684">
        <v>107.62</v>
      </c>
      <c r="J684">
        <v>0.1</v>
      </c>
      <c r="K684">
        <v>484.29</v>
      </c>
      <c r="L684">
        <v>108.72</v>
      </c>
      <c r="M684" t="s">
        <v>35</v>
      </c>
    </row>
    <row r="685" spans="1:13" x14ac:dyDescent="0.3">
      <c r="A685" t="s">
        <v>1774</v>
      </c>
      <c r="B685" t="s">
        <v>657</v>
      </c>
      <c r="C685" t="s">
        <v>720</v>
      </c>
      <c r="D685" s="7" t="s">
        <v>1442</v>
      </c>
      <c r="E685" t="s">
        <v>64</v>
      </c>
      <c r="F685" t="s">
        <v>33</v>
      </c>
      <c r="G685" t="s">
        <v>74</v>
      </c>
      <c r="H685">
        <v>7</v>
      </c>
      <c r="I685">
        <v>136.71</v>
      </c>
      <c r="J685">
        <v>0.1</v>
      </c>
      <c r="K685">
        <v>861.27</v>
      </c>
      <c r="L685">
        <v>167.29</v>
      </c>
      <c r="M685" t="s">
        <v>35</v>
      </c>
    </row>
    <row r="686" spans="1:13" x14ac:dyDescent="0.3">
      <c r="A686" t="s">
        <v>1775</v>
      </c>
      <c r="B686" t="s">
        <v>282</v>
      </c>
      <c r="C686" t="s">
        <v>1314</v>
      </c>
      <c r="D686" s="7" t="s">
        <v>472</v>
      </c>
      <c r="E686" t="s">
        <v>64</v>
      </c>
      <c r="F686" t="s">
        <v>26</v>
      </c>
      <c r="G686" t="s">
        <v>27</v>
      </c>
      <c r="H686">
        <v>3</v>
      </c>
      <c r="I686">
        <v>35.369999999999997</v>
      </c>
      <c r="J686">
        <v>0.05</v>
      </c>
      <c r="K686">
        <v>100.8</v>
      </c>
      <c r="L686">
        <v>8.82</v>
      </c>
      <c r="M686" t="s">
        <v>20</v>
      </c>
    </row>
    <row r="687" spans="1:13" x14ac:dyDescent="0.3">
      <c r="A687" t="s">
        <v>1776</v>
      </c>
      <c r="B687" t="s">
        <v>653</v>
      </c>
      <c r="C687" t="s">
        <v>691</v>
      </c>
      <c r="D687" s="7" t="s">
        <v>208</v>
      </c>
      <c r="E687" t="s">
        <v>32</v>
      </c>
      <c r="F687" t="s">
        <v>18</v>
      </c>
      <c r="G687" t="s">
        <v>45</v>
      </c>
      <c r="H687">
        <v>6</v>
      </c>
      <c r="I687">
        <v>94.76</v>
      </c>
      <c r="J687">
        <v>0.1</v>
      </c>
      <c r="K687">
        <v>511.7</v>
      </c>
      <c r="L687">
        <v>134.22999999999999</v>
      </c>
      <c r="M687" t="s">
        <v>40</v>
      </c>
    </row>
    <row r="688" spans="1:13" x14ac:dyDescent="0.3">
      <c r="A688" t="s">
        <v>1777</v>
      </c>
      <c r="B688" t="s">
        <v>1541</v>
      </c>
      <c r="C688" t="s">
        <v>757</v>
      </c>
      <c r="D688" s="7" t="s">
        <v>1778</v>
      </c>
      <c r="E688" t="s">
        <v>25</v>
      </c>
      <c r="F688" t="s">
        <v>18</v>
      </c>
      <c r="G688" t="s">
        <v>19</v>
      </c>
      <c r="H688">
        <v>7</v>
      </c>
      <c r="I688">
        <v>72.459999999999994</v>
      </c>
      <c r="J688">
        <v>0.1</v>
      </c>
      <c r="K688">
        <v>456.5</v>
      </c>
      <c r="L688">
        <v>127.63</v>
      </c>
      <c r="M688" t="s">
        <v>40</v>
      </c>
    </row>
    <row r="689" spans="1:13" x14ac:dyDescent="0.3">
      <c r="A689" t="s">
        <v>1779</v>
      </c>
      <c r="B689" t="s">
        <v>1573</v>
      </c>
      <c r="C689" t="s">
        <v>1780</v>
      </c>
      <c r="D689" s="7" t="s">
        <v>418</v>
      </c>
      <c r="E689" t="s">
        <v>64</v>
      </c>
      <c r="F689" t="s">
        <v>89</v>
      </c>
      <c r="G689" t="s">
        <v>131</v>
      </c>
      <c r="H689">
        <v>7</v>
      </c>
      <c r="I689">
        <v>169.98</v>
      </c>
      <c r="J689">
        <v>0.1</v>
      </c>
      <c r="K689">
        <v>1070.8699999999999</v>
      </c>
      <c r="L689">
        <v>134.15</v>
      </c>
      <c r="M689" t="s">
        <v>40</v>
      </c>
    </row>
    <row r="690" spans="1:13" x14ac:dyDescent="0.3">
      <c r="A690" t="s">
        <v>1781</v>
      </c>
      <c r="B690" t="s">
        <v>104</v>
      </c>
      <c r="C690" t="s">
        <v>1782</v>
      </c>
      <c r="D690" s="7" t="s">
        <v>747</v>
      </c>
      <c r="E690" t="s">
        <v>59</v>
      </c>
      <c r="F690" t="s">
        <v>18</v>
      </c>
      <c r="G690" t="s">
        <v>19</v>
      </c>
      <c r="H690">
        <v>7</v>
      </c>
      <c r="I690">
        <v>224.95</v>
      </c>
      <c r="J690">
        <v>0.1</v>
      </c>
      <c r="K690">
        <v>1417.18</v>
      </c>
      <c r="L690">
        <v>213.22</v>
      </c>
      <c r="M690" t="s">
        <v>20</v>
      </c>
    </row>
    <row r="691" spans="1:13" x14ac:dyDescent="0.3">
      <c r="A691" t="s">
        <v>1783</v>
      </c>
      <c r="B691" t="s">
        <v>489</v>
      </c>
      <c r="C691" t="s">
        <v>310</v>
      </c>
      <c r="D691" s="7" t="s">
        <v>212</v>
      </c>
      <c r="E691" t="s">
        <v>59</v>
      </c>
      <c r="F691" t="s">
        <v>89</v>
      </c>
      <c r="G691" t="s">
        <v>90</v>
      </c>
      <c r="H691">
        <v>8</v>
      </c>
      <c r="I691">
        <v>92.97</v>
      </c>
      <c r="J691">
        <v>0</v>
      </c>
      <c r="K691">
        <v>743.76</v>
      </c>
      <c r="L691">
        <v>64.78</v>
      </c>
      <c r="M691" t="s">
        <v>40</v>
      </c>
    </row>
    <row r="692" spans="1:13" x14ac:dyDescent="0.3">
      <c r="A692" t="s">
        <v>1784</v>
      </c>
      <c r="B692" t="s">
        <v>309</v>
      </c>
      <c r="C692" t="s">
        <v>1589</v>
      </c>
      <c r="D692" s="7" t="s">
        <v>710</v>
      </c>
      <c r="E692" t="s">
        <v>25</v>
      </c>
      <c r="F692" t="s">
        <v>18</v>
      </c>
      <c r="G692" t="s">
        <v>79</v>
      </c>
      <c r="H692">
        <v>2</v>
      </c>
      <c r="I692">
        <v>145.69999999999999</v>
      </c>
      <c r="J692">
        <v>0.15</v>
      </c>
      <c r="K692">
        <v>247.69</v>
      </c>
      <c r="L692">
        <v>42.48</v>
      </c>
      <c r="M692" t="s">
        <v>20</v>
      </c>
    </row>
    <row r="693" spans="1:13" x14ac:dyDescent="0.3">
      <c r="A693" t="s">
        <v>1785</v>
      </c>
      <c r="B693" t="s">
        <v>248</v>
      </c>
      <c r="C693" t="s">
        <v>413</v>
      </c>
      <c r="D693" s="7" t="s">
        <v>284</v>
      </c>
      <c r="E693" t="s">
        <v>32</v>
      </c>
      <c r="F693" t="s">
        <v>18</v>
      </c>
      <c r="G693" t="s">
        <v>19</v>
      </c>
      <c r="H693">
        <v>7</v>
      </c>
      <c r="I693">
        <v>182.9</v>
      </c>
      <c r="J693">
        <v>0.15</v>
      </c>
      <c r="K693">
        <v>1088.25</v>
      </c>
      <c r="L693">
        <v>201.58</v>
      </c>
      <c r="M693" t="s">
        <v>20</v>
      </c>
    </row>
    <row r="694" spans="1:13" x14ac:dyDescent="0.3">
      <c r="A694" t="s">
        <v>1786</v>
      </c>
      <c r="B694" t="s">
        <v>195</v>
      </c>
      <c r="C694" t="s">
        <v>1574</v>
      </c>
      <c r="D694" s="7" t="s">
        <v>1106</v>
      </c>
      <c r="E694" t="s">
        <v>32</v>
      </c>
      <c r="F694" t="s">
        <v>89</v>
      </c>
      <c r="G694" t="s">
        <v>131</v>
      </c>
      <c r="H694">
        <v>1</v>
      </c>
      <c r="I694">
        <v>18.11</v>
      </c>
      <c r="J694">
        <v>0.05</v>
      </c>
      <c r="K694">
        <v>17.2</v>
      </c>
      <c r="L694">
        <v>1.86</v>
      </c>
      <c r="M694" t="s">
        <v>40</v>
      </c>
    </row>
    <row r="695" spans="1:13" x14ac:dyDescent="0.3">
      <c r="A695" t="s">
        <v>1787</v>
      </c>
      <c r="B695" t="s">
        <v>242</v>
      </c>
      <c r="C695" t="s">
        <v>717</v>
      </c>
      <c r="D695" s="7" t="s">
        <v>780</v>
      </c>
      <c r="E695" t="s">
        <v>32</v>
      </c>
      <c r="F695" t="s">
        <v>89</v>
      </c>
      <c r="G695" t="s">
        <v>150</v>
      </c>
      <c r="H695">
        <v>4</v>
      </c>
      <c r="I695">
        <v>44.07</v>
      </c>
      <c r="J695">
        <v>0.15</v>
      </c>
      <c r="K695">
        <v>149.84</v>
      </c>
      <c r="L695">
        <v>35.159999999999997</v>
      </c>
      <c r="M695" t="s">
        <v>20</v>
      </c>
    </row>
    <row r="696" spans="1:13" x14ac:dyDescent="0.3">
      <c r="A696" t="s">
        <v>1788</v>
      </c>
      <c r="B696" t="s">
        <v>278</v>
      </c>
      <c r="C696" t="s">
        <v>1789</v>
      </c>
      <c r="D696" s="7" t="s">
        <v>172</v>
      </c>
      <c r="E696" t="s">
        <v>59</v>
      </c>
      <c r="F696" t="s">
        <v>33</v>
      </c>
      <c r="G696" t="s">
        <v>69</v>
      </c>
      <c r="H696">
        <v>5</v>
      </c>
      <c r="I696">
        <v>129.24</v>
      </c>
      <c r="J696">
        <v>0.15</v>
      </c>
      <c r="K696">
        <v>549.27</v>
      </c>
      <c r="L696">
        <v>118.72</v>
      </c>
      <c r="M696" t="s">
        <v>40</v>
      </c>
    </row>
    <row r="697" spans="1:13" x14ac:dyDescent="0.3">
      <c r="A697" t="s">
        <v>1790</v>
      </c>
      <c r="B697" t="s">
        <v>1441</v>
      </c>
      <c r="C697" t="s">
        <v>838</v>
      </c>
      <c r="D697" s="7" t="s">
        <v>1791</v>
      </c>
      <c r="E697" t="s">
        <v>25</v>
      </c>
      <c r="F697" t="s">
        <v>33</v>
      </c>
      <c r="G697" t="s">
        <v>50</v>
      </c>
      <c r="H697">
        <v>4</v>
      </c>
      <c r="I697">
        <v>103.25</v>
      </c>
      <c r="J697">
        <v>0.1</v>
      </c>
      <c r="K697">
        <v>371.7</v>
      </c>
      <c r="L697">
        <v>67.010000000000005</v>
      </c>
      <c r="M697" t="s">
        <v>40</v>
      </c>
    </row>
    <row r="698" spans="1:13" x14ac:dyDescent="0.3">
      <c r="A698" t="s">
        <v>1792</v>
      </c>
      <c r="B698" t="s">
        <v>56</v>
      </c>
      <c r="C698" t="s">
        <v>1793</v>
      </c>
      <c r="D698" s="7" t="s">
        <v>1794</v>
      </c>
      <c r="E698" t="s">
        <v>59</v>
      </c>
      <c r="F698" t="s">
        <v>89</v>
      </c>
      <c r="G698" t="s">
        <v>131</v>
      </c>
      <c r="H698">
        <v>5</v>
      </c>
      <c r="I698">
        <v>93.31</v>
      </c>
      <c r="J698">
        <v>0</v>
      </c>
      <c r="K698">
        <v>466.55</v>
      </c>
      <c r="L698">
        <v>99</v>
      </c>
      <c r="M698" t="s">
        <v>20</v>
      </c>
    </row>
    <row r="699" spans="1:13" x14ac:dyDescent="0.3">
      <c r="A699" t="s">
        <v>1795</v>
      </c>
      <c r="B699" t="s">
        <v>810</v>
      </c>
      <c r="C699" t="s">
        <v>682</v>
      </c>
      <c r="D699" s="7" t="s">
        <v>1468</v>
      </c>
      <c r="E699" t="s">
        <v>59</v>
      </c>
      <c r="F699" t="s">
        <v>33</v>
      </c>
      <c r="G699" t="s">
        <v>69</v>
      </c>
      <c r="H699">
        <v>1</v>
      </c>
      <c r="I699">
        <v>207.71</v>
      </c>
      <c r="J699">
        <v>0.05</v>
      </c>
      <c r="K699">
        <v>197.32</v>
      </c>
      <c r="L699">
        <v>30.53</v>
      </c>
      <c r="M699" t="s">
        <v>20</v>
      </c>
    </row>
    <row r="700" spans="1:13" x14ac:dyDescent="0.3">
      <c r="A700" t="s">
        <v>1796</v>
      </c>
      <c r="B700" t="s">
        <v>1746</v>
      </c>
      <c r="C700" t="s">
        <v>1353</v>
      </c>
      <c r="D700" s="7" t="s">
        <v>1718</v>
      </c>
      <c r="E700" t="s">
        <v>17</v>
      </c>
      <c r="F700" t="s">
        <v>33</v>
      </c>
      <c r="G700" t="s">
        <v>69</v>
      </c>
      <c r="H700">
        <v>2</v>
      </c>
      <c r="I700">
        <v>243.68</v>
      </c>
      <c r="J700">
        <v>0</v>
      </c>
      <c r="K700">
        <v>487.36</v>
      </c>
      <c r="L700">
        <v>104.59</v>
      </c>
      <c r="M700" t="s">
        <v>40</v>
      </c>
    </row>
    <row r="701" spans="1:13" x14ac:dyDescent="0.3">
      <c r="A701" t="s">
        <v>1797</v>
      </c>
      <c r="B701" t="s">
        <v>317</v>
      </c>
      <c r="C701" t="s">
        <v>1798</v>
      </c>
      <c r="D701" s="7" t="s">
        <v>745</v>
      </c>
      <c r="E701" t="s">
        <v>17</v>
      </c>
      <c r="F701" t="s">
        <v>89</v>
      </c>
      <c r="G701" t="s">
        <v>90</v>
      </c>
      <c r="H701">
        <v>3</v>
      </c>
      <c r="I701">
        <v>68.13</v>
      </c>
      <c r="J701">
        <v>0.1</v>
      </c>
      <c r="K701">
        <v>183.95</v>
      </c>
      <c r="L701">
        <v>52.43</v>
      </c>
      <c r="M701" t="s">
        <v>35</v>
      </c>
    </row>
    <row r="702" spans="1:13" x14ac:dyDescent="0.3">
      <c r="A702" t="s">
        <v>1799</v>
      </c>
      <c r="B702" t="s">
        <v>663</v>
      </c>
      <c r="C702" t="s">
        <v>372</v>
      </c>
      <c r="D702" s="7" t="s">
        <v>1295</v>
      </c>
      <c r="E702" t="s">
        <v>17</v>
      </c>
      <c r="F702" t="s">
        <v>26</v>
      </c>
      <c r="G702" t="s">
        <v>84</v>
      </c>
      <c r="H702">
        <v>1</v>
      </c>
      <c r="I702">
        <v>47.87</v>
      </c>
      <c r="J702">
        <v>0.1</v>
      </c>
      <c r="K702">
        <v>43.08</v>
      </c>
      <c r="L702">
        <v>5.56</v>
      </c>
      <c r="M702" t="s">
        <v>20</v>
      </c>
    </row>
    <row r="703" spans="1:13" x14ac:dyDescent="0.3">
      <c r="A703" t="s">
        <v>1800</v>
      </c>
      <c r="B703" t="s">
        <v>1801</v>
      </c>
      <c r="C703" t="s">
        <v>1802</v>
      </c>
      <c r="D703" s="7" t="s">
        <v>1803</v>
      </c>
      <c r="E703" t="s">
        <v>17</v>
      </c>
      <c r="F703" t="s">
        <v>33</v>
      </c>
      <c r="G703" t="s">
        <v>69</v>
      </c>
      <c r="H703">
        <v>6</v>
      </c>
      <c r="I703">
        <v>197.04</v>
      </c>
      <c r="J703">
        <v>0</v>
      </c>
      <c r="K703">
        <v>1182.24</v>
      </c>
      <c r="L703">
        <v>335.58</v>
      </c>
      <c r="M703" t="s">
        <v>20</v>
      </c>
    </row>
    <row r="704" spans="1:13" x14ac:dyDescent="0.3">
      <c r="A704" t="s">
        <v>1804</v>
      </c>
      <c r="B704" t="s">
        <v>1805</v>
      </c>
      <c r="C704" t="s">
        <v>291</v>
      </c>
      <c r="D704" s="7" t="s">
        <v>1315</v>
      </c>
      <c r="E704" t="s">
        <v>64</v>
      </c>
      <c r="F704" t="s">
        <v>33</v>
      </c>
      <c r="G704" t="s">
        <v>69</v>
      </c>
      <c r="H704">
        <v>3</v>
      </c>
      <c r="I704">
        <v>76.27</v>
      </c>
      <c r="J704">
        <v>0.15</v>
      </c>
      <c r="K704">
        <v>194.49</v>
      </c>
      <c r="L704">
        <v>44.26</v>
      </c>
      <c r="M704" t="s">
        <v>40</v>
      </c>
    </row>
    <row r="705" spans="1:13" x14ac:dyDescent="0.3">
      <c r="A705" t="s">
        <v>1806</v>
      </c>
      <c r="B705" t="s">
        <v>1101</v>
      </c>
      <c r="C705" t="s">
        <v>1807</v>
      </c>
      <c r="D705" s="7" t="s">
        <v>1592</v>
      </c>
      <c r="E705" t="s">
        <v>59</v>
      </c>
      <c r="F705" t="s">
        <v>18</v>
      </c>
      <c r="G705" t="s">
        <v>79</v>
      </c>
      <c r="H705">
        <v>7</v>
      </c>
      <c r="I705">
        <v>73.02</v>
      </c>
      <c r="J705">
        <v>0.1</v>
      </c>
      <c r="K705">
        <v>460.03</v>
      </c>
      <c r="L705">
        <v>76.22</v>
      </c>
      <c r="M705" t="s">
        <v>35</v>
      </c>
    </row>
    <row r="706" spans="1:13" x14ac:dyDescent="0.3">
      <c r="A706" t="s">
        <v>1808</v>
      </c>
      <c r="B706" t="s">
        <v>705</v>
      </c>
      <c r="C706" t="s">
        <v>941</v>
      </c>
      <c r="D706" s="7" t="s">
        <v>1809</v>
      </c>
      <c r="E706" t="s">
        <v>32</v>
      </c>
      <c r="F706" t="s">
        <v>33</v>
      </c>
      <c r="G706" t="s">
        <v>50</v>
      </c>
      <c r="H706">
        <v>3</v>
      </c>
      <c r="I706">
        <v>201.98</v>
      </c>
      <c r="J706">
        <v>0.15</v>
      </c>
      <c r="K706">
        <v>515.04999999999995</v>
      </c>
      <c r="L706">
        <v>146.09</v>
      </c>
      <c r="M706" t="s">
        <v>40</v>
      </c>
    </row>
    <row r="707" spans="1:13" x14ac:dyDescent="0.3">
      <c r="A707" t="s">
        <v>1810</v>
      </c>
      <c r="B707" t="s">
        <v>124</v>
      </c>
      <c r="C707" t="s">
        <v>1811</v>
      </c>
      <c r="D707" s="7" t="s">
        <v>363</v>
      </c>
      <c r="E707" t="s">
        <v>25</v>
      </c>
      <c r="F707" t="s">
        <v>89</v>
      </c>
      <c r="G707" t="s">
        <v>150</v>
      </c>
      <c r="H707">
        <v>2</v>
      </c>
      <c r="I707">
        <v>240.02</v>
      </c>
      <c r="J707">
        <v>0.15</v>
      </c>
      <c r="K707">
        <v>408.03</v>
      </c>
      <c r="L707">
        <v>64.010000000000005</v>
      </c>
      <c r="M707" t="s">
        <v>40</v>
      </c>
    </row>
    <row r="708" spans="1:13" x14ac:dyDescent="0.3">
      <c r="A708" t="s">
        <v>1812</v>
      </c>
      <c r="B708" t="s">
        <v>1813</v>
      </c>
      <c r="C708" t="s">
        <v>1591</v>
      </c>
      <c r="D708" s="7" t="s">
        <v>1791</v>
      </c>
      <c r="E708" t="s">
        <v>25</v>
      </c>
      <c r="F708" t="s">
        <v>89</v>
      </c>
      <c r="G708" t="s">
        <v>150</v>
      </c>
      <c r="H708">
        <v>1</v>
      </c>
      <c r="I708">
        <v>239.94</v>
      </c>
      <c r="J708">
        <v>0.1</v>
      </c>
      <c r="K708">
        <v>215.95</v>
      </c>
      <c r="L708">
        <v>32.549999999999997</v>
      </c>
      <c r="M708" t="s">
        <v>40</v>
      </c>
    </row>
    <row r="709" spans="1:13" x14ac:dyDescent="0.3">
      <c r="A709" t="s">
        <v>1814</v>
      </c>
      <c r="B709" t="s">
        <v>1815</v>
      </c>
      <c r="C709" t="s">
        <v>1220</v>
      </c>
      <c r="D709" s="7" t="s">
        <v>347</v>
      </c>
      <c r="E709" t="s">
        <v>25</v>
      </c>
      <c r="F709" t="s">
        <v>89</v>
      </c>
      <c r="G709" t="s">
        <v>131</v>
      </c>
      <c r="H709">
        <v>2</v>
      </c>
      <c r="I709">
        <v>148.77000000000001</v>
      </c>
      <c r="J709">
        <v>0.05</v>
      </c>
      <c r="K709">
        <v>282.66000000000003</v>
      </c>
      <c r="L709">
        <v>73.72</v>
      </c>
      <c r="M709" t="s">
        <v>35</v>
      </c>
    </row>
    <row r="710" spans="1:13" x14ac:dyDescent="0.3">
      <c r="A710" t="s">
        <v>1816</v>
      </c>
      <c r="B710" t="s">
        <v>1005</v>
      </c>
      <c r="C710" t="s">
        <v>1817</v>
      </c>
      <c r="D710" s="7" t="s">
        <v>695</v>
      </c>
      <c r="E710" t="s">
        <v>64</v>
      </c>
      <c r="F710" t="s">
        <v>26</v>
      </c>
      <c r="G710" t="s">
        <v>27</v>
      </c>
      <c r="H710">
        <v>8</v>
      </c>
      <c r="I710">
        <v>234.16</v>
      </c>
      <c r="J710">
        <v>0.1</v>
      </c>
      <c r="K710">
        <v>1685.95</v>
      </c>
      <c r="L710">
        <v>416.89</v>
      </c>
      <c r="M710" t="s">
        <v>20</v>
      </c>
    </row>
    <row r="711" spans="1:13" x14ac:dyDescent="0.3">
      <c r="A711" t="s">
        <v>1818</v>
      </c>
      <c r="B711" t="s">
        <v>715</v>
      </c>
      <c r="C711" t="s">
        <v>1255</v>
      </c>
      <c r="D711" s="7" t="s">
        <v>1819</v>
      </c>
      <c r="E711" t="s">
        <v>59</v>
      </c>
      <c r="F711" t="s">
        <v>89</v>
      </c>
      <c r="G711" t="s">
        <v>131</v>
      </c>
      <c r="H711">
        <v>7</v>
      </c>
      <c r="I711">
        <v>203.29</v>
      </c>
      <c r="J711">
        <v>0.05</v>
      </c>
      <c r="K711">
        <v>1351.88</v>
      </c>
      <c r="L711">
        <v>401.67</v>
      </c>
      <c r="M711" t="s">
        <v>40</v>
      </c>
    </row>
    <row r="712" spans="1:13" x14ac:dyDescent="0.3">
      <c r="A712" t="s">
        <v>1820</v>
      </c>
      <c r="B712" t="s">
        <v>768</v>
      </c>
      <c r="C712" t="s">
        <v>1821</v>
      </c>
      <c r="D712" s="7" t="s">
        <v>1822</v>
      </c>
      <c r="E712" t="s">
        <v>32</v>
      </c>
      <c r="F712" t="s">
        <v>26</v>
      </c>
      <c r="G712" t="s">
        <v>27</v>
      </c>
      <c r="H712">
        <v>6</v>
      </c>
      <c r="I712">
        <v>85.93</v>
      </c>
      <c r="J712">
        <v>0.1</v>
      </c>
      <c r="K712">
        <v>464.02</v>
      </c>
      <c r="L712">
        <v>71.540000000000006</v>
      </c>
      <c r="M712" t="s">
        <v>20</v>
      </c>
    </row>
    <row r="713" spans="1:13" x14ac:dyDescent="0.3">
      <c r="A713" t="s">
        <v>1823</v>
      </c>
      <c r="B713" t="s">
        <v>489</v>
      </c>
      <c r="C713" t="s">
        <v>567</v>
      </c>
      <c r="D713" s="7" t="s">
        <v>937</v>
      </c>
      <c r="E713" t="s">
        <v>17</v>
      </c>
      <c r="F713" t="s">
        <v>26</v>
      </c>
      <c r="G713" t="s">
        <v>118</v>
      </c>
      <c r="H713">
        <v>2</v>
      </c>
      <c r="I713">
        <v>221.49</v>
      </c>
      <c r="J713">
        <v>0.1</v>
      </c>
      <c r="K713">
        <v>398.68</v>
      </c>
      <c r="L713">
        <v>98.73</v>
      </c>
      <c r="M713" t="s">
        <v>40</v>
      </c>
    </row>
    <row r="714" spans="1:13" x14ac:dyDescent="0.3">
      <c r="A714" t="s">
        <v>1824</v>
      </c>
      <c r="B714" t="s">
        <v>1216</v>
      </c>
      <c r="C714" t="s">
        <v>1825</v>
      </c>
      <c r="D714" s="7" t="s">
        <v>501</v>
      </c>
      <c r="E714" t="s">
        <v>17</v>
      </c>
      <c r="F714" t="s">
        <v>33</v>
      </c>
      <c r="G714" t="s">
        <v>69</v>
      </c>
      <c r="H714">
        <v>4</v>
      </c>
      <c r="I714">
        <v>20.190000000000001</v>
      </c>
      <c r="J714">
        <v>0.1</v>
      </c>
      <c r="K714">
        <v>72.680000000000007</v>
      </c>
      <c r="L714">
        <v>15.59</v>
      </c>
      <c r="M714" t="s">
        <v>20</v>
      </c>
    </row>
    <row r="715" spans="1:13" x14ac:dyDescent="0.3">
      <c r="A715" t="s">
        <v>1826</v>
      </c>
      <c r="B715" t="s">
        <v>1827</v>
      </c>
      <c r="C715" t="s">
        <v>590</v>
      </c>
      <c r="D715" s="7" t="s">
        <v>1828</v>
      </c>
      <c r="E715" t="s">
        <v>64</v>
      </c>
      <c r="F715" t="s">
        <v>89</v>
      </c>
      <c r="G715" t="s">
        <v>90</v>
      </c>
      <c r="H715">
        <v>6</v>
      </c>
      <c r="I715">
        <v>59.58</v>
      </c>
      <c r="J715">
        <v>0.15</v>
      </c>
      <c r="K715">
        <v>303.86</v>
      </c>
      <c r="L715">
        <v>50.93</v>
      </c>
      <c r="M715" t="s">
        <v>40</v>
      </c>
    </row>
    <row r="716" spans="1:13" x14ac:dyDescent="0.3">
      <c r="A716" t="s">
        <v>1829</v>
      </c>
      <c r="B716" t="s">
        <v>999</v>
      </c>
      <c r="C716" t="s">
        <v>164</v>
      </c>
      <c r="D716" s="7" t="s">
        <v>16</v>
      </c>
      <c r="E716" t="s">
        <v>32</v>
      </c>
      <c r="F716" t="s">
        <v>18</v>
      </c>
      <c r="G716" t="s">
        <v>19</v>
      </c>
      <c r="H716">
        <v>8</v>
      </c>
      <c r="I716">
        <v>186.16</v>
      </c>
      <c r="J716">
        <v>0.15</v>
      </c>
      <c r="K716">
        <v>1265.8900000000001</v>
      </c>
      <c r="L716">
        <v>159.85</v>
      </c>
      <c r="M716" t="s">
        <v>20</v>
      </c>
    </row>
    <row r="717" spans="1:13" x14ac:dyDescent="0.3">
      <c r="A717" t="s">
        <v>1830</v>
      </c>
      <c r="B717" t="s">
        <v>796</v>
      </c>
      <c r="C717" t="s">
        <v>1831</v>
      </c>
      <c r="D717" s="7" t="s">
        <v>466</v>
      </c>
      <c r="E717" t="s">
        <v>59</v>
      </c>
      <c r="F717" t="s">
        <v>18</v>
      </c>
      <c r="G717" t="s">
        <v>19</v>
      </c>
      <c r="H717">
        <v>8</v>
      </c>
      <c r="I717">
        <v>173.77</v>
      </c>
      <c r="J717">
        <v>0</v>
      </c>
      <c r="K717">
        <v>1390.16</v>
      </c>
      <c r="L717">
        <v>129.31</v>
      </c>
      <c r="M717" t="s">
        <v>20</v>
      </c>
    </row>
    <row r="718" spans="1:13" x14ac:dyDescent="0.3">
      <c r="A718" t="s">
        <v>1832</v>
      </c>
      <c r="B718" t="s">
        <v>1691</v>
      </c>
      <c r="C718" t="s">
        <v>1833</v>
      </c>
      <c r="D718" s="7" t="s">
        <v>1834</v>
      </c>
      <c r="E718" t="s">
        <v>32</v>
      </c>
      <c r="F718" t="s">
        <v>33</v>
      </c>
      <c r="G718" t="s">
        <v>74</v>
      </c>
      <c r="H718">
        <v>8</v>
      </c>
      <c r="I718">
        <v>53.41</v>
      </c>
      <c r="J718">
        <v>0.15</v>
      </c>
      <c r="K718">
        <v>363.19</v>
      </c>
      <c r="L718">
        <v>73.06</v>
      </c>
      <c r="M718" t="s">
        <v>35</v>
      </c>
    </row>
    <row r="719" spans="1:13" x14ac:dyDescent="0.3">
      <c r="A719" t="s">
        <v>1835</v>
      </c>
      <c r="B719" t="s">
        <v>1703</v>
      </c>
      <c r="C719" t="s">
        <v>1836</v>
      </c>
      <c r="D719" s="7" t="s">
        <v>710</v>
      </c>
      <c r="E719" t="s">
        <v>59</v>
      </c>
      <c r="F719" t="s">
        <v>33</v>
      </c>
      <c r="G719" t="s">
        <v>50</v>
      </c>
      <c r="H719">
        <v>8</v>
      </c>
      <c r="I719">
        <v>203.9</v>
      </c>
      <c r="J719">
        <v>0.15</v>
      </c>
      <c r="K719">
        <v>1386.52</v>
      </c>
      <c r="L719">
        <v>373.25</v>
      </c>
      <c r="M719" t="s">
        <v>40</v>
      </c>
    </row>
    <row r="720" spans="1:13" x14ac:dyDescent="0.3">
      <c r="A720" t="s">
        <v>1837</v>
      </c>
      <c r="B720" t="s">
        <v>14</v>
      </c>
      <c r="C720" t="s">
        <v>1217</v>
      </c>
      <c r="D720" s="7" t="s">
        <v>427</v>
      </c>
      <c r="E720" t="s">
        <v>64</v>
      </c>
      <c r="F720" t="s">
        <v>33</v>
      </c>
      <c r="G720" t="s">
        <v>50</v>
      </c>
      <c r="H720">
        <v>4</v>
      </c>
      <c r="I720">
        <v>190.05</v>
      </c>
      <c r="J720">
        <v>0.1</v>
      </c>
      <c r="K720">
        <v>684.18</v>
      </c>
      <c r="L720">
        <v>136.34</v>
      </c>
      <c r="M720" t="s">
        <v>40</v>
      </c>
    </row>
    <row r="721" spans="1:13" x14ac:dyDescent="0.3">
      <c r="A721" t="s">
        <v>1838</v>
      </c>
      <c r="B721" t="s">
        <v>335</v>
      </c>
      <c r="C721" t="s">
        <v>531</v>
      </c>
      <c r="D721" s="7" t="s">
        <v>1161</v>
      </c>
      <c r="E721" t="s">
        <v>32</v>
      </c>
      <c r="F721" t="s">
        <v>26</v>
      </c>
      <c r="G721" t="s">
        <v>84</v>
      </c>
      <c r="H721">
        <v>2</v>
      </c>
      <c r="I721">
        <v>187.43</v>
      </c>
      <c r="J721">
        <v>0.05</v>
      </c>
      <c r="K721">
        <v>356.12</v>
      </c>
      <c r="L721">
        <v>51.48</v>
      </c>
      <c r="M721" t="s">
        <v>40</v>
      </c>
    </row>
    <row r="722" spans="1:13" x14ac:dyDescent="0.3">
      <c r="A722" t="s">
        <v>1839</v>
      </c>
      <c r="B722" t="s">
        <v>349</v>
      </c>
      <c r="C722" t="s">
        <v>477</v>
      </c>
      <c r="D722" s="7" t="s">
        <v>94</v>
      </c>
      <c r="E722" t="s">
        <v>17</v>
      </c>
      <c r="F722" t="s">
        <v>26</v>
      </c>
      <c r="G722" t="s">
        <v>118</v>
      </c>
      <c r="H722">
        <v>5</v>
      </c>
      <c r="I722">
        <v>133.19</v>
      </c>
      <c r="J722">
        <v>0</v>
      </c>
      <c r="K722">
        <v>665.95</v>
      </c>
      <c r="L722">
        <v>137.43</v>
      </c>
      <c r="M722" t="s">
        <v>35</v>
      </c>
    </row>
    <row r="723" spans="1:13" x14ac:dyDescent="0.3">
      <c r="A723" t="s">
        <v>1840</v>
      </c>
      <c r="B723" t="s">
        <v>1650</v>
      </c>
      <c r="C723" t="s">
        <v>1000</v>
      </c>
      <c r="D723" s="7" t="s">
        <v>532</v>
      </c>
      <c r="E723" t="s">
        <v>17</v>
      </c>
      <c r="F723" t="s">
        <v>26</v>
      </c>
      <c r="G723" t="s">
        <v>84</v>
      </c>
      <c r="H723">
        <v>3</v>
      </c>
      <c r="I723">
        <v>193.8</v>
      </c>
      <c r="J723">
        <v>0.15</v>
      </c>
      <c r="K723">
        <v>494.19</v>
      </c>
      <c r="L723">
        <v>134.32</v>
      </c>
      <c r="M723" t="s">
        <v>35</v>
      </c>
    </row>
    <row r="724" spans="1:13" x14ac:dyDescent="0.3">
      <c r="A724" t="s">
        <v>1841</v>
      </c>
      <c r="B724" t="s">
        <v>964</v>
      </c>
      <c r="C724" t="s">
        <v>1842</v>
      </c>
      <c r="D724" s="7" t="s">
        <v>1426</v>
      </c>
      <c r="E724" t="s">
        <v>32</v>
      </c>
      <c r="F724" t="s">
        <v>33</v>
      </c>
      <c r="G724" t="s">
        <v>34</v>
      </c>
      <c r="H724">
        <v>5</v>
      </c>
      <c r="I724">
        <v>29.82</v>
      </c>
      <c r="J724">
        <v>0</v>
      </c>
      <c r="K724">
        <v>149.1</v>
      </c>
      <c r="L724">
        <v>30.53</v>
      </c>
      <c r="M724" t="s">
        <v>35</v>
      </c>
    </row>
    <row r="725" spans="1:13" x14ac:dyDescent="0.3">
      <c r="A725" t="s">
        <v>1843</v>
      </c>
      <c r="B725" t="s">
        <v>889</v>
      </c>
      <c r="C725" t="s">
        <v>975</v>
      </c>
      <c r="D725" s="7" t="s">
        <v>688</v>
      </c>
      <c r="E725" t="s">
        <v>64</v>
      </c>
      <c r="F725" t="s">
        <v>18</v>
      </c>
      <c r="G725" t="s">
        <v>19</v>
      </c>
      <c r="H725">
        <v>4</v>
      </c>
      <c r="I725">
        <v>66.7</v>
      </c>
      <c r="J725">
        <v>0.05</v>
      </c>
      <c r="K725">
        <v>253.46</v>
      </c>
      <c r="L725">
        <v>27.62</v>
      </c>
      <c r="M725" t="s">
        <v>35</v>
      </c>
    </row>
    <row r="726" spans="1:13" x14ac:dyDescent="0.3">
      <c r="A726" t="s">
        <v>1844</v>
      </c>
      <c r="B726" t="s">
        <v>1773</v>
      </c>
      <c r="C726" t="s">
        <v>640</v>
      </c>
      <c r="D726" s="7" t="s">
        <v>244</v>
      </c>
      <c r="E726" t="s">
        <v>64</v>
      </c>
      <c r="F726" t="s">
        <v>26</v>
      </c>
      <c r="G726" t="s">
        <v>84</v>
      </c>
      <c r="H726">
        <v>7</v>
      </c>
      <c r="I726">
        <v>97.89</v>
      </c>
      <c r="J726">
        <v>0.05</v>
      </c>
      <c r="K726">
        <v>650.97</v>
      </c>
      <c r="L726">
        <v>192.86</v>
      </c>
      <c r="M726" t="s">
        <v>35</v>
      </c>
    </row>
    <row r="727" spans="1:13" x14ac:dyDescent="0.3">
      <c r="A727" t="s">
        <v>1845</v>
      </c>
      <c r="B727" t="s">
        <v>1846</v>
      </c>
      <c r="C727" t="s">
        <v>941</v>
      </c>
      <c r="D727" s="7" t="s">
        <v>1072</v>
      </c>
      <c r="E727" t="s">
        <v>32</v>
      </c>
      <c r="F727" t="s">
        <v>33</v>
      </c>
      <c r="G727" t="s">
        <v>34</v>
      </c>
      <c r="H727">
        <v>6</v>
      </c>
      <c r="I727">
        <v>175.66</v>
      </c>
      <c r="J727">
        <v>0.15</v>
      </c>
      <c r="K727">
        <v>895.87</v>
      </c>
      <c r="L727">
        <v>86.55</v>
      </c>
      <c r="M727" t="s">
        <v>40</v>
      </c>
    </row>
    <row r="728" spans="1:13" x14ac:dyDescent="0.3">
      <c r="A728" t="s">
        <v>1847</v>
      </c>
      <c r="B728" t="s">
        <v>1276</v>
      </c>
      <c r="C728" t="s">
        <v>1848</v>
      </c>
      <c r="D728" s="7" t="s">
        <v>1849</v>
      </c>
      <c r="E728" t="s">
        <v>59</v>
      </c>
      <c r="F728" t="s">
        <v>18</v>
      </c>
      <c r="G728" t="s">
        <v>45</v>
      </c>
      <c r="H728">
        <v>8</v>
      </c>
      <c r="I728">
        <v>214.84</v>
      </c>
      <c r="J728">
        <v>0.15</v>
      </c>
      <c r="K728">
        <v>1460.91</v>
      </c>
      <c r="L728">
        <v>426.2</v>
      </c>
      <c r="M728" t="s">
        <v>40</v>
      </c>
    </row>
    <row r="729" spans="1:13" x14ac:dyDescent="0.3">
      <c r="A729" t="s">
        <v>1850</v>
      </c>
      <c r="B729" t="s">
        <v>1280</v>
      </c>
      <c r="C729" t="s">
        <v>129</v>
      </c>
      <c r="D729" s="7" t="s">
        <v>1851</v>
      </c>
      <c r="E729" t="s">
        <v>25</v>
      </c>
      <c r="F729" t="s">
        <v>89</v>
      </c>
      <c r="G729" t="s">
        <v>131</v>
      </c>
      <c r="H729">
        <v>6</v>
      </c>
      <c r="I729">
        <v>197.3</v>
      </c>
      <c r="J729">
        <v>0</v>
      </c>
      <c r="K729">
        <v>1183.8</v>
      </c>
      <c r="L729">
        <v>126.63</v>
      </c>
      <c r="M729" t="s">
        <v>20</v>
      </c>
    </row>
    <row r="730" spans="1:13" x14ac:dyDescent="0.3">
      <c r="A730" t="s">
        <v>1852</v>
      </c>
      <c r="B730" t="s">
        <v>1853</v>
      </c>
      <c r="C730" t="s">
        <v>586</v>
      </c>
      <c r="D730" s="7" t="s">
        <v>542</v>
      </c>
      <c r="E730" t="s">
        <v>64</v>
      </c>
      <c r="F730" t="s">
        <v>26</v>
      </c>
      <c r="G730" t="s">
        <v>27</v>
      </c>
      <c r="H730">
        <v>6</v>
      </c>
      <c r="I730">
        <v>149.57</v>
      </c>
      <c r="J730">
        <v>0.15</v>
      </c>
      <c r="K730">
        <v>762.81</v>
      </c>
      <c r="L730">
        <v>190.87</v>
      </c>
      <c r="M730" t="s">
        <v>40</v>
      </c>
    </row>
    <row r="731" spans="1:13" x14ac:dyDescent="0.3">
      <c r="A731" t="s">
        <v>1854</v>
      </c>
      <c r="B731" t="s">
        <v>1049</v>
      </c>
      <c r="C731" t="s">
        <v>802</v>
      </c>
      <c r="D731" s="7" t="s">
        <v>1161</v>
      </c>
      <c r="E731" t="s">
        <v>64</v>
      </c>
      <c r="F731" t="s">
        <v>18</v>
      </c>
      <c r="G731" t="s">
        <v>45</v>
      </c>
      <c r="H731">
        <v>7</v>
      </c>
      <c r="I731">
        <v>223.66</v>
      </c>
      <c r="J731">
        <v>0.05</v>
      </c>
      <c r="K731">
        <v>1487.34</v>
      </c>
      <c r="L731">
        <v>193.63</v>
      </c>
      <c r="M731" t="s">
        <v>35</v>
      </c>
    </row>
    <row r="732" spans="1:13" x14ac:dyDescent="0.3">
      <c r="A732" t="s">
        <v>1855</v>
      </c>
      <c r="B732" t="s">
        <v>120</v>
      </c>
      <c r="C732" t="s">
        <v>567</v>
      </c>
      <c r="D732" s="7" t="s">
        <v>1856</v>
      </c>
      <c r="E732" t="s">
        <v>64</v>
      </c>
      <c r="F732" t="s">
        <v>18</v>
      </c>
      <c r="G732" t="s">
        <v>19</v>
      </c>
      <c r="H732">
        <v>8</v>
      </c>
      <c r="I732">
        <v>84.23</v>
      </c>
      <c r="J732">
        <v>0</v>
      </c>
      <c r="K732">
        <v>673.84</v>
      </c>
      <c r="L732">
        <v>135.71</v>
      </c>
      <c r="M732" t="s">
        <v>20</v>
      </c>
    </row>
    <row r="733" spans="1:13" x14ac:dyDescent="0.3">
      <c r="A733" t="s">
        <v>1857</v>
      </c>
      <c r="B733" t="s">
        <v>432</v>
      </c>
      <c r="C733" t="s">
        <v>1858</v>
      </c>
      <c r="D733" s="7" t="s">
        <v>1859</v>
      </c>
      <c r="E733" t="s">
        <v>25</v>
      </c>
      <c r="F733" t="s">
        <v>33</v>
      </c>
      <c r="G733" t="s">
        <v>74</v>
      </c>
      <c r="H733">
        <v>1</v>
      </c>
      <c r="I733">
        <v>24.09</v>
      </c>
      <c r="J733">
        <v>0</v>
      </c>
      <c r="K733">
        <v>24.09</v>
      </c>
      <c r="L733">
        <v>2.81</v>
      </c>
      <c r="M733" t="s">
        <v>35</v>
      </c>
    </row>
    <row r="734" spans="1:13" x14ac:dyDescent="0.3">
      <c r="A734" t="s">
        <v>1860</v>
      </c>
      <c r="B734" t="s">
        <v>768</v>
      </c>
      <c r="C734" t="s">
        <v>1861</v>
      </c>
      <c r="D734" s="7" t="s">
        <v>1862</v>
      </c>
      <c r="E734" t="s">
        <v>64</v>
      </c>
      <c r="F734" t="s">
        <v>89</v>
      </c>
      <c r="G734" t="s">
        <v>90</v>
      </c>
      <c r="H734">
        <v>5</v>
      </c>
      <c r="I734">
        <v>237.11</v>
      </c>
      <c r="J734">
        <v>0.1</v>
      </c>
      <c r="K734">
        <v>1067</v>
      </c>
      <c r="L734">
        <v>205.42</v>
      </c>
      <c r="M734" t="s">
        <v>35</v>
      </c>
    </row>
    <row r="735" spans="1:13" x14ac:dyDescent="0.3">
      <c r="A735" t="s">
        <v>1863</v>
      </c>
      <c r="B735" t="s">
        <v>701</v>
      </c>
      <c r="C735" t="s">
        <v>597</v>
      </c>
      <c r="D735" s="7" t="s">
        <v>1479</v>
      </c>
      <c r="E735" t="s">
        <v>17</v>
      </c>
      <c r="F735" t="s">
        <v>33</v>
      </c>
      <c r="G735" t="s">
        <v>50</v>
      </c>
      <c r="H735">
        <v>1</v>
      </c>
      <c r="I735">
        <v>127.67</v>
      </c>
      <c r="J735">
        <v>0</v>
      </c>
      <c r="K735">
        <v>127.67</v>
      </c>
      <c r="L735">
        <v>12.05</v>
      </c>
      <c r="M735" t="s">
        <v>20</v>
      </c>
    </row>
    <row r="736" spans="1:13" x14ac:dyDescent="0.3">
      <c r="A736" t="s">
        <v>1864</v>
      </c>
      <c r="B736" t="s">
        <v>1350</v>
      </c>
      <c r="C736" t="s">
        <v>471</v>
      </c>
      <c r="D736" s="7" t="s">
        <v>1865</v>
      </c>
      <c r="E736" t="s">
        <v>64</v>
      </c>
      <c r="F736" t="s">
        <v>18</v>
      </c>
      <c r="G736" t="s">
        <v>45</v>
      </c>
      <c r="H736">
        <v>6</v>
      </c>
      <c r="I736">
        <v>97.67</v>
      </c>
      <c r="J736">
        <v>0.05</v>
      </c>
      <c r="K736">
        <v>556.72</v>
      </c>
      <c r="L736">
        <v>59.45</v>
      </c>
      <c r="M736" t="s">
        <v>20</v>
      </c>
    </row>
    <row r="737" spans="1:13" x14ac:dyDescent="0.3">
      <c r="A737" t="s">
        <v>1866</v>
      </c>
      <c r="B737" t="s">
        <v>1626</v>
      </c>
      <c r="C737" t="s">
        <v>916</v>
      </c>
      <c r="D737" s="7" t="s">
        <v>63</v>
      </c>
      <c r="E737" t="s">
        <v>64</v>
      </c>
      <c r="F737" t="s">
        <v>26</v>
      </c>
      <c r="G737" t="s">
        <v>27</v>
      </c>
      <c r="H737">
        <v>7</v>
      </c>
      <c r="I737">
        <v>146.66999999999999</v>
      </c>
      <c r="J737">
        <v>0</v>
      </c>
      <c r="K737">
        <v>1026.69</v>
      </c>
      <c r="L737">
        <v>212.43</v>
      </c>
      <c r="M737" t="s">
        <v>20</v>
      </c>
    </row>
    <row r="738" spans="1:13" x14ac:dyDescent="0.3">
      <c r="A738" t="s">
        <v>1867</v>
      </c>
      <c r="B738" t="s">
        <v>1868</v>
      </c>
      <c r="C738" t="s">
        <v>211</v>
      </c>
      <c r="D738" s="7" t="s">
        <v>189</v>
      </c>
      <c r="E738" t="s">
        <v>32</v>
      </c>
      <c r="F738" t="s">
        <v>33</v>
      </c>
      <c r="G738" t="s">
        <v>34</v>
      </c>
      <c r="H738">
        <v>7</v>
      </c>
      <c r="I738">
        <v>230.33</v>
      </c>
      <c r="J738">
        <v>0.15</v>
      </c>
      <c r="K738">
        <v>1370.46</v>
      </c>
      <c r="L738">
        <v>251.98</v>
      </c>
      <c r="M738" t="s">
        <v>40</v>
      </c>
    </row>
    <row r="739" spans="1:13" x14ac:dyDescent="0.3">
      <c r="A739" t="s">
        <v>1869</v>
      </c>
      <c r="B739" t="s">
        <v>140</v>
      </c>
      <c r="C739" t="s">
        <v>876</v>
      </c>
      <c r="D739" s="7" t="s">
        <v>495</v>
      </c>
      <c r="E739" t="s">
        <v>59</v>
      </c>
      <c r="F739" t="s">
        <v>33</v>
      </c>
      <c r="G739" t="s">
        <v>34</v>
      </c>
      <c r="H739">
        <v>7</v>
      </c>
      <c r="I739">
        <v>139.38</v>
      </c>
      <c r="J739">
        <v>0.05</v>
      </c>
      <c r="K739">
        <v>926.88</v>
      </c>
      <c r="L739">
        <v>230.62</v>
      </c>
      <c r="M739" t="s">
        <v>20</v>
      </c>
    </row>
    <row r="740" spans="1:13" x14ac:dyDescent="0.3">
      <c r="A740" t="s">
        <v>1870</v>
      </c>
      <c r="B740" t="s">
        <v>548</v>
      </c>
      <c r="C740" t="s">
        <v>994</v>
      </c>
      <c r="D740" s="7" t="s">
        <v>1822</v>
      </c>
      <c r="E740" t="s">
        <v>25</v>
      </c>
      <c r="F740" t="s">
        <v>18</v>
      </c>
      <c r="G740" t="s">
        <v>19</v>
      </c>
      <c r="H740">
        <v>4</v>
      </c>
      <c r="I740">
        <v>196.43</v>
      </c>
      <c r="J740">
        <v>0.1</v>
      </c>
      <c r="K740">
        <v>707.15</v>
      </c>
      <c r="L740">
        <v>152.65</v>
      </c>
      <c r="M740" t="s">
        <v>20</v>
      </c>
    </row>
    <row r="741" spans="1:13" x14ac:dyDescent="0.3">
      <c r="A741" t="s">
        <v>1871</v>
      </c>
      <c r="B741" t="s">
        <v>1581</v>
      </c>
      <c r="C741" t="s">
        <v>1728</v>
      </c>
      <c r="D741" s="7" t="s">
        <v>266</v>
      </c>
      <c r="E741" t="s">
        <v>59</v>
      </c>
      <c r="F741" t="s">
        <v>89</v>
      </c>
      <c r="G741" t="s">
        <v>90</v>
      </c>
      <c r="H741">
        <v>1</v>
      </c>
      <c r="I741">
        <v>210.96</v>
      </c>
      <c r="J741">
        <v>0.1</v>
      </c>
      <c r="K741">
        <v>189.86</v>
      </c>
      <c r="L741">
        <v>41.08</v>
      </c>
      <c r="M741" t="s">
        <v>20</v>
      </c>
    </row>
    <row r="742" spans="1:13" x14ac:dyDescent="0.3">
      <c r="A742" t="s">
        <v>1872</v>
      </c>
      <c r="B742" t="s">
        <v>1483</v>
      </c>
      <c r="C742" t="s">
        <v>307</v>
      </c>
      <c r="D742" s="7" t="s">
        <v>874</v>
      </c>
      <c r="E742" t="s">
        <v>32</v>
      </c>
      <c r="F742" t="s">
        <v>26</v>
      </c>
      <c r="G742" t="s">
        <v>84</v>
      </c>
      <c r="H742">
        <v>4</v>
      </c>
      <c r="I742">
        <v>130.47</v>
      </c>
      <c r="J742">
        <v>0.15</v>
      </c>
      <c r="K742">
        <v>443.6</v>
      </c>
      <c r="L742">
        <v>71.86</v>
      </c>
      <c r="M742" t="s">
        <v>40</v>
      </c>
    </row>
    <row r="743" spans="1:13" x14ac:dyDescent="0.3">
      <c r="A743" t="s">
        <v>1873</v>
      </c>
      <c r="B743" t="s">
        <v>697</v>
      </c>
      <c r="C743" t="s">
        <v>116</v>
      </c>
      <c r="D743" s="7" t="s">
        <v>322</v>
      </c>
      <c r="E743" t="s">
        <v>17</v>
      </c>
      <c r="F743" t="s">
        <v>18</v>
      </c>
      <c r="G743" t="s">
        <v>45</v>
      </c>
      <c r="H743">
        <v>1</v>
      </c>
      <c r="I743">
        <v>84.18</v>
      </c>
      <c r="J743">
        <v>0.1</v>
      </c>
      <c r="K743">
        <v>75.760000000000005</v>
      </c>
      <c r="L743">
        <v>16.899999999999999</v>
      </c>
      <c r="M743" t="s">
        <v>35</v>
      </c>
    </row>
    <row r="744" spans="1:13" x14ac:dyDescent="0.3">
      <c r="A744" t="s">
        <v>1874</v>
      </c>
      <c r="B744" t="s">
        <v>1015</v>
      </c>
      <c r="C744" t="s">
        <v>800</v>
      </c>
      <c r="D744" s="7" t="s">
        <v>1072</v>
      </c>
      <c r="E744" t="s">
        <v>64</v>
      </c>
      <c r="F744" t="s">
        <v>18</v>
      </c>
      <c r="G744" t="s">
        <v>79</v>
      </c>
      <c r="H744">
        <v>6</v>
      </c>
      <c r="I744">
        <v>239.5</v>
      </c>
      <c r="J744">
        <v>0</v>
      </c>
      <c r="K744">
        <v>1437</v>
      </c>
      <c r="L744">
        <v>303.83</v>
      </c>
      <c r="M744" t="s">
        <v>20</v>
      </c>
    </row>
    <row r="745" spans="1:13" x14ac:dyDescent="0.3">
      <c r="A745" t="s">
        <v>1875</v>
      </c>
      <c r="B745" t="s">
        <v>66</v>
      </c>
      <c r="C745" t="s">
        <v>926</v>
      </c>
      <c r="D745" s="7" t="s">
        <v>300</v>
      </c>
      <c r="E745" t="s">
        <v>32</v>
      </c>
      <c r="F745" t="s">
        <v>33</v>
      </c>
      <c r="G745" t="s">
        <v>69</v>
      </c>
      <c r="H745">
        <v>5</v>
      </c>
      <c r="I745">
        <v>24.06</v>
      </c>
      <c r="J745">
        <v>0</v>
      </c>
      <c r="K745">
        <v>120.3</v>
      </c>
      <c r="L745">
        <v>25.94</v>
      </c>
      <c r="M745" t="s">
        <v>35</v>
      </c>
    </row>
    <row r="746" spans="1:13" x14ac:dyDescent="0.3">
      <c r="A746" t="s">
        <v>1876</v>
      </c>
      <c r="B746" t="s">
        <v>1198</v>
      </c>
      <c r="C746" t="s">
        <v>1102</v>
      </c>
      <c r="D746" s="7" t="s">
        <v>1856</v>
      </c>
      <c r="E746" t="s">
        <v>64</v>
      </c>
      <c r="F746" t="s">
        <v>26</v>
      </c>
      <c r="G746" t="s">
        <v>118</v>
      </c>
      <c r="H746">
        <v>2</v>
      </c>
      <c r="I746">
        <v>151.47</v>
      </c>
      <c r="J746">
        <v>0.1</v>
      </c>
      <c r="K746">
        <v>272.64999999999998</v>
      </c>
      <c r="L746">
        <v>51.96</v>
      </c>
      <c r="M746" t="s">
        <v>35</v>
      </c>
    </row>
    <row r="747" spans="1:13" x14ac:dyDescent="0.3">
      <c r="A747" t="s">
        <v>1877</v>
      </c>
      <c r="B747" t="s">
        <v>728</v>
      </c>
      <c r="C747" t="s">
        <v>93</v>
      </c>
      <c r="D747" s="7" t="s">
        <v>445</v>
      </c>
      <c r="E747" t="s">
        <v>64</v>
      </c>
      <c r="F747" t="s">
        <v>18</v>
      </c>
      <c r="G747" t="s">
        <v>79</v>
      </c>
      <c r="H747">
        <v>6</v>
      </c>
      <c r="I747">
        <v>117.25</v>
      </c>
      <c r="J747">
        <v>0.05</v>
      </c>
      <c r="K747">
        <v>668.32</v>
      </c>
      <c r="L747">
        <v>178.44</v>
      </c>
      <c r="M747" t="s">
        <v>20</v>
      </c>
    </row>
    <row r="748" spans="1:13" x14ac:dyDescent="0.3">
      <c r="A748" t="s">
        <v>1878</v>
      </c>
      <c r="B748" t="s">
        <v>1879</v>
      </c>
      <c r="C748" t="s">
        <v>57</v>
      </c>
      <c r="D748" s="7" t="s">
        <v>1278</v>
      </c>
      <c r="E748" t="s">
        <v>64</v>
      </c>
      <c r="F748" t="s">
        <v>89</v>
      </c>
      <c r="G748" t="s">
        <v>90</v>
      </c>
      <c r="H748">
        <v>5</v>
      </c>
      <c r="I748">
        <v>195.46</v>
      </c>
      <c r="J748">
        <v>0.15</v>
      </c>
      <c r="K748">
        <v>830.71</v>
      </c>
      <c r="L748">
        <v>240.3</v>
      </c>
      <c r="M748" t="s">
        <v>20</v>
      </c>
    </row>
    <row r="749" spans="1:13" x14ac:dyDescent="0.3">
      <c r="A749" t="s">
        <v>1880</v>
      </c>
      <c r="B749" t="s">
        <v>1108</v>
      </c>
      <c r="C749" t="s">
        <v>1881</v>
      </c>
      <c r="D749" s="7" t="s">
        <v>141</v>
      </c>
      <c r="E749" t="s">
        <v>32</v>
      </c>
      <c r="F749" t="s">
        <v>26</v>
      </c>
      <c r="G749" t="s">
        <v>27</v>
      </c>
      <c r="H749">
        <v>3</v>
      </c>
      <c r="I749">
        <v>123.97</v>
      </c>
      <c r="J749">
        <v>0.05</v>
      </c>
      <c r="K749">
        <v>353.31</v>
      </c>
      <c r="L749">
        <v>90.81</v>
      </c>
      <c r="M749" t="s">
        <v>40</v>
      </c>
    </row>
    <row r="750" spans="1:13" x14ac:dyDescent="0.3">
      <c r="A750" t="s">
        <v>1882</v>
      </c>
      <c r="B750" t="s">
        <v>1883</v>
      </c>
      <c r="C750" t="s">
        <v>1090</v>
      </c>
      <c r="D750" s="7" t="s">
        <v>1884</v>
      </c>
      <c r="E750" t="s">
        <v>17</v>
      </c>
      <c r="F750" t="s">
        <v>33</v>
      </c>
      <c r="G750" t="s">
        <v>69</v>
      </c>
      <c r="H750">
        <v>6</v>
      </c>
      <c r="I750">
        <v>140.32</v>
      </c>
      <c r="J750">
        <v>0.05</v>
      </c>
      <c r="K750">
        <v>799.82</v>
      </c>
      <c r="L750">
        <v>181.84</v>
      </c>
      <c r="M750" t="s">
        <v>35</v>
      </c>
    </row>
    <row r="751" spans="1:13" x14ac:dyDescent="0.3">
      <c r="A751" t="s">
        <v>1885</v>
      </c>
      <c r="B751" t="s">
        <v>1226</v>
      </c>
      <c r="C751" t="s">
        <v>729</v>
      </c>
      <c r="D751" s="7" t="s">
        <v>851</v>
      </c>
      <c r="E751" t="s">
        <v>64</v>
      </c>
      <c r="F751" t="s">
        <v>89</v>
      </c>
      <c r="G751" t="s">
        <v>90</v>
      </c>
      <c r="H751">
        <v>7</v>
      </c>
      <c r="I751">
        <v>76.91</v>
      </c>
      <c r="J751">
        <v>0.15</v>
      </c>
      <c r="K751">
        <v>457.61</v>
      </c>
      <c r="L751">
        <v>95</v>
      </c>
      <c r="M751" t="s">
        <v>40</v>
      </c>
    </row>
    <row r="752" spans="1:13" x14ac:dyDescent="0.3">
      <c r="A752" t="s">
        <v>1886</v>
      </c>
      <c r="B752" t="s">
        <v>385</v>
      </c>
      <c r="C752" t="s">
        <v>1817</v>
      </c>
      <c r="D752" s="7" t="s">
        <v>427</v>
      </c>
      <c r="E752" t="s">
        <v>17</v>
      </c>
      <c r="F752" t="s">
        <v>18</v>
      </c>
      <c r="G752" t="s">
        <v>79</v>
      </c>
      <c r="H752">
        <v>3</v>
      </c>
      <c r="I752">
        <v>241.6</v>
      </c>
      <c r="J752">
        <v>0.1</v>
      </c>
      <c r="K752">
        <v>652.32000000000005</v>
      </c>
      <c r="L752">
        <v>153.69</v>
      </c>
      <c r="M752" t="s">
        <v>35</v>
      </c>
    </row>
    <row r="753" spans="1:13" x14ac:dyDescent="0.3">
      <c r="A753" t="s">
        <v>1887</v>
      </c>
      <c r="B753" t="s">
        <v>544</v>
      </c>
      <c r="C753" t="s">
        <v>1888</v>
      </c>
      <c r="D753" s="7" t="s">
        <v>1889</v>
      </c>
      <c r="E753" t="s">
        <v>64</v>
      </c>
      <c r="F753" t="s">
        <v>89</v>
      </c>
      <c r="G753" t="s">
        <v>131</v>
      </c>
      <c r="H753">
        <v>1</v>
      </c>
      <c r="I753">
        <v>31.95</v>
      </c>
      <c r="J753">
        <v>0</v>
      </c>
      <c r="K753">
        <v>31.95</v>
      </c>
      <c r="L753">
        <v>8.08</v>
      </c>
      <c r="M753" t="s">
        <v>20</v>
      </c>
    </row>
    <row r="754" spans="1:13" x14ac:dyDescent="0.3">
      <c r="A754" t="s">
        <v>1890</v>
      </c>
      <c r="B754" t="s">
        <v>708</v>
      </c>
      <c r="C754" t="s">
        <v>565</v>
      </c>
      <c r="D754" s="7" t="s">
        <v>995</v>
      </c>
      <c r="E754" t="s">
        <v>64</v>
      </c>
      <c r="F754" t="s">
        <v>26</v>
      </c>
      <c r="G754" t="s">
        <v>27</v>
      </c>
      <c r="H754">
        <v>8</v>
      </c>
      <c r="I754">
        <v>56.13</v>
      </c>
      <c r="J754">
        <v>0.1</v>
      </c>
      <c r="K754">
        <v>404.14</v>
      </c>
      <c r="L754">
        <v>82.94</v>
      </c>
      <c r="M754" t="s">
        <v>20</v>
      </c>
    </row>
    <row r="755" spans="1:13" x14ac:dyDescent="0.3">
      <c r="A755" t="s">
        <v>1891</v>
      </c>
      <c r="B755" t="s">
        <v>1005</v>
      </c>
      <c r="C755" t="s">
        <v>1861</v>
      </c>
      <c r="D755" s="7" t="s">
        <v>233</v>
      </c>
      <c r="E755" t="s">
        <v>64</v>
      </c>
      <c r="F755" t="s">
        <v>18</v>
      </c>
      <c r="G755" t="s">
        <v>45</v>
      </c>
      <c r="H755">
        <v>2</v>
      </c>
      <c r="I755">
        <v>75.19</v>
      </c>
      <c r="J755">
        <v>0.05</v>
      </c>
      <c r="K755">
        <v>142.86000000000001</v>
      </c>
      <c r="L755">
        <v>14.69</v>
      </c>
      <c r="M755" t="s">
        <v>40</v>
      </c>
    </row>
    <row r="756" spans="1:13" x14ac:dyDescent="0.3">
      <c r="A756" t="s">
        <v>1892</v>
      </c>
      <c r="B756" t="s">
        <v>294</v>
      </c>
      <c r="C756" t="s">
        <v>1558</v>
      </c>
      <c r="D756" s="7" t="s">
        <v>1734</v>
      </c>
      <c r="E756" t="s">
        <v>32</v>
      </c>
      <c r="F756" t="s">
        <v>33</v>
      </c>
      <c r="G756" t="s">
        <v>69</v>
      </c>
      <c r="H756">
        <v>8</v>
      </c>
      <c r="I756">
        <v>207.99</v>
      </c>
      <c r="J756">
        <v>0</v>
      </c>
      <c r="K756">
        <v>1663.92</v>
      </c>
      <c r="L756">
        <v>270.39999999999998</v>
      </c>
      <c r="M756" t="s">
        <v>40</v>
      </c>
    </row>
    <row r="757" spans="1:13" x14ac:dyDescent="0.3">
      <c r="A757" t="s">
        <v>1893</v>
      </c>
      <c r="B757" t="s">
        <v>349</v>
      </c>
      <c r="C757" t="s">
        <v>1894</v>
      </c>
      <c r="D757" s="7" t="s">
        <v>1228</v>
      </c>
      <c r="E757" t="s">
        <v>64</v>
      </c>
      <c r="F757" t="s">
        <v>89</v>
      </c>
      <c r="G757" t="s">
        <v>150</v>
      </c>
      <c r="H757">
        <v>1</v>
      </c>
      <c r="I757">
        <v>211.84</v>
      </c>
      <c r="J757">
        <v>0</v>
      </c>
      <c r="K757">
        <v>211.84</v>
      </c>
      <c r="L757">
        <v>25.25</v>
      </c>
      <c r="M757" t="s">
        <v>40</v>
      </c>
    </row>
    <row r="758" spans="1:13" x14ac:dyDescent="0.3">
      <c r="A758" t="s">
        <v>1895</v>
      </c>
      <c r="B758" t="s">
        <v>1896</v>
      </c>
      <c r="C758" t="s">
        <v>1700</v>
      </c>
      <c r="D758" s="7" t="s">
        <v>1897</v>
      </c>
      <c r="E758" t="s">
        <v>17</v>
      </c>
      <c r="F758" t="s">
        <v>89</v>
      </c>
      <c r="G758" t="s">
        <v>150</v>
      </c>
      <c r="H758">
        <v>4</v>
      </c>
      <c r="I758">
        <v>51.42</v>
      </c>
      <c r="J758">
        <v>0.1</v>
      </c>
      <c r="K758">
        <v>185.11</v>
      </c>
      <c r="L758">
        <v>48.65</v>
      </c>
      <c r="M758" t="s">
        <v>20</v>
      </c>
    </row>
    <row r="759" spans="1:13" x14ac:dyDescent="0.3">
      <c r="A759" t="s">
        <v>1898</v>
      </c>
      <c r="B759" t="s">
        <v>248</v>
      </c>
      <c r="C759" t="s">
        <v>200</v>
      </c>
      <c r="D759" s="7" t="s">
        <v>1899</v>
      </c>
      <c r="E759" t="s">
        <v>59</v>
      </c>
      <c r="F759" t="s">
        <v>33</v>
      </c>
      <c r="G759" t="s">
        <v>74</v>
      </c>
      <c r="H759">
        <v>7</v>
      </c>
      <c r="I759">
        <v>181.33</v>
      </c>
      <c r="J759">
        <v>0.1</v>
      </c>
      <c r="K759">
        <v>1142.3800000000001</v>
      </c>
      <c r="L759">
        <v>92.01</v>
      </c>
      <c r="M759" t="s">
        <v>35</v>
      </c>
    </row>
    <row r="760" spans="1:13" x14ac:dyDescent="0.3">
      <c r="A760" t="s">
        <v>1900</v>
      </c>
      <c r="B760" t="s">
        <v>1879</v>
      </c>
      <c r="C760" t="s">
        <v>507</v>
      </c>
      <c r="D760" s="7" t="s">
        <v>1245</v>
      </c>
      <c r="E760" t="s">
        <v>64</v>
      </c>
      <c r="F760" t="s">
        <v>26</v>
      </c>
      <c r="G760" t="s">
        <v>84</v>
      </c>
      <c r="H760">
        <v>1</v>
      </c>
      <c r="I760">
        <v>118.72</v>
      </c>
      <c r="J760">
        <v>0.1</v>
      </c>
      <c r="K760">
        <v>106.85</v>
      </c>
      <c r="L760">
        <v>26.83</v>
      </c>
      <c r="M760" t="s">
        <v>40</v>
      </c>
    </row>
    <row r="761" spans="1:13" x14ac:dyDescent="0.3">
      <c r="A761" t="s">
        <v>1901</v>
      </c>
      <c r="B761" t="s">
        <v>1629</v>
      </c>
      <c r="C761" t="s">
        <v>861</v>
      </c>
      <c r="D761" s="7" t="s">
        <v>1902</v>
      </c>
      <c r="E761" t="s">
        <v>64</v>
      </c>
      <c r="F761" t="s">
        <v>89</v>
      </c>
      <c r="G761" t="s">
        <v>150</v>
      </c>
      <c r="H761">
        <v>7</v>
      </c>
      <c r="I761">
        <v>220.63</v>
      </c>
      <c r="J761">
        <v>0.05</v>
      </c>
      <c r="K761">
        <v>1467.19</v>
      </c>
      <c r="L761">
        <v>377.91</v>
      </c>
      <c r="M761" t="s">
        <v>40</v>
      </c>
    </row>
    <row r="762" spans="1:13" x14ac:dyDescent="0.3">
      <c r="A762" t="s">
        <v>1903</v>
      </c>
      <c r="B762" t="s">
        <v>1408</v>
      </c>
      <c r="C762" t="s">
        <v>633</v>
      </c>
      <c r="D762" s="7" t="s">
        <v>1904</v>
      </c>
      <c r="E762" t="s">
        <v>59</v>
      </c>
      <c r="F762" t="s">
        <v>33</v>
      </c>
      <c r="G762" t="s">
        <v>69</v>
      </c>
      <c r="H762">
        <v>3</v>
      </c>
      <c r="I762">
        <v>30.52</v>
      </c>
      <c r="J762">
        <v>0</v>
      </c>
      <c r="K762">
        <v>91.56</v>
      </c>
      <c r="L762">
        <v>21.75</v>
      </c>
      <c r="M762" t="s">
        <v>20</v>
      </c>
    </row>
    <row r="763" spans="1:13" x14ac:dyDescent="0.3">
      <c r="A763" t="s">
        <v>1905</v>
      </c>
      <c r="B763" t="s">
        <v>1081</v>
      </c>
      <c r="C763" t="s">
        <v>1331</v>
      </c>
      <c r="D763" s="7" t="s">
        <v>1122</v>
      </c>
      <c r="E763" t="s">
        <v>17</v>
      </c>
      <c r="F763" t="s">
        <v>18</v>
      </c>
      <c r="G763" t="s">
        <v>79</v>
      </c>
      <c r="H763">
        <v>8</v>
      </c>
      <c r="I763">
        <v>54.97</v>
      </c>
      <c r="J763">
        <v>0</v>
      </c>
      <c r="K763">
        <v>439.76</v>
      </c>
      <c r="L763">
        <v>59.69</v>
      </c>
      <c r="M763" t="s">
        <v>20</v>
      </c>
    </row>
    <row r="764" spans="1:13" x14ac:dyDescent="0.3">
      <c r="A764" t="s">
        <v>1906</v>
      </c>
      <c r="B764" t="s">
        <v>856</v>
      </c>
      <c r="C764" t="s">
        <v>1861</v>
      </c>
      <c r="D764" s="7" t="s">
        <v>1655</v>
      </c>
      <c r="E764" t="s">
        <v>17</v>
      </c>
      <c r="F764" t="s">
        <v>33</v>
      </c>
      <c r="G764" t="s">
        <v>50</v>
      </c>
      <c r="H764">
        <v>5</v>
      </c>
      <c r="I764">
        <v>180.88</v>
      </c>
      <c r="J764">
        <v>0.05</v>
      </c>
      <c r="K764">
        <v>859.18</v>
      </c>
      <c r="L764">
        <v>214.82</v>
      </c>
      <c r="M764" t="s">
        <v>35</v>
      </c>
    </row>
    <row r="765" spans="1:13" x14ac:dyDescent="0.3">
      <c r="A765" t="s">
        <v>1907</v>
      </c>
      <c r="B765" t="s">
        <v>731</v>
      </c>
      <c r="C765" t="s">
        <v>1749</v>
      </c>
      <c r="D765" s="7" t="s">
        <v>1904</v>
      </c>
      <c r="E765" t="s">
        <v>17</v>
      </c>
      <c r="F765" t="s">
        <v>18</v>
      </c>
      <c r="G765" t="s">
        <v>79</v>
      </c>
      <c r="H765">
        <v>8</v>
      </c>
      <c r="I765">
        <v>226.82</v>
      </c>
      <c r="J765">
        <v>0.15</v>
      </c>
      <c r="K765">
        <v>1542.38</v>
      </c>
      <c r="L765">
        <v>274</v>
      </c>
      <c r="M765" t="s">
        <v>20</v>
      </c>
    </row>
    <row r="766" spans="1:13" x14ac:dyDescent="0.3">
      <c r="A766" t="s">
        <v>1908</v>
      </c>
      <c r="B766" t="s">
        <v>650</v>
      </c>
      <c r="C766" t="s">
        <v>1728</v>
      </c>
      <c r="D766" s="7" t="s">
        <v>1622</v>
      </c>
      <c r="E766" t="s">
        <v>64</v>
      </c>
      <c r="F766" t="s">
        <v>89</v>
      </c>
      <c r="G766" t="s">
        <v>131</v>
      </c>
      <c r="H766">
        <v>5</v>
      </c>
      <c r="I766">
        <v>29.22</v>
      </c>
      <c r="J766">
        <v>0.15</v>
      </c>
      <c r="K766">
        <v>124.18</v>
      </c>
      <c r="L766">
        <v>33.5</v>
      </c>
      <c r="M766" t="s">
        <v>35</v>
      </c>
    </row>
    <row r="767" spans="1:13" x14ac:dyDescent="0.3">
      <c r="A767" t="s">
        <v>1909</v>
      </c>
      <c r="B767" t="s">
        <v>722</v>
      </c>
      <c r="C767" t="s">
        <v>152</v>
      </c>
      <c r="D767" s="7" t="s">
        <v>1910</v>
      </c>
      <c r="E767" t="s">
        <v>32</v>
      </c>
      <c r="F767" t="s">
        <v>89</v>
      </c>
      <c r="G767" t="s">
        <v>150</v>
      </c>
      <c r="H767">
        <v>2</v>
      </c>
      <c r="I767">
        <v>249.82</v>
      </c>
      <c r="J767">
        <v>0.05</v>
      </c>
      <c r="K767">
        <v>474.66</v>
      </c>
      <c r="L767">
        <v>39.380000000000003</v>
      </c>
      <c r="M767" t="s">
        <v>35</v>
      </c>
    </row>
    <row r="768" spans="1:13" x14ac:dyDescent="0.3">
      <c r="A768" t="s">
        <v>1911</v>
      </c>
      <c r="B768" t="s">
        <v>1733</v>
      </c>
      <c r="C768" t="s">
        <v>177</v>
      </c>
      <c r="D768" s="7" t="s">
        <v>1375</v>
      </c>
      <c r="E768" t="s">
        <v>32</v>
      </c>
      <c r="F768" t="s">
        <v>33</v>
      </c>
      <c r="G768" t="s">
        <v>50</v>
      </c>
      <c r="H768">
        <v>8</v>
      </c>
      <c r="I768">
        <v>91.08</v>
      </c>
      <c r="J768">
        <v>0.1</v>
      </c>
      <c r="K768">
        <v>655.78</v>
      </c>
      <c r="L768">
        <v>106.64</v>
      </c>
      <c r="M768" t="s">
        <v>20</v>
      </c>
    </row>
    <row r="769" spans="1:13" x14ac:dyDescent="0.3">
      <c r="A769" t="s">
        <v>1912</v>
      </c>
      <c r="B769" t="s">
        <v>1155</v>
      </c>
      <c r="C769" t="s">
        <v>834</v>
      </c>
      <c r="D769" s="7" t="s">
        <v>919</v>
      </c>
      <c r="E769" t="s">
        <v>59</v>
      </c>
      <c r="F769" t="s">
        <v>18</v>
      </c>
      <c r="G769" t="s">
        <v>45</v>
      </c>
      <c r="H769">
        <v>6</v>
      </c>
      <c r="I769">
        <v>145.27000000000001</v>
      </c>
      <c r="J769">
        <v>0.05</v>
      </c>
      <c r="K769">
        <v>828.04</v>
      </c>
      <c r="L769">
        <v>85.54</v>
      </c>
      <c r="M769" t="s">
        <v>20</v>
      </c>
    </row>
    <row r="770" spans="1:13" x14ac:dyDescent="0.3">
      <c r="A770" t="s">
        <v>1913</v>
      </c>
      <c r="B770" t="s">
        <v>1883</v>
      </c>
      <c r="C770" t="s">
        <v>230</v>
      </c>
      <c r="D770" s="7" t="s">
        <v>1914</v>
      </c>
      <c r="E770" t="s">
        <v>17</v>
      </c>
      <c r="F770" t="s">
        <v>26</v>
      </c>
      <c r="G770" t="s">
        <v>27</v>
      </c>
      <c r="H770">
        <v>8</v>
      </c>
      <c r="I770">
        <v>53.73</v>
      </c>
      <c r="J770">
        <v>0.05</v>
      </c>
      <c r="K770">
        <v>408.35</v>
      </c>
      <c r="L770">
        <v>45.64</v>
      </c>
      <c r="M770" t="s">
        <v>40</v>
      </c>
    </row>
    <row r="771" spans="1:13" x14ac:dyDescent="0.3">
      <c r="A771" t="s">
        <v>1915</v>
      </c>
      <c r="B771" t="s">
        <v>1710</v>
      </c>
      <c r="C771" t="s">
        <v>458</v>
      </c>
      <c r="D771" s="7" t="s">
        <v>1583</v>
      </c>
      <c r="E771" t="s">
        <v>17</v>
      </c>
      <c r="F771" t="s">
        <v>18</v>
      </c>
      <c r="G771" t="s">
        <v>45</v>
      </c>
      <c r="H771">
        <v>8</v>
      </c>
      <c r="I771">
        <v>132.35</v>
      </c>
      <c r="J771">
        <v>0.1</v>
      </c>
      <c r="K771">
        <v>952.92</v>
      </c>
      <c r="L771">
        <v>212.59</v>
      </c>
      <c r="M771" t="s">
        <v>40</v>
      </c>
    </row>
    <row r="772" spans="1:13" x14ac:dyDescent="0.3">
      <c r="A772" t="s">
        <v>1916</v>
      </c>
      <c r="B772" t="s">
        <v>530</v>
      </c>
      <c r="C772" t="s">
        <v>654</v>
      </c>
      <c r="D772" s="7" t="s">
        <v>1250</v>
      </c>
      <c r="E772" t="s">
        <v>59</v>
      </c>
      <c r="F772" t="s">
        <v>18</v>
      </c>
      <c r="G772" t="s">
        <v>19</v>
      </c>
      <c r="H772">
        <v>1</v>
      </c>
      <c r="I772">
        <v>48.91</v>
      </c>
      <c r="J772">
        <v>0.15</v>
      </c>
      <c r="K772">
        <v>41.57</v>
      </c>
      <c r="L772">
        <v>12.46</v>
      </c>
      <c r="M772" t="s">
        <v>20</v>
      </c>
    </row>
    <row r="773" spans="1:13" x14ac:dyDescent="0.3">
      <c r="A773" t="s">
        <v>1917</v>
      </c>
      <c r="B773" t="s">
        <v>503</v>
      </c>
      <c r="C773" t="s">
        <v>1918</v>
      </c>
      <c r="D773" s="7" t="s">
        <v>153</v>
      </c>
      <c r="E773" t="s">
        <v>25</v>
      </c>
      <c r="F773" t="s">
        <v>89</v>
      </c>
      <c r="G773" t="s">
        <v>131</v>
      </c>
      <c r="H773">
        <v>8</v>
      </c>
      <c r="I773">
        <v>170.07</v>
      </c>
      <c r="J773">
        <v>0.15</v>
      </c>
      <c r="K773">
        <v>1156.48</v>
      </c>
      <c r="L773">
        <v>93.64</v>
      </c>
      <c r="M773" t="s">
        <v>35</v>
      </c>
    </row>
    <row r="774" spans="1:13" x14ac:dyDescent="0.3">
      <c r="A774" t="s">
        <v>1919</v>
      </c>
      <c r="B774" t="s">
        <v>294</v>
      </c>
      <c r="C774" t="s">
        <v>1920</v>
      </c>
      <c r="D774" s="7" t="s">
        <v>149</v>
      </c>
      <c r="E774" t="s">
        <v>17</v>
      </c>
      <c r="F774" t="s">
        <v>18</v>
      </c>
      <c r="G774" t="s">
        <v>79</v>
      </c>
      <c r="H774">
        <v>4</v>
      </c>
      <c r="I774">
        <v>214.47</v>
      </c>
      <c r="J774">
        <v>0</v>
      </c>
      <c r="K774">
        <v>857.88</v>
      </c>
      <c r="L774">
        <v>239.83</v>
      </c>
      <c r="M774" t="s">
        <v>20</v>
      </c>
    </row>
    <row r="775" spans="1:13" x14ac:dyDescent="0.3">
      <c r="A775" t="s">
        <v>1921</v>
      </c>
      <c r="B775" t="s">
        <v>1428</v>
      </c>
      <c r="C775" t="s">
        <v>1922</v>
      </c>
      <c r="D775" s="7" t="s">
        <v>1923</v>
      </c>
      <c r="E775" t="s">
        <v>32</v>
      </c>
      <c r="F775" t="s">
        <v>89</v>
      </c>
      <c r="G775" t="s">
        <v>90</v>
      </c>
      <c r="H775">
        <v>2</v>
      </c>
      <c r="I775">
        <v>116.98</v>
      </c>
      <c r="J775">
        <v>0.05</v>
      </c>
      <c r="K775">
        <v>222.26</v>
      </c>
      <c r="L775">
        <v>22.47</v>
      </c>
      <c r="M775" t="s">
        <v>20</v>
      </c>
    </row>
    <row r="776" spans="1:13" x14ac:dyDescent="0.3">
      <c r="A776" t="s">
        <v>1924</v>
      </c>
      <c r="B776" t="s">
        <v>1925</v>
      </c>
      <c r="C776" t="s">
        <v>1926</v>
      </c>
      <c r="D776" s="7" t="s">
        <v>1436</v>
      </c>
      <c r="E776" t="s">
        <v>59</v>
      </c>
      <c r="F776" t="s">
        <v>33</v>
      </c>
      <c r="G776" t="s">
        <v>74</v>
      </c>
      <c r="H776">
        <v>8</v>
      </c>
      <c r="I776">
        <v>127.95</v>
      </c>
      <c r="J776">
        <v>0.15</v>
      </c>
      <c r="K776">
        <v>870.06</v>
      </c>
      <c r="L776">
        <v>237.43</v>
      </c>
      <c r="M776" t="s">
        <v>40</v>
      </c>
    </row>
    <row r="777" spans="1:13" x14ac:dyDescent="0.3">
      <c r="A777" t="s">
        <v>1927</v>
      </c>
      <c r="B777" t="s">
        <v>900</v>
      </c>
      <c r="C777" t="s">
        <v>303</v>
      </c>
      <c r="D777" s="7" t="s">
        <v>227</v>
      </c>
      <c r="E777" t="s">
        <v>32</v>
      </c>
      <c r="F777" t="s">
        <v>18</v>
      </c>
      <c r="G777" t="s">
        <v>79</v>
      </c>
      <c r="H777">
        <v>1</v>
      </c>
      <c r="I777">
        <v>129.34</v>
      </c>
      <c r="J777">
        <v>0.1</v>
      </c>
      <c r="K777">
        <v>116.41</v>
      </c>
      <c r="L777">
        <v>26.03</v>
      </c>
      <c r="M777" t="s">
        <v>40</v>
      </c>
    </row>
    <row r="778" spans="1:13" x14ac:dyDescent="0.3">
      <c r="A778" t="s">
        <v>1928</v>
      </c>
      <c r="B778" t="s">
        <v>335</v>
      </c>
      <c r="C778" t="s">
        <v>253</v>
      </c>
      <c r="D778" s="7" t="s">
        <v>808</v>
      </c>
      <c r="E778" t="s">
        <v>59</v>
      </c>
      <c r="F778" t="s">
        <v>26</v>
      </c>
      <c r="G778" t="s">
        <v>84</v>
      </c>
      <c r="H778">
        <v>6</v>
      </c>
      <c r="I778">
        <v>102.22</v>
      </c>
      <c r="J778">
        <v>0</v>
      </c>
      <c r="K778">
        <v>613.32000000000005</v>
      </c>
      <c r="L778">
        <v>102.58</v>
      </c>
      <c r="M778" t="s">
        <v>35</v>
      </c>
    </row>
    <row r="779" spans="1:13" x14ac:dyDescent="0.3">
      <c r="A779" t="s">
        <v>1929</v>
      </c>
      <c r="B779" t="s">
        <v>163</v>
      </c>
      <c r="C779" t="s">
        <v>637</v>
      </c>
      <c r="D779" s="7" t="s">
        <v>601</v>
      </c>
      <c r="E779" t="s">
        <v>25</v>
      </c>
      <c r="F779" t="s">
        <v>33</v>
      </c>
      <c r="G779" t="s">
        <v>50</v>
      </c>
      <c r="H779">
        <v>5</v>
      </c>
      <c r="I779">
        <v>70.239999999999995</v>
      </c>
      <c r="J779">
        <v>0.05</v>
      </c>
      <c r="K779">
        <v>333.64</v>
      </c>
      <c r="L779">
        <v>41.24</v>
      </c>
      <c r="M779" t="s">
        <v>20</v>
      </c>
    </row>
    <row r="780" spans="1:13" x14ac:dyDescent="0.3">
      <c r="A780" t="s">
        <v>1930</v>
      </c>
      <c r="B780" t="s">
        <v>1931</v>
      </c>
      <c r="C780" t="s">
        <v>1932</v>
      </c>
      <c r="D780" s="7" t="s">
        <v>1250</v>
      </c>
      <c r="E780" t="s">
        <v>25</v>
      </c>
      <c r="F780" t="s">
        <v>33</v>
      </c>
      <c r="G780" t="s">
        <v>50</v>
      </c>
      <c r="H780">
        <v>1</v>
      </c>
      <c r="I780">
        <v>106</v>
      </c>
      <c r="J780">
        <v>0</v>
      </c>
      <c r="K780">
        <v>106</v>
      </c>
      <c r="L780">
        <v>13.35</v>
      </c>
      <c r="M780" t="s">
        <v>35</v>
      </c>
    </row>
    <row r="781" spans="1:13" x14ac:dyDescent="0.3">
      <c r="A781" t="s">
        <v>1933</v>
      </c>
      <c r="B781" t="s">
        <v>731</v>
      </c>
      <c r="C781" t="s">
        <v>725</v>
      </c>
      <c r="D781" s="7" t="s">
        <v>1934</v>
      </c>
      <c r="E781" t="s">
        <v>17</v>
      </c>
      <c r="F781" t="s">
        <v>26</v>
      </c>
      <c r="G781" t="s">
        <v>84</v>
      </c>
      <c r="H781">
        <v>5</v>
      </c>
      <c r="I781">
        <v>182.08</v>
      </c>
      <c r="J781">
        <v>0.15</v>
      </c>
      <c r="K781">
        <v>773.84</v>
      </c>
      <c r="L781">
        <v>103.24</v>
      </c>
      <c r="M781" t="s">
        <v>20</v>
      </c>
    </row>
    <row r="782" spans="1:13" x14ac:dyDescent="0.3">
      <c r="A782" t="s">
        <v>1935</v>
      </c>
      <c r="B782" t="s">
        <v>636</v>
      </c>
      <c r="C782" t="s">
        <v>1936</v>
      </c>
      <c r="D782" s="7" t="s">
        <v>1701</v>
      </c>
      <c r="E782" t="s">
        <v>25</v>
      </c>
      <c r="F782" t="s">
        <v>33</v>
      </c>
      <c r="G782" t="s">
        <v>69</v>
      </c>
      <c r="H782">
        <v>1</v>
      </c>
      <c r="I782">
        <v>59.51</v>
      </c>
      <c r="J782">
        <v>0.1</v>
      </c>
      <c r="K782">
        <v>53.56</v>
      </c>
      <c r="L782">
        <v>5.56</v>
      </c>
      <c r="M782" t="s">
        <v>20</v>
      </c>
    </row>
    <row r="783" spans="1:13" x14ac:dyDescent="0.3">
      <c r="A783" t="s">
        <v>1937</v>
      </c>
      <c r="B783" t="s">
        <v>140</v>
      </c>
      <c r="C783" t="s">
        <v>740</v>
      </c>
      <c r="D783" s="7" t="s">
        <v>624</v>
      </c>
      <c r="E783" t="s">
        <v>25</v>
      </c>
      <c r="F783" t="s">
        <v>26</v>
      </c>
      <c r="G783" t="s">
        <v>27</v>
      </c>
      <c r="H783">
        <v>1</v>
      </c>
      <c r="I783">
        <v>180.09</v>
      </c>
      <c r="J783">
        <v>0</v>
      </c>
      <c r="K783">
        <v>180.09</v>
      </c>
      <c r="L783">
        <v>23.11</v>
      </c>
      <c r="M783" t="s">
        <v>35</v>
      </c>
    </row>
    <row r="784" spans="1:13" x14ac:dyDescent="0.3">
      <c r="A784" t="s">
        <v>1938</v>
      </c>
      <c r="B784" t="s">
        <v>335</v>
      </c>
      <c r="C784" t="s">
        <v>474</v>
      </c>
      <c r="D784" s="7" t="s">
        <v>1272</v>
      </c>
      <c r="E784" t="s">
        <v>17</v>
      </c>
      <c r="F784" t="s">
        <v>33</v>
      </c>
      <c r="G784" t="s">
        <v>34</v>
      </c>
      <c r="H784">
        <v>7</v>
      </c>
      <c r="I784">
        <v>92.4</v>
      </c>
      <c r="J784">
        <v>0</v>
      </c>
      <c r="K784">
        <v>646.79999999999995</v>
      </c>
      <c r="L784">
        <v>143.03</v>
      </c>
      <c r="M784" t="s">
        <v>40</v>
      </c>
    </row>
    <row r="785" spans="1:13" x14ac:dyDescent="0.3">
      <c r="A785" t="s">
        <v>1939</v>
      </c>
      <c r="B785" t="s">
        <v>686</v>
      </c>
      <c r="C785" t="s">
        <v>321</v>
      </c>
      <c r="D785" s="7" t="s">
        <v>495</v>
      </c>
      <c r="E785" t="s">
        <v>32</v>
      </c>
      <c r="F785" t="s">
        <v>33</v>
      </c>
      <c r="G785" t="s">
        <v>50</v>
      </c>
      <c r="H785">
        <v>6</v>
      </c>
      <c r="I785">
        <v>35.69</v>
      </c>
      <c r="J785">
        <v>0.1</v>
      </c>
      <c r="K785">
        <v>192.73</v>
      </c>
      <c r="L785">
        <v>49.82</v>
      </c>
      <c r="M785" t="s">
        <v>40</v>
      </c>
    </row>
    <row r="786" spans="1:13" x14ac:dyDescent="0.3">
      <c r="A786" t="s">
        <v>1940</v>
      </c>
      <c r="B786" t="s">
        <v>423</v>
      </c>
      <c r="C786" t="s">
        <v>660</v>
      </c>
      <c r="D786" s="7" t="s">
        <v>441</v>
      </c>
      <c r="E786" t="s">
        <v>32</v>
      </c>
      <c r="F786" t="s">
        <v>89</v>
      </c>
      <c r="G786" t="s">
        <v>131</v>
      </c>
      <c r="H786">
        <v>4</v>
      </c>
      <c r="I786">
        <v>194.36</v>
      </c>
      <c r="J786">
        <v>0.1</v>
      </c>
      <c r="K786">
        <v>699.7</v>
      </c>
      <c r="L786">
        <v>202.62</v>
      </c>
      <c r="M786" t="s">
        <v>35</v>
      </c>
    </row>
    <row r="787" spans="1:13" x14ac:dyDescent="0.3">
      <c r="A787" t="s">
        <v>1941</v>
      </c>
      <c r="B787" t="s">
        <v>392</v>
      </c>
      <c r="C787" t="s">
        <v>575</v>
      </c>
      <c r="D787" s="7" t="s">
        <v>280</v>
      </c>
      <c r="E787" t="s">
        <v>17</v>
      </c>
      <c r="F787" t="s">
        <v>26</v>
      </c>
      <c r="G787" t="s">
        <v>27</v>
      </c>
      <c r="H787">
        <v>7</v>
      </c>
      <c r="I787">
        <v>48.61</v>
      </c>
      <c r="J787">
        <v>0.1</v>
      </c>
      <c r="K787">
        <v>306.24</v>
      </c>
      <c r="L787">
        <v>79.28</v>
      </c>
      <c r="M787" t="s">
        <v>40</v>
      </c>
    </row>
    <row r="788" spans="1:13" x14ac:dyDescent="0.3">
      <c r="A788" t="s">
        <v>1942</v>
      </c>
      <c r="B788" t="s">
        <v>856</v>
      </c>
      <c r="C788" t="s">
        <v>769</v>
      </c>
      <c r="D788" s="7" t="s">
        <v>1943</v>
      </c>
      <c r="E788" t="s">
        <v>59</v>
      </c>
      <c r="F788" t="s">
        <v>18</v>
      </c>
      <c r="G788" t="s">
        <v>79</v>
      </c>
      <c r="H788">
        <v>5</v>
      </c>
      <c r="I788">
        <v>148.44</v>
      </c>
      <c r="J788">
        <v>0.1</v>
      </c>
      <c r="K788">
        <v>667.98</v>
      </c>
      <c r="L788">
        <v>87.07</v>
      </c>
      <c r="M788" t="s">
        <v>20</v>
      </c>
    </row>
    <row r="789" spans="1:13" x14ac:dyDescent="0.3">
      <c r="A789" t="s">
        <v>1944</v>
      </c>
      <c r="B789" t="s">
        <v>964</v>
      </c>
      <c r="C789" t="s">
        <v>1523</v>
      </c>
      <c r="D789" s="7" t="s">
        <v>695</v>
      </c>
      <c r="E789" t="s">
        <v>59</v>
      </c>
      <c r="F789" t="s">
        <v>89</v>
      </c>
      <c r="G789" t="s">
        <v>90</v>
      </c>
      <c r="H789">
        <v>3</v>
      </c>
      <c r="I789">
        <v>243.52</v>
      </c>
      <c r="J789">
        <v>0.1</v>
      </c>
      <c r="K789">
        <v>657.5</v>
      </c>
      <c r="L789">
        <v>104.37</v>
      </c>
      <c r="M789" t="s">
        <v>40</v>
      </c>
    </row>
    <row r="790" spans="1:13" x14ac:dyDescent="0.3">
      <c r="A790" t="s">
        <v>1945</v>
      </c>
      <c r="B790" t="s">
        <v>242</v>
      </c>
      <c r="C790" t="s">
        <v>1831</v>
      </c>
      <c r="D790" s="7" t="s">
        <v>1946</v>
      </c>
      <c r="E790" t="s">
        <v>59</v>
      </c>
      <c r="F790" t="s">
        <v>89</v>
      </c>
      <c r="G790" t="s">
        <v>131</v>
      </c>
      <c r="H790">
        <v>2</v>
      </c>
      <c r="I790">
        <v>32.31</v>
      </c>
      <c r="J790">
        <v>0.1</v>
      </c>
      <c r="K790">
        <v>58.16</v>
      </c>
      <c r="L790">
        <v>7.46</v>
      </c>
      <c r="M790" t="s">
        <v>35</v>
      </c>
    </row>
    <row r="791" spans="1:13" x14ac:dyDescent="0.3">
      <c r="A791" t="s">
        <v>1947</v>
      </c>
      <c r="B791" t="s">
        <v>616</v>
      </c>
      <c r="C791" t="s">
        <v>1247</v>
      </c>
      <c r="D791" s="7" t="s">
        <v>475</v>
      </c>
      <c r="E791" t="s">
        <v>17</v>
      </c>
      <c r="F791" t="s">
        <v>26</v>
      </c>
      <c r="G791" t="s">
        <v>84</v>
      </c>
      <c r="H791">
        <v>1</v>
      </c>
      <c r="I791">
        <v>192.86</v>
      </c>
      <c r="J791">
        <v>0</v>
      </c>
      <c r="K791">
        <v>192.86</v>
      </c>
      <c r="L791">
        <v>17.579999999999998</v>
      </c>
      <c r="M791" t="s">
        <v>20</v>
      </c>
    </row>
    <row r="792" spans="1:13" x14ac:dyDescent="0.3">
      <c r="A792" t="s">
        <v>1948</v>
      </c>
      <c r="B792" t="s">
        <v>616</v>
      </c>
      <c r="C792" t="s">
        <v>980</v>
      </c>
      <c r="D792" s="7" t="s">
        <v>1828</v>
      </c>
      <c r="E792" t="s">
        <v>17</v>
      </c>
      <c r="F792" t="s">
        <v>18</v>
      </c>
      <c r="G792" t="s">
        <v>79</v>
      </c>
      <c r="H792">
        <v>7</v>
      </c>
      <c r="I792">
        <v>205.05</v>
      </c>
      <c r="J792">
        <v>0</v>
      </c>
      <c r="K792">
        <v>1435.35</v>
      </c>
      <c r="L792">
        <v>264.02</v>
      </c>
      <c r="M792" t="s">
        <v>35</v>
      </c>
    </row>
    <row r="793" spans="1:13" x14ac:dyDescent="0.3">
      <c r="A793" t="s">
        <v>1949</v>
      </c>
      <c r="B793" t="s">
        <v>1801</v>
      </c>
      <c r="C793" t="s">
        <v>1406</v>
      </c>
      <c r="D793" s="7" t="s">
        <v>376</v>
      </c>
      <c r="E793" t="s">
        <v>25</v>
      </c>
      <c r="F793" t="s">
        <v>33</v>
      </c>
      <c r="G793" t="s">
        <v>50</v>
      </c>
      <c r="H793">
        <v>7</v>
      </c>
      <c r="I793">
        <v>130.6</v>
      </c>
      <c r="J793">
        <v>0.1</v>
      </c>
      <c r="K793">
        <v>822.78</v>
      </c>
      <c r="L793">
        <v>192.9</v>
      </c>
      <c r="M793" t="s">
        <v>40</v>
      </c>
    </row>
    <row r="794" spans="1:13" x14ac:dyDescent="0.3">
      <c r="A794" t="s">
        <v>1950</v>
      </c>
      <c r="B794" t="s">
        <v>558</v>
      </c>
      <c r="C794" t="s">
        <v>1951</v>
      </c>
      <c r="D794" s="7" t="s">
        <v>197</v>
      </c>
      <c r="E794" t="s">
        <v>17</v>
      </c>
      <c r="F794" t="s">
        <v>18</v>
      </c>
      <c r="G794" t="s">
        <v>45</v>
      </c>
      <c r="H794">
        <v>5</v>
      </c>
      <c r="I794">
        <v>44.67</v>
      </c>
      <c r="J794">
        <v>0</v>
      </c>
      <c r="K794">
        <v>223.35</v>
      </c>
      <c r="L794">
        <v>29.08</v>
      </c>
      <c r="M794" t="s">
        <v>20</v>
      </c>
    </row>
    <row r="795" spans="1:13" x14ac:dyDescent="0.3">
      <c r="A795" t="s">
        <v>1952</v>
      </c>
      <c r="B795" t="s">
        <v>260</v>
      </c>
      <c r="C795" t="s">
        <v>958</v>
      </c>
      <c r="D795" s="7" t="s">
        <v>1484</v>
      </c>
      <c r="E795" t="s">
        <v>32</v>
      </c>
      <c r="F795" t="s">
        <v>33</v>
      </c>
      <c r="G795" t="s">
        <v>34</v>
      </c>
      <c r="H795">
        <v>6</v>
      </c>
      <c r="I795">
        <v>89.54</v>
      </c>
      <c r="J795">
        <v>0.05</v>
      </c>
      <c r="K795">
        <v>510.38</v>
      </c>
      <c r="L795">
        <v>42.92</v>
      </c>
      <c r="M795" t="s">
        <v>20</v>
      </c>
    </row>
    <row r="796" spans="1:13" x14ac:dyDescent="0.3">
      <c r="A796" t="s">
        <v>1953</v>
      </c>
      <c r="B796" t="s">
        <v>603</v>
      </c>
      <c r="C796" t="s">
        <v>204</v>
      </c>
      <c r="D796" s="7" t="s">
        <v>786</v>
      </c>
      <c r="E796" t="s">
        <v>59</v>
      </c>
      <c r="F796" t="s">
        <v>26</v>
      </c>
      <c r="G796" t="s">
        <v>118</v>
      </c>
      <c r="H796">
        <v>4</v>
      </c>
      <c r="I796">
        <v>23.44</v>
      </c>
      <c r="J796">
        <v>0</v>
      </c>
      <c r="K796">
        <v>93.76</v>
      </c>
      <c r="L796">
        <v>14.84</v>
      </c>
      <c r="M796" t="s">
        <v>20</v>
      </c>
    </row>
    <row r="797" spans="1:13" x14ac:dyDescent="0.3">
      <c r="A797" t="s">
        <v>1954</v>
      </c>
      <c r="B797" t="s">
        <v>1043</v>
      </c>
      <c r="C797" t="s">
        <v>1833</v>
      </c>
      <c r="D797" s="7" t="s">
        <v>1261</v>
      </c>
      <c r="E797" t="s">
        <v>17</v>
      </c>
      <c r="F797" t="s">
        <v>33</v>
      </c>
      <c r="G797" t="s">
        <v>69</v>
      </c>
      <c r="H797">
        <v>8</v>
      </c>
      <c r="I797">
        <v>77.13</v>
      </c>
      <c r="J797">
        <v>0</v>
      </c>
      <c r="K797">
        <v>617.04</v>
      </c>
      <c r="L797">
        <v>100.63</v>
      </c>
      <c r="M797" t="s">
        <v>35</v>
      </c>
    </row>
    <row r="798" spans="1:13" x14ac:dyDescent="0.3">
      <c r="A798" t="s">
        <v>1955</v>
      </c>
      <c r="B798" t="s">
        <v>1956</v>
      </c>
      <c r="C798" t="s">
        <v>1957</v>
      </c>
      <c r="D798" s="7" t="s">
        <v>1056</v>
      </c>
      <c r="E798" t="s">
        <v>64</v>
      </c>
      <c r="F798" t="s">
        <v>26</v>
      </c>
      <c r="G798" t="s">
        <v>27</v>
      </c>
      <c r="H798">
        <v>8</v>
      </c>
      <c r="I798">
        <v>214.26</v>
      </c>
      <c r="J798">
        <v>0.05</v>
      </c>
      <c r="K798">
        <v>1628.38</v>
      </c>
      <c r="L798">
        <v>373.85</v>
      </c>
      <c r="M798" t="s">
        <v>35</v>
      </c>
    </row>
    <row r="799" spans="1:13" x14ac:dyDescent="0.3">
      <c r="A799" t="s">
        <v>1958</v>
      </c>
      <c r="B799" t="s">
        <v>137</v>
      </c>
      <c r="C799" t="s">
        <v>1030</v>
      </c>
      <c r="D799" s="7" t="s">
        <v>1959</v>
      </c>
      <c r="E799" t="s">
        <v>59</v>
      </c>
      <c r="F799" t="s">
        <v>33</v>
      </c>
      <c r="G799" t="s">
        <v>69</v>
      </c>
      <c r="H799">
        <v>3</v>
      </c>
      <c r="I799">
        <v>214.2</v>
      </c>
      <c r="J799">
        <v>0.1</v>
      </c>
      <c r="K799">
        <v>578.34</v>
      </c>
      <c r="L799">
        <v>66.05</v>
      </c>
      <c r="M799" t="s">
        <v>20</v>
      </c>
    </row>
    <row r="800" spans="1:13" x14ac:dyDescent="0.3">
      <c r="A800" t="s">
        <v>1960</v>
      </c>
      <c r="B800" t="s">
        <v>1961</v>
      </c>
      <c r="C800" t="s">
        <v>1176</v>
      </c>
      <c r="D800" s="7" t="s">
        <v>333</v>
      </c>
      <c r="E800" t="s">
        <v>32</v>
      </c>
      <c r="F800" t="s">
        <v>89</v>
      </c>
      <c r="G800" t="s">
        <v>150</v>
      </c>
      <c r="H800">
        <v>3</v>
      </c>
      <c r="I800">
        <v>102.4</v>
      </c>
      <c r="J800">
        <v>0.05</v>
      </c>
      <c r="K800">
        <v>291.83999999999997</v>
      </c>
      <c r="L800">
        <v>55.56</v>
      </c>
      <c r="M800" t="s">
        <v>35</v>
      </c>
    </row>
    <row r="801" spans="1:13" x14ac:dyDescent="0.3">
      <c r="A801" t="s">
        <v>1962</v>
      </c>
      <c r="B801" t="s">
        <v>86</v>
      </c>
      <c r="C801" t="s">
        <v>436</v>
      </c>
      <c r="D801" s="7" t="s">
        <v>1103</v>
      </c>
      <c r="E801" t="s">
        <v>59</v>
      </c>
      <c r="F801" t="s">
        <v>26</v>
      </c>
      <c r="G801" t="s">
        <v>27</v>
      </c>
      <c r="H801">
        <v>7</v>
      </c>
      <c r="I801">
        <v>181.11</v>
      </c>
      <c r="J801">
        <v>0.15</v>
      </c>
      <c r="K801">
        <v>1077.5999999999999</v>
      </c>
      <c r="L801">
        <v>171.55</v>
      </c>
      <c r="M801" t="s">
        <v>40</v>
      </c>
    </row>
    <row r="802" spans="1:13" x14ac:dyDescent="0.3">
      <c r="A802" t="s">
        <v>1963</v>
      </c>
      <c r="B802" t="s">
        <v>1263</v>
      </c>
      <c r="C802" t="s">
        <v>471</v>
      </c>
      <c r="D802" s="7" t="s">
        <v>931</v>
      </c>
      <c r="E802" t="s">
        <v>25</v>
      </c>
      <c r="F802" t="s">
        <v>18</v>
      </c>
      <c r="G802" t="s">
        <v>19</v>
      </c>
      <c r="H802">
        <v>1</v>
      </c>
      <c r="I802">
        <v>148.41999999999999</v>
      </c>
      <c r="J802">
        <v>0</v>
      </c>
      <c r="K802">
        <v>148.41999999999999</v>
      </c>
      <c r="L802">
        <v>30.4</v>
      </c>
      <c r="M802" t="s">
        <v>20</v>
      </c>
    </row>
    <row r="803" spans="1:13" x14ac:dyDescent="0.3">
      <c r="A803" t="s">
        <v>1964</v>
      </c>
      <c r="B803" t="s">
        <v>1965</v>
      </c>
      <c r="C803" t="s">
        <v>1571</v>
      </c>
      <c r="D803" s="7" t="s">
        <v>1725</v>
      </c>
      <c r="E803" t="s">
        <v>17</v>
      </c>
      <c r="F803" t="s">
        <v>89</v>
      </c>
      <c r="G803" t="s">
        <v>150</v>
      </c>
      <c r="H803">
        <v>8</v>
      </c>
      <c r="I803">
        <v>157.74</v>
      </c>
      <c r="J803">
        <v>0.15</v>
      </c>
      <c r="K803">
        <v>1072.6300000000001</v>
      </c>
      <c r="L803">
        <v>172.79</v>
      </c>
      <c r="M803" t="s">
        <v>40</v>
      </c>
    </row>
    <row r="804" spans="1:13" x14ac:dyDescent="0.3">
      <c r="A804" t="s">
        <v>1966</v>
      </c>
      <c r="B804" t="s">
        <v>210</v>
      </c>
      <c r="C804" t="s">
        <v>912</v>
      </c>
      <c r="D804" s="7" t="s">
        <v>1300</v>
      </c>
      <c r="E804" t="s">
        <v>32</v>
      </c>
      <c r="F804" t="s">
        <v>33</v>
      </c>
      <c r="G804" t="s">
        <v>74</v>
      </c>
      <c r="H804">
        <v>1</v>
      </c>
      <c r="I804">
        <v>156.24</v>
      </c>
      <c r="J804">
        <v>0</v>
      </c>
      <c r="K804">
        <v>156.24</v>
      </c>
      <c r="L804">
        <v>33.22</v>
      </c>
      <c r="M804" t="s">
        <v>40</v>
      </c>
    </row>
    <row r="805" spans="1:13" x14ac:dyDescent="0.3">
      <c r="A805" t="s">
        <v>1967</v>
      </c>
      <c r="B805" t="s">
        <v>188</v>
      </c>
      <c r="C805" t="s">
        <v>1968</v>
      </c>
      <c r="D805" s="7" t="s">
        <v>1969</v>
      </c>
      <c r="E805" t="s">
        <v>59</v>
      </c>
      <c r="F805" t="s">
        <v>18</v>
      </c>
      <c r="G805" t="s">
        <v>79</v>
      </c>
      <c r="H805">
        <v>7</v>
      </c>
      <c r="I805">
        <v>134.63</v>
      </c>
      <c r="J805">
        <v>0.1</v>
      </c>
      <c r="K805">
        <v>848.17</v>
      </c>
      <c r="L805">
        <v>238.73</v>
      </c>
      <c r="M805" t="s">
        <v>35</v>
      </c>
    </row>
    <row r="806" spans="1:13" x14ac:dyDescent="0.3">
      <c r="A806" t="s">
        <v>1970</v>
      </c>
      <c r="B806" t="s">
        <v>1657</v>
      </c>
      <c r="C806" t="s">
        <v>1971</v>
      </c>
      <c r="D806" s="7" t="s">
        <v>94</v>
      </c>
      <c r="E806" t="s">
        <v>59</v>
      </c>
      <c r="F806" t="s">
        <v>89</v>
      </c>
      <c r="G806" t="s">
        <v>150</v>
      </c>
      <c r="H806">
        <v>7</v>
      </c>
      <c r="I806">
        <v>82.16</v>
      </c>
      <c r="J806">
        <v>0.1</v>
      </c>
      <c r="K806">
        <v>517.61</v>
      </c>
      <c r="L806">
        <v>104.71</v>
      </c>
      <c r="M806" t="s">
        <v>35</v>
      </c>
    </row>
    <row r="807" spans="1:13" x14ac:dyDescent="0.3">
      <c r="A807" t="s">
        <v>1972</v>
      </c>
      <c r="B807" t="s">
        <v>596</v>
      </c>
      <c r="C807" t="s">
        <v>644</v>
      </c>
      <c r="D807" s="7" t="s">
        <v>1755</v>
      </c>
      <c r="E807" t="s">
        <v>59</v>
      </c>
      <c r="F807" t="s">
        <v>18</v>
      </c>
      <c r="G807" t="s">
        <v>45</v>
      </c>
      <c r="H807">
        <v>6</v>
      </c>
      <c r="I807">
        <v>56.66</v>
      </c>
      <c r="J807">
        <v>0.15</v>
      </c>
      <c r="K807">
        <v>288.97000000000003</v>
      </c>
      <c r="L807">
        <v>46.75</v>
      </c>
      <c r="M807" t="s">
        <v>20</v>
      </c>
    </row>
    <row r="808" spans="1:13" x14ac:dyDescent="0.3">
      <c r="A808" t="s">
        <v>1973</v>
      </c>
      <c r="B808" t="s">
        <v>1408</v>
      </c>
      <c r="C808" t="s">
        <v>1974</v>
      </c>
      <c r="D808" s="7" t="s">
        <v>572</v>
      </c>
      <c r="E808" t="s">
        <v>59</v>
      </c>
      <c r="F808" t="s">
        <v>33</v>
      </c>
      <c r="G808" t="s">
        <v>34</v>
      </c>
      <c r="H808">
        <v>7</v>
      </c>
      <c r="I808">
        <v>16.34</v>
      </c>
      <c r="J808">
        <v>0</v>
      </c>
      <c r="K808">
        <v>114.38</v>
      </c>
      <c r="L808">
        <v>11.34</v>
      </c>
      <c r="M808" t="s">
        <v>40</v>
      </c>
    </row>
    <row r="809" spans="1:13" x14ac:dyDescent="0.3">
      <c r="A809" t="s">
        <v>1975</v>
      </c>
      <c r="B809" t="s">
        <v>570</v>
      </c>
      <c r="C809" t="s">
        <v>1339</v>
      </c>
      <c r="D809" s="7" t="s">
        <v>874</v>
      </c>
      <c r="E809" t="s">
        <v>17</v>
      </c>
      <c r="F809" t="s">
        <v>89</v>
      </c>
      <c r="G809" t="s">
        <v>131</v>
      </c>
      <c r="H809">
        <v>6</v>
      </c>
      <c r="I809">
        <v>138.52000000000001</v>
      </c>
      <c r="J809">
        <v>0.15</v>
      </c>
      <c r="K809">
        <v>706.45</v>
      </c>
      <c r="L809">
        <v>105.15</v>
      </c>
      <c r="M809" t="s">
        <v>20</v>
      </c>
    </row>
    <row r="810" spans="1:13" x14ac:dyDescent="0.3">
      <c r="A810" t="s">
        <v>1976</v>
      </c>
      <c r="B810" t="s">
        <v>294</v>
      </c>
      <c r="C810" t="s">
        <v>1558</v>
      </c>
      <c r="D810" s="7" t="s">
        <v>165</v>
      </c>
      <c r="E810" t="s">
        <v>25</v>
      </c>
      <c r="F810" t="s">
        <v>18</v>
      </c>
      <c r="G810" t="s">
        <v>79</v>
      </c>
      <c r="H810">
        <v>3</v>
      </c>
      <c r="I810">
        <v>171.58</v>
      </c>
      <c r="J810">
        <v>0.05</v>
      </c>
      <c r="K810">
        <v>489</v>
      </c>
      <c r="L810">
        <v>60.76</v>
      </c>
      <c r="M810" t="s">
        <v>20</v>
      </c>
    </row>
    <row r="811" spans="1:13" x14ac:dyDescent="0.3">
      <c r="A811" t="s">
        <v>1977</v>
      </c>
      <c r="B811" t="s">
        <v>1805</v>
      </c>
      <c r="C811" t="s">
        <v>1978</v>
      </c>
      <c r="D811" s="7" t="s">
        <v>1979</v>
      </c>
      <c r="E811" t="s">
        <v>32</v>
      </c>
      <c r="F811" t="s">
        <v>18</v>
      </c>
      <c r="G811" t="s">
        <v>19</v>
      </c>
      <c r="H811">
        <v>2</v>
      </c>
      <c r="I811">
        <v>233.79</v>
      </c>
      <c r="J811">
        <v>0.1</v>
      </c>
      <c r="K811">
        <v>420.82</v>
      </c>
      <c r="L811">
        <v>62.56</v>
      </c>
      <c r="M811" t="s">
        <v>35</v>
      </c>
    </row>
    <row r="812" spans="1:13" x14ac:dyDescent="0.3">
      <c r="A812" t="s">
        <v>1980</v>
      </c>
      <c r="B812" t="s">
        <v>681</v>
      </c>
      <c r="C812" t="s">
        <v>215</v>
      </c>
      <c r="D812" s="7" t="s">
        <v>1981</v>
      </c>
      <c r="E812" t="s">
        <v>64</v>
      </c>
      <c r="F812" t="s">
        <v>18</v>
      </c>
      <c r="G812" t="s">
        <v>19</v>
      </c>
      <c r="H812">
        <v>1</v>
      </c>
      <c r="I812">
        <v>124.7</v>
      </c>
      <c r="J812">
        <v>0.1</v>
      </c>
      <c r="K812">
        <v>112.23</v>
      </c>
      <c r="L812">
        <v>26.13</v>
      </c>
      <c r="M812" t="s">
        <v>20</v>
      </c>
    </row>
    <row r="813" spans="1:13" x14ac:dyDescent="0.3">
      <c r="A813" t="s">
        <v>1982</v>
      </c>
      <c r="B813" t="s">
        <v>1805</v>
      </c>
      <c r="C813" t="s">
        <v>545</v>
      </c>
      <c r="D813" s="7" t="s">
        <v>761</v>
      </c>
      <c r="E813" t="s">
        <v>25</v>
      </c>
      <c r="F813" t="s">
        <v>89</v>
      </c>
      <c r="G813" t="s">
        <v>90</v>
      </c>
      <c r="H813">
        <v>6</v>
      </c>
      <c r="I813">
        <v>218.3</v>
      </c>
      <c r="J813">
        <v>0.05</v>
      </c>
      <c r="K813">
        <v>1244.31</v>
      </c>
      <c r="L813">
        <v>269.64</v>
      </c>
      <c r="M813" t="s">
        <v>35</v>
      </c>
    </row>
    <row r="814" spans="1:13" x14ac:dyDescent="0.3">
      <c r="A814" t="s">
        <v>1983</v>
      </c>
      <c r="B814" t="s">
        <v>1883</v>
      </c>
      <c r="C814" t="s">
        <v>507</v>
      </c>
      <c r="D814" s="7" t="s">
        <v>1064</v>
      </c>
      <c r="E814" t="s">
        <v>64</v>
      </c>
      <c r="F814" t="s">
        <v>33</v>
      </c>
      <c r="G814" t="s">
        <v>50</v>
      </c>
      <c r="H814">
        <v>7</v>
      </c>
      <c r="I814">
        <v>183.56</v>
      </c>
      <c r="J814">
        <v>0</v>
      </c>
      <c r="K814">
        <v>1284.92</v>
      </c>
      <c r="L814">
        <v>236.63</v>
      </c>
      <c r="M814" t="s">
        <v>40</v>
      </c>
    </row>
    <row r="815" spans="1:13" x14ac:dyDescent="0.3">
      <c r="A815" t="s">
        <v>1984</v>
      </c>
      <c r="B815" t="s">
        <v>1495</v>
      </c>
      <c r="C815" t="s">
        <v>946</v>
      </c>
      <c r="D815" s="7" t="s">
        <v>1865</v>
      </c>
      <c r="E815" t="s">
        <v>17</v>
      </c>
      <c r="F815" t="s">
        <v>26</v>
      </c>
      <c r="G815" t="s">
        <v>118</v>
      </c>
      <c r="H815">
        <v>3</v>
      </c>
      <c r="I815">
        <v>129.69999999999999</v>
      </c>
      <c r="J815">
        <v>0.15</v>
      </c>
      <c r="K815">
        <v>330.73</v>
      </c>
      <c r="L815">
        <v>89.49</v>
      </c>
      <c r="M815" t="s">
        <v>20</v>
      </c>
    </row>
    <row r="816" spans="1:13" x14ac:dyDescent="0.3">
      <c r="A816" t="s">
        <v>1985</v>
      </c>
      <c r="B816" t="s">
        <v>124</v>
      </c>
      <c r="C816" t="s">
        <v>1237</v>
      </c>
      <c r="D816" s="7" t="s">
        <v>1182</v>
      </c>
      <c r="E816" t="s">
        <v>64</v>
      </c>
      <c r="F816" t="s">
        <v>89</v>
      </c>
      <c r="G816" t="s">
        <v>131</v>
      </c>
      <c r="H816">
        <v>8</v>
      </c>
      <c r="I816">
        <v>109.79</v>
      </c>
      <c r="J816">
        <v>0</v>
      </c>
      <c r="K816">
        <v>878.32</v>
      </c>
      <c r="L816">
        <v>129.54</v>
      </c>
      <c r="M816" t="s">
        <v>35</v>
      </c>
    </row>
    <row r="817" spans="1:13" x14ac:dyDescent="0.3">
      <c r="A817" t="s">
        <v>1986</v>
      </c>
      <c r="B817" t="s">
        <v>1896</v>
      </c>
      <c r="C817" t="s">
        <v>654</v>
      </c>
      <c r="D817" s="7" t="s">
        <v>161</v>
      </c>
      <c r="E817" t="s">
        <v>59</v>
      </c>
      <c r="F817" t="s">
        <v>89</v>
      </c>
      <c r="G817" t="s">
        <v>131</v>
      </c>
      <c r="H817">
        <v>7</v>
      </c>
      <c r="I817">
        <v>120.45</v>
      </c>
      <c r="J817">
        <v>0.15</v>
      </c>
      <c r="K817">
        <v>716.68</v>
      </c>
      <c r="L817">
        <v>67.13</v>
      </c>
      <c r="M817" t="s">
        <v>20</v>
      </c>
    </row>
    <row r="818" spans="1:13" x14ac:dyDescent="0.3">
      <c r="A818" t="s">
        <v>1987</v>
      </c>
      <c r="B818" t="s">
        <v>184</v>
      </c>
      <c r="C818" t="s">
        <v>834</v>
      </c>
      <c r="D818" s="7" t="s">
        <v>1988</v>
      </c>
      <c r="E818" t="s">
        <v>32</v>
      </c>
      <c r="F818" t="s">
        <v>18</v>
      </c>
      <c r="G818" t="s">
        <v>45</v>
      </c>
      <c r="H818">
        <v>1</v>
      </c>
      <c r="I818">
        <v>198.98</v>
      </c>
      <c r="J818">
        <v>0.05</v>
      </c>
      <c r="K818">
        <v>189.03</v>
      </c>
      <c r="L818">
        <v>20.91</v>
      </c>
      <c r="M818" t="s">
        <v>40</v>
      </c>
    </row>
    <row r="819" spans="1:13" x14ac:dyDescent="0.3">
      <c r="A819" t="s">
        <v>1989</v>
      </c>
      <c r="B819" t="s">
        <v>159</v>
      </c>
      <c r="C819" t="s">
        <v>1990</v>
      </c>
      <c r="D819" s="7" t="s">
        <v>851</v>
      </c>
      <c r="E819" t="s">
        <v>32</v>
      </c>
      <c r="F819" t="s">
        <v>26</v>
      </c>
      <c r="G819" t="s">
        <v>84</v>
      </c>
      <c r="H819">
        <v>6</v>
      </c>
      <c r="I819">
        <v>241.81</v>
      </c>
      <c r="J819">
        <v>0</v>
      </c>
      <c r="K819">
        <v>1450.86</v>
      </c>
      <c r="L819">
        <v>433.87</v>
      </c>
      <c r="M819" t="s">
        <v>35</v>
      </c>
    </row>
    <row r="820" spans="1:13" x14ac:dyDescent="0.3">
      <c r="A820" t="s">
        <v>1991</v>
      </c>
      <c r="B820" t="s">
        <v>1992</v>
      </c>
      <c r="C820" t="s">
        <v>1993</v>
      </c>
      <c r="D820" s="7" t="s">
        <v>1612</v>
      </c>
      <c r="E820" t="s">
        <v>64</v>
      </c>
      <c r="F820" t="s">
        <v>89</v>
      </c>
      <c r="G820" t="s">
        <v>131</v>
      </c>
      <c r="H820">
        <v>5</v>
      </c>
      <c r="I820">
        <v>139</v>
      </c>
      <c r="J820">
        <v>0.05</v>
      </c>
      <c r="K820">
        <v>660.25</v>
      </c>
      <c r="L820">
        <v>133.63999999999999</v>
      </c>
      <c r="M820" t="s">
        <v>20</v>
      </c>
    </row>
    <row r="821" spans="1:13" x14ac:dyDescent="0.3">
      <c r="A821" t="s">
        <v>1994</v>
      </c>
      <c r="B821" t="s">
        <v>636</v>
      </c>
      <c r="C821" t="s">
        <v>861</v>
      </c>
      <c r="D821" s="7" t="s">
        <v>1995</v>
      </c>
      <c r="E821" t="s">
        <v>64</v>
      </c>
      <c r="F821" t="s">
        <v>33</v>
      </c>
      <c r="G821" t="s">
        <v>74</v>
      </c>
      <c r="H821">
        <v>2</v>
      </c>
      <c r="I821">
        <v>99.22</v>
      </c>
      <c r="J821">
        <v>0</v>
      </c>
      <c r="K821">
        <v>198.44</v>
      </c>
      <c r="L821">
        <v>53.82</v>
      </c>
      <c r="M821" t="s">
        <v>40</v>
      </c>
    </row>
    <row r="822" spans="1:13" x14ac:dyDescent="0.3">
      <c r="A822" t="s">
        <v>1996</v>
      </c>
      <c r="B822" t="s">
        <v>1997</v>
      </c>
      <c r="C822" t="s">
        <v>1998</v>
      </c>
      <c r="D822" s="7" t="s">
        <v>1734</v>
      </c>
      <c r="E822" t="s">
        <v>25</v>
      </c>
      <c r="F822" t="s">
        <v>33</v>
      </c>
      <c r="G822" t="s">
        <v>50</v>
      </c>
      <c r="H822">
        <v>5</v>
      </c>
      <c r="I822">
        <v>30.43</v>
      </c>
      <c r="J822">
        <v>0</v>
      </c>
      <c r="K822">
        <v>152.15</v>
      </c>
      <c r="L822">
        <v>34.659999999999997</v>
      </c>
      <c r="M822" t="s">
        <v>35</v>
      </c>
    </row>
    <row r="823" spans="1:13" x14ac:dyDescent="0.3">
      <c r="A823" t="s">
        <v>1999</v>
      </c>
      <c r="B823" t="s">
        <v>1408</v>
      </c>
      <c r="C823" t="s">
        <v>2000</v>
      </c>
      <c r="D823" s="7" t="s">
        <v>919</v>
      </c>
      <c r="E823" t="s">
        <v>59</v>
      </c>
      <c r="F823" t="s">
        <v>89</v>
      </c>
      <c r="G823" t="s">
        <v>150</v>
      </c>
      <c r="H823">
        <v>1</v>
      </c>
      <c r="I823">
        <v>154.24</v>
      </c>
      <c r="J823">
        <v>0.05</v>
      </c>
      <c r="K823">
        <v>146.53</v>
      </c>
      <c r="L823">
        <v>39</v>
      </c>
      <c r="M823" t="s">
        <v>40</v>
      </c>
    </row>
    <row r="824" spans="1:13" x14ac:dyDescent="0.3">
      <c r="A824" t="s">
        <v>2001</v>
      </c>
      <c r="B824" t="s">
        <v>722</v>
      </c>
      <c r="C824" t="s">
        <v>196</v>
      </c>
      <c r="D824" s="7" t="s">
        <v>2002</v>
      </c>
      <c r="E824" t="s">
        <v>64</v>
      </c>
      <c r="F824" t="s">
        <v>18</v>
      </c>
      <c r="G824" t="s">
        <v>45</v>
      </c>
      <c r="H824">
        <v>6</v>
      </c>
      <c r="I824">
        <v>18.46</v>
      </c>
      <c r="J824">
        <v>0</v>
      </c>
      <c r="K824">
        <v>110.76</v>
      </c>
      <c r="L824">
        <v>31.11</v>
      </c>
      <c r="M824" t="s">
        <v>35</v>
      </c>
    </row>
    <row r="825" spans="1:13" x14ac:dyDescent="0.3">
      <c r="A825" t="s">
        <v>2003</v>
      </c>
      <c r="B825" t="s">
        <v>264</v>
      </c>
      <c r="C825" t="s">
        <v>2004</v>
      </c>
      <c r="D825" s="7" t="s">
        <v>73</v>
      </c>
      <c r="E825" t="s">
        <v>64</v>
      </c>
      <c r="F825" t="s">
        <v>18</v>
      </c>
      <c r="G825" t="s">
        <v>79</v>
      </c>
      <c r="H825">
        <v>7</v>
      </c>
      <c r="I825">
        <v>91.48</v>
      </c>
      <c r="J825">
        <v>0.05</v>
      </c>
      <c r="K825">
        <v>608.34</v>
      </c>
      <c r="L825">
        <v>83.47</v>
      </c>
      <c r="M825" t="s">
        <v>40</v>
      </c>
    </row>
    <row r="826" spans="1:13" x14ac:dyDescent="0.3">
      <c r="A826" t="s">
        <v>2005</v>
      </c>
      <c r="B826" t="s">
        <v>904</v>
      </c>
      <c r="C826" t="s">
        <v>230</v>
      </c>
      <c r="D826" s="7" t="s">
        <v>789</v>
      </c>
      <c r="E826" t="s">
        <v>32</v>
      </c>
      <c r="F826" t="s">
        <v>33</v>
      </c>
      <c r="G826" t="s">
        <v>50</v>
      </c>
      <c r="H826">
        <v>2</v>
      </c>
      <c r="I826">
        <v>15.41</v>
      </c>
      <c r="J826">
        <v>0</v>
      </c>
      <c r="K826">
        <v>30.82</v>
      </c>
      <c r="L826">
        <v>7.07</v>
      </c>
      <c r="M826" t="s">
        <v>40</v>
      </c>
    </row>
    <row r="827" spans="1:13" x14ac:dyDescent="0.3">
      <c r="A827" t="s">
        <v>2006</v>
      </c>
      <c r="B827" t="s">
        <v>2007</v>
      </c>
      <c r="C827" t="s">
        <v>1019</v>
      </c>
      <c r="D827" s="7" t="s">
        <v>1995</v>
      </c>
      <c r="E827" t="s">
        <v>64</v>
      </c>
      <c r="F827" t="s">
        <v>18</v>
      </c>
      <c r="G827" t="s">
        <v>19</v>
      </c>
      <c r="H827">
        <v>8</v>
      </c>
      <c r="I827">
        <v>180.77</v>
      </c>
      <c r="J827">
        <v>0.15</v>
      </c>
      <c r="K827">
        <v>1229.24</v>
      </c>
      <c r="L827">
        <v>346.66</v>
      </c>
      <c r="M827" t="s">
        <v>20</v>
      </c>
    </row>
    <row r="828" spans="1:13" x14ac:dyDescent="0.3">
      <c r="A828" t="s">
        <v>2008</v>
      </c>
      <c r="B828" t="s">
        <v>964</v>
      </c>
      <c r="C828" t="s">
        <v>261</v>
      </c>
      <c r="D828" s="7" t="s">
        <v>1943</v>
      </c>
      <c r="E828" t="s">
        <v>32</v>
      </c>
      <c r="F828" t="s">
        <v>18</v>
      </c>
      <c r="G828" t="s">
        <v>19</v>
      </c>
      <c r="H828">
        <v>8</v>
      </c>
      <c r="I828">
        <v>243.32</v>
      </c>
      <c r="J828">
        <v>0.1</v>
      </c>
      <c r="K828">
        <v>1751.9</v>
      </c>
      <c r="L828">
        <v>239.68</v>
      </c>
      <c r="M828" t="s">
        <v>20</v>
      </c>
    </row>
    <row r="829" spans="1:13" x14ac:dyDescent="0.3">
      <c r="A829" t="s">
        <v>2009</v>
      </c>
      <c r="B829" t="s">
        <v>489</v>
      </c>
      <c r="C829" t="s">
        <v>156</v>
      </c>
      <c r="D829" s="7" t="s">
        <v>2010</v>
      </c>
      <c r="E829" t="s">
        <v>59</v>
      </c>
      <c r="F829" t="s">
        <v>18</v>
      </c>
      <c r="G829" t="s">
        <v>45</v>
      </c>
      <c r="H829">
        <v>2</v>
      </c>
      <c r="I829">
        <v>94.87</v>
      </c>
      <c r="J829">
        <v>0</v>
      </c>
      <c r="K829">
        <v>189.74</v>
      </c>
      <c r="L829">
        <v>56.84</v>
      </c>
      <c r="M829" t="s">
        <v>20</v>
      </c>
    </row>
    <row r="830" spans="1:13" x14ac:dyDescent="0.3">
      <c r="A830" t="s">
        <v>2011</v>
      </c>
      <c r="B830" t="s">
        <v>940</v>
      </c>
      <c r="C830" t="s">
        <v>1760</v>
      </c>
      <c r="D830" s="7" t="s">
        <v>363</v>
      </c>
      <c r="E830" t="s">
        <v>17</v>
      </c>
      <c r="F830" t="s">
        <v>33</v>
      </c>
      <c r="G830" t="s">
        <v>74</v>
      </c>
      <c r="H830">
        <v>6</v>
      </c>
      <c r="I830">
        <v>221.92</v>
      </c>
      <c r="J830">
        <v>0.1</v>
      </c>
      <c r="K830">
        <v>1198.3699999999999</v>
      </c>
      <c r="L830">
        <v>303.27999999999997</v>
      </c>
      <c r="M830" t="s">
        <v>20</v>
      </c>
    </row>
    <row r="831" spans="1:13" x14ac:dyDescent="0.3">
      <c r="A831" t="s">
        <v>2012</v>
      </c>
      <c r="B831" t="s">
        <v>1089</v>
      </c>
      <c r="C831" t="s">
        <v>1322</v>
      </c>
      <c r="D831" s="7" t="s">
        <v>157</v>
      </c>
      <c r="E831" t="s">
        <v>59</v>
      </c>
      <c r="F831" t="s">
        <v>33</v>
      </c>
      <c r="G831" t="s">
        <v>50</v>
      </c>
      <c r="H831">
        <v>3</v>
      </c>
      <c r="I831">
        <v>129.46</v>
      </c>
      <c r="J831">
        <v>0</v>
      </c>
      <c r="K831">
        <v>388.38</v>
      </c>
      <c r="L831">
        <v>97.24</v>
      </c>
      <c r="M831" t="s">
        <v>35</v>
      </c>
    </row>
    <row r="832" spans="1:13" x14ac:dyDescent="0.3">
      <c r="A832" t="s">
        <v>2013</v>
      </c>
      <c r="B832" t="s">
        <v>489</v>
      </c>
      <c r="C832" t="s">
        <v>1387</v>
      </c>
      <c r="D832" s="7" t="s">
        <v>1369</v>
      </c>
      <c r="E832" t="s">
        <v>25</v>
      </c>
      <c r="F832" t="s">
        <v>89</v>
      </c>
      <c r="G832" t="s">
        <v>90</v>
      </c>
      <c r="H832">
        <v>2</v>
      </c>
      <c r="I832">
        <v>195.73</v>
      </c>
      <c r="J832">
        <v>0.15</v>
      </c>
      <c r="K832">
        <v>332.74</v>
      </c>
      <c r="L832">
        <v>31.42</v>
      </c>
      <c r="M832" t="s">
        <v>20</v>
      </c>
    </row>
    <row r="833" spans="1:13" x14ac:dyDescent="0.3">
      <c r="A833" t="s">
        <v>2014</v>
      </c>
      <c r="B833" t="s">
        <v>1805</v>
      </c>
      <c r="C833" t="s">
        <v>916</v>
      </c>
      <c r="D833" s="7" t="s">
        <v>1077</v>
      </c>
      <c r="E833" t="s">
        <v>59</v>
      </c>
      <c r="F833" t="s">
        <v>18</v>
      </c>
      <c r="G833" t="s">
        <v>79</v>
      </c>
      <c r="H833">
        <v>3</v>
      </c>
      <c r="I833">
        <v>92.04</v>
      </c>
      <c r="J833">
        <v>0.15</v>
      </c>
      <c r="K833">
        <v>234.7</v>
      </c>
      <c r="L833">
        <v>34.86</v>
      </c>
      <c r="M833" t="s">
        <v>20</v>
      </c>
    </row>
    <row r="834" spans="1:13" x14ac:dyDescent="0.3">
      <c r="A834" t="s">
        <v>2015</v>
      </c>
      <c r="B834" t="s">
        <v>630</v>
      </c>
      <c r="C834" t="s">
        <v>1119</v>
      </c>
      <c r="D834" s="7" t="s">
        <v>1315</v>
      </c>
      <c r="E834" t="s">
        <v>64</v>
      </c>
      <c r="F834" t="s">
        <v>33</v>
      </c>
      <c r="G834" t="s">
        <v>34</v>
      </c>
      <c r="H834">
        <v>1</v>
      </c>
      <c r="I834">
        <v>124.29</v>
      </c>
      <c r="J834">
        <v>0</v>
      </c>
      <c r="K834">
        <v>124.29</v>
      </c>
      <c r="L834">
        <v>11.16</v>
      </c>
      <c r="M834" t="s">
        <v>35</v>
      </c>
    </row>
    <row r="835" spans="1:13" x14ac:dyDescent="0.3">
      <c r="A835" t="s">
        <v>2016</v>
      </c>
      <c r="B835" t="s">
        <v>1415</v>
      </c>
      <c r="C835" t="s">
        <v>861</v>
      </c>
      <c r="D835" s="7" t="s">
        <v>2017</v>
      </c>
      <c r="E835" t="s">
        <v>25</v>
      </c>
      <c r="F835" t="s">
        <v>89</v>
      </c>
      <c r="G835" t="s">
        <v>150</v>
      </c>
      <c r="H835">
        <v>2</v>
      </c>
      <c r="I835">
        <v>75.92</v>
      </c>
      <c r="J835">
        <v>0.1</v>
      </c>
      <c r="K835">
        <v>136.66</v>
      </c>
      <c r="L835">
        <v>27.34</v>
      </c>
      <c r="M835" t="s">
        <v>35</v>
      </c>
    </row>
    <row r="836" spans="1:13" x14ac:dyDescent="0.3">
      <c r="A836" t="s">
        <v>2018</v>
      </c>
      <c r="B836" t="s">
        <v>432</v>
      </c>
      <c r="C836" t="s">
        <v>1082</v>
      </c>
      <c r="D836" s="7" t="s">
        <v>2010</v>
      </c>
      <c r="E836" t="s">
        <v>32</v>
      </c>
      <c r="F836" t="s">
        <v>89</v>
      </c>
      <c r="G836" t="s">
        <v>131</v>
      </c>
      <c r="H836">
        <v>2</v>
      </c>
      <c r="I836">
        <v>54.9</v>
      </c>
      <c r="J836">
        <v>0.1</v>
      </c>
      <c r="K836">
        <v>98.82</v>
      </c>
      <c r="L836">
        <v>14.09</v>
      </c>
      <c r="M836" t="s">
        <v>35</v>
      </c>
    </row>
    <row r="837" spans="1:13" x14ac:dyDescent="0.3">
      <c r="A837" t="s">
        <v>2019</v>
      </c>
      <c r="B837" t="s">
        <v>697</v>
      </c>
      <c r="C837" t="s">
        <v>249</v>
      </c>
      <c r="D837" s="7" t="s">
        <v>2020</v>
      </c>
      <c r="E837" t="s">
        <v>17</v>
      </c>
      <c r="F837" t="s">
        <v>89</v>
      </c>
      <c r="G837" t="s">
        <v>131</v>
      </c>
      <c r="H837">
        <v>7</v>
      </c>
      <c r="I837">
        <v>188.25</v>
      </c>
      <c r="J837">
        <v>0.1</v>
      </c>
      <c r="K837">
        <v>1185.98</v>
      </c>
      <c r="L837">
        <v>349.26</v>
      </c>
      <c r="M837" t="s">
        <v>35</v>
      </c>
    </row>
    <row r="838" spans="1:13" x14ac:dyDescent="0.3">
      <c r="A838" t="s">
        <v>2021</v>
      </c>
      <c r="B838" t="s">
        <v>2022</v>
      </c>
      <c r="C838" t="s">
        <v>668</v>
      </c>
      <c r="D838" s="7" t="s">
        <v>2023</v>
      </c>
      <c r="E838" t="s">
        <v>17</v>
      </c>
      <c r="F838" t="s">
        <v>33</v>
      </c>
      <c r="G838" t="s">
        <v>74</v>
      </c>
      <c r="H838">
        <v>2</v>
      </c>
      <c r="I838">
        <v>93.21</v>
      </c>
      <c r="J838">
        <v>0.1</v>
      </c>
      <c r="K838">
        <v>167.78</v>
      </c>
      <c r="L838">
        <v>21.99</v>
      </c>
      <c r="M838" t="s">
        <v>20</v>
      </c>
    </row>
    <row r="839" spans="1:13" x14ac:dyDescent="0.3">
      <c r="A839" t="s">
        <v>2024</v>
      </c>
      <c r="B839" t="s">
        <v>1198</v>
      </c>
      <c r="C839" t="s">
        <v>694</v>
      </c>
      <c r="D839" s="7" t="s">
        <v>1632</v>
      </c>
      <c r="E839" t="s">
        <v>25</v>
      </c>
      <c r="F839" t="s">
        <v>89</v>
      </c>
      <c r="G839" t="s">
        <v>90</v>
      </c>
      <c r="H839">
        <v>5</v>
      </c>
      <c r="I839">
        <v>234.3</v>
      </c>
      <c r="J839">
        <v>0.1</v>
      </c>
      <c r="K839">
        <v>1054.3499999999999</v>
      </c>
      <c r="L839">
        <v>116.15</v>
      </c>
      <c r="M839" t="s">
        <v>20</v>
      </c>
    </row>
    <row r="840" spans="1:13" x14ac:dyDescent="0.3">
      <c r="A840" t="s">
        <v>2025</v>
      </c>
      <c r="B840" t="s">
        <v>592</v>
      </c>
      <c r="C840" t="s">
        <v>2026</v>
      </c>
      <c r="D840" s="7" t="s">
        <v>498</v>
      </c>
      <c r="E840" t="s">
        <v>25</v>
      </c>
      <c r="F840" t="s">
        <v>33</v>
      </c>
      <c r="G840" t="s">
        <v>34</v>
      </c>
      <c r="H840">
        <v>8</v>
      </c>
      <c r="I840">
        <v>217.35</v>
      </c>
      <c r="J840">
        <v>0.05</v>
      </c>
      <c r="K840">
        <v>1651.86</v>
      </c>
      <c r="L840">
        <v>393.12</v>
      </c>
      <c r="M840" t="s">
        <v>40</v>
      </c>
    </row>
    <row r="841" spans="1:13" x14ac:dyDescent="0.3">
      <c r="A841" t="s">
        <v>2027</v>
      </c>
      <c r="B841" t="s">
        <v>570</v>
      </c>
      <c r="C841" t="s">
        <v>257</v>
      </c>
      <c r="D841" s="7" t="s">
        <v>1614</v>
      </c>
      <c r="E841" t="s">
        <v>32</v>
      </c>
      <c r="F841" t="s">
        <v>26</v>
      </c>
      <c r="G841" t="s">
        <v>27</v>
      </c>
      <c r="H841">
        <v>5</v>
      </c>
      <c r="I841">
        <v>73.11</v>
      </c>
      <c r="J841">
        <v>0.05</v>
      </c>
      <c r="K841">
        <v>347.27</v>
      </c>
      <c r="L841">
        <v>87.55</v>
      </c>
      <c r="M841" t="s">
        <v>35</v>
      </c>
    </row>
    <row r="842" spans="1:13" x14ac:dyDescent="0.3">
      <c r="A842" t="s">
        <v>2028</v>
      </c>
      <c r="B842" t="s">
        <v>544</v>
      </c>
      <c r="C842" t="s">
        <v>567</v>
      </c>
      <c r="D842" s="7" t="s">
        <v>1182</v>
      </c>
      <c r="E842" t="s">
        <v>64</v>
      </c>
      <c r="F842" t="s">
        <v>89</v>
      </c>
      <c r="G842" t="s">
        <v>131</v>
      </c>
      <c r="H842">
        <v>8</v>
      </c>
      <c r="I842">
        <v>136.32</v>
      </c>
      <c r="J842">
        <v>0.05</v>
      </c>
      <c r="K842">
        <v>1036.03</v>
      </c>
      <c r="L842">
        <v>130.99</v>
      </c>
      <c r="M842" t="s">
        <v>40</v>
      </c>
    </row>
    <row r="843" spans="1:13" x14ac:dyDescent="0.3">
      <c r="A843" t="s">
        <v>2029</v>
      </c>
      <c r="B843" t="s">
        <v>775</v>
      </c>
      <c r="C843" t="s">
        <v>2030</v>
      </c>
      <c r="D843" s="7" t="s">
        <v>430</v>
      </c>
      <c r="E843" t="s">
        <v>25</v>
      </c>
      <c r="F843" t="s">
        <v>18</v>
      </c>
      <c r="G843" t="s">
        <v>45</v>
      </c>
      <c r="H843">
        <v>6</v>
      </c>
      <c r="I843">
        <v>190.49</v>
      </c>
      <c r="J843">
        <v>0.15</v>
      </c>
      <c r="K843">
        <v>971.5</v>
      </c>
      <c r="L843">
        <v>261.70999999999998</v>
      </c>
      <c r="M843" t="s">
        <v>40</v>
      </c>
    </row>
    <row r="844" spans="1:13" x14ac:dyDescent="0.3">
      <c r="A844" t="s">
        <v>2031</v>
      </c>
      <c r="B844" t="s">
        <v>850</v>
      </c>
      <c r="C844" t="s">
        <v>783</v>
      </c>
      <c r="D844" s="7" t="s">
        <v>2032</v>
      </c>
      <c r="E844" t="s">
        <v>59</v>
      </c>
      <c r="F844" t="s">
        <v>18</v>
      </c>
      <c r="G844" t="s">
        <v>19</v>
      </c>
      <c r="H844">
        <v>5</v>
      </c>
      <c r="I844">
        <v>82.34</v>
      </c>
      <c r="J844">
        <v>0.1</v>
      </c>
      <c r="K844">
        <v>370.53</v>
      </c>
      <c r="L844">
        <v>92.6</v>
      </c>
      <c r="M844" t="s">
        <v>35</v>
      </c>
    </row>
    <row r="845" spans="1:13" x14ac:dyDescent="0.3">
      <c r="A845" t="s">
        <v>2033</v>
      </c>
      <c r="B845" t="s">
        <v>2034</v>
      </c>
      <c r="C845" t="s">
        <v>1760</v>
      </c>
      <c r="D845" s="7" t="s">
        <v>1274</v>
      </c>
      <c r="E845" t="s">
        <v>64</v>
      </c>
      <c r="F845" t="s">
        <v>26</v>
      </c>
      <c r="G845" t="s">
        <v>118</v>
      </c>
      <c r="H845">
        <v>6</v>
      </c>
      <c r="I845">
        <v>107.3</v>
      </c>
      <c r="J845">
        <v>0</v>
      </c>
      <c r="K845">
        <v>643.79999999999995</v>
      </c>
      <c r="L845">
        <v>186.69</v>
      </c>
      <c r="M845" t="s">
        <v>20</v>
      </c>
    </row>
    <row r="846" spans="1:13" x14ac:dyDescent="0.3">
      <c r="A846" t="s">
        <v>2035</v>
      </c>
      <c r="B846" t="s">
        <v>731</v>
      </c>
      <c r="C846" t="s">
        <v>1971</v>
      </c>
      <c r="D846" s="7" t="s">
        <v>1946</v>
      </c>
      <c r="E846" t="s">
        <v>59</v>
      </c>
      <c r="F846" t="s">
        <v>33</v>
      </c>
      <c r="G846" t="s">
        <v>34</v>
      </c>
      <c r="H846">
        <v>5</v>
      </c>
      <c r="I846">
        <v>111.23</v>
      </c>
      <c r="J846">
        <v>0.05</v>
      </c>
      <c r="K846">
        <v>528.34</v>
      </c>
      <c r="L846">
        <v>45.79</v>
      </c>
      <c r="M846" t="s">
        <v>40</v>
      </c>
    </row>
    <row r="847" spans="1:13" x14ac:dyDescent="0.3">
      <c r="A847" t="s">
        <v>2036</v>
      </c>
      <c r="B847" t="s">
        <v>534</v>
      </c>
      <c r="C847" t="s">
        <v>909</v>
      </c>
      <c r="D847" s="7" t="s">
        <v>501</v>
      </c>
      <c r="E847" t="s">
        <v>32</v>
      </c>
      <c r="F847" t="s">
        <v>26</v>
      </c>
      <c r="G847" t="s">
        <v>84</v>
      </c>
      <c r="H847">
        <v>6</v>
      </c>
      <c r="I847">
        <v>54.32</v>
      </c>
      <c r="J847">
        <v>0.15</v>
      </c>
      <c r="K847">
        <v>277.02999999999997</v>
      </c>
      <c r="L847">
        <v>38.270000000000003</v>
      </c>
      <c r="M847" t="s">
        <v>35</v>
      </c>
    </row>
    <row r="848" spans="1:13" x14ac:dyDescent="0.3">
      <c r="A848" t="s">
        <v>2037</v>
      </c>
      <c r="B848" t="s">
        <v>1242</v>
      </c>
      <c r="C848" t="s">
        <v>1019</v>
      </c>
      <c r="D848" s="7" t="s">
        <v>280</v>
      </c>
      <c r="E848" t="s">
        <v>17</v>
      </c>
      <c r="F848" t="s">
        <v>18</v>
      </c>
      <c r="G848" t="s">
        <v>79</v>
      </c>
      <c r="H848">
        <v>3</v>
      </c>
      <c r="I848">
        <v>91.65</v>
      </c>
      <c r="J848">
        <v>0.1</v>
      </c>
      <c r="K848">
        <v>247.46</v>
      </c>
      <c r="L848">
        <v>38.840000000000003</v>
      </c>
      <c r="M848" t="s">
        <v>35</v>
      </c>
    </row>
    <row r="849" spans="1:13" x14ac:dyDescent="0.3">
      <c r="A849" t="s">
        <v>2038</v>
      </c>
      <c r="B849" t="s">
        <v>1207</v>
      </c>
      <c r="C849" t="s">
        <v>2039</v>
      </c>
      <c r="D849" s="7" t="s">
        <v>237</v>
      </c>
      <c r="E849" t="s">
        <v>17</v>
      </c>
      <c r="F849" t="s">
        <v>89</v>
      </c>
      <c r="G849" t="s">
        <v>150</v>
      </c>
      <c r="H849">
        <v>5</v>
      </c>
      <c r="I849">
        <v>181.15</v>
      </c>
      <c r="J849">
        <v>0.15</v>
      </c>
      <c r="K849">
        <v>769.89</v>
      </c>
      <c r="L849">
        <v>171.81</v>
      </c>
      <c r="M849" t="s">
        <v>20</v>
      </c>
    </row>
    <row r="850" spans="1:13" x14ac:dyDescent="0.3">
      <c r="A850" t="s">
        <v>2040</v>
      </c>
      <c r="B850" t="s">
        <v>1634</v>
      </c>
      <c r="C850" t="s">
        <v>1922</v>
      </c>
      <c r="D850" s="7" t="s">
        <v>1077</v>
      </c>
      <c r="E850" t="s">
        <v>59</v>
      </c>
      <c r="F850" t="s">
        <v>89</v>
      </c>
      <c r="G850" t="s">
        <v>150</v>
      </c>
      <c r="H850">
        <v>5</v>
      </c>
      <c r="I850">
        <v>172.08</v>
      </c>
      <c r="J850">
        <v>0.05</v>
      </c>
      <c r="K850">
        <v>817.38</v>
      </c>
      <c r="L850">
        <v>75.38</v>
      </c>
      <c r="M850" t="s">
        <v>35</v>
      </c>
    </row>
    <row r="851" spans="1:13" x14ac:dyDescent="0.3">
      <c r="A851" t="s">
        <v>2041</v>
      </c>
      <c r="B851" t="s">
        <v>796</v>
      </c>
      <c r="C851" t="s">
        <v>1811</v>
      </c>
      <c r="D851" s="7" t="s">
        <v>227</v>
      </c>
      <c r="E851" t="s">
        <v>25</v>
      </c>
      <c r="F851" t="s">
        <v>26</v>
      </c>
      <c r="G851" t="s">
        <v>27</v>
      </c>
      <c r="H851">
        <v>6</v>
      </c>
      <c r="I851">
        <v>141.78</v>
      </c>
      <c r="J851">
        <v>0.15</v>
      </c>
      <c r="K851">
        <v>723.08</v>
      </c>
      <c r="L851">
        <v>68.64</v>
      </c>
      <c r="M851" t="s">
        <v>20</v>
      </c>
    </row>
    <row r="852" spans="1:13" x14ac:dyDescent="0.3">
      <c r="A852" t="s">
        <v>2042</v>
      </c>
      <c r="B852" t="s">
        <v>2043</v>
      </c>
      <c r="C852" t="s">
        <v>413</v>
      </c>
      <c r="D852" s="7" t="s">
        <v>871</v>
      </c>
      <c r="E852" t="s">
        <v>25</v>
      </c>
      <c r="F852" t="s">
        <v>18</v>
      </c>
      <c r="G852" t="s">
        <v>45</v>
      </c>
      <c r="H852">
        <v>5</v>
      </c>
      <c r="I852">
        <v>118.76</v>
      </c>
      <c r="J852">
        <v>0.05</v>
      </c>
      <c r="K852">
        <v>564.11</v>
      </c>
      <c r="L852">
        <v>160.87</v>
      </c>
      <c r="M852" t="s">
        <v>20</v>
      </c>
    </row>
    <row r="853" spans="1:13" x14ac:dyDescent="0.3">
      <c r="A853" t="s">
        <v>2044</v>
      </c>
      <c r="B853" t="s">
        <v>1459</v>
      </c>
      <c r="C853" t="s">
        <v>468</v>
      </c>
      <c r="D853" s="7" t="s">
        <v>1272</v>
      </c>
      <c r="E853" t="s">
        <v>32</v>
      </c>
      <c r="F853" t="s">
        <v>33</v>
      </c>
      <c r="G853" t="s">
        <v>34</v>
      </c>
      <c r="H853">
        <v>5</v>
      </c>
      <c r="I853">
        <v>21.07</v>
      </c>
      <c r="J853">
        <v>0.05</v>
      </c>
      <c r="K853">
        <v>100.08</v>
      </c>
      <c r="L853">
        <v>13.19</v>
      </c>
      <c r="M853" t="s">
        <v>40</v>
      </c>
    </row>
    <row r="854" spans="1:13" x14ac:dyDescent="0.3">
      <c r="A854" t="s">
        <v>2045</v>
      </c>
      <c r="B854" t="s">
        <v>313</v>
      </c>
      <c r="C854" t="s">
        <v>346</v>
      </c>
      <c r="D854" s="7" t="s">
        <v>418</v>
      </c>
      <c r="E854" t="s">
        <v>25</v>
      </c>
      <c r="F854" t="s">
        <v>26</v>
      </c>
      <c r="G854" t="s">
        <v>27</v>
      </c>
      <c r="H854">
        <v>4</v>
      </c>
      <c r="I854">
        <v>138.71</v>
      </c>
      <c r="J854">
        <v>0.1</v>
      </c>
      <c r="K854">
        <v>499.36</v>
      </c>
      <c r="L854">
        <v>120.78</v>
      </c>
      <c r="M854" t="s">
        <v>40</v>
      </c>
    </row>
    <row r="855" spans="1:13" x14ac:dyDescent="0.3">
      <c r="A855" t="s">
        <v>2046</v>
      </c>
      <c r="B855" t="s">
        <v>676</v>
      </c>
      <c r="C855" t="s">
        <v>1616</v>
      </c>
      <c r="D855" s="7" t="s">
        <v>478</v>
      </c>
      <c r="E855" t="s">
        <v>17</v>
      </c>
      <c r="F855" t="s">
        <v>26</v>
      </c>
      <c r="G855" t="s">
        <v>84</v>
      </c>
      <c r="H855">
        <v>5</v>
      </c>
      <c r="I855">
        <v>230.11</v>
      </c>
      <c r="J855">
        <v>0.05</v>
      </c>
      <c r="K855">
        <v>1093.02</v>
      </c>
      <c r="L855">
        <v>210.08</v>
      </c>
      <c r="M855" t="s">
        <v>20</v>
      </c>
    </row>
    <row r="856" spans="1:13" x14ac:dyDescent="0.3">
      <c r="A856" t="s">
        <v>2047</v>
      </c>
      <c r="B856" t="s">
        <v>957</v>
      </c>
      <c r="C856" t="s">
        <v>2048</v>
      </c>
      <c r="D856" s="7" t="s">
        <v>1431</v>
      </c>
      <c r="E856" t="s">
        <v>64</v>
      </c>
      <c r="F856" t="s">
        <v>18</v>
      </c>
      <c r="G856" t="s">
        <v>79</v>
      </c>
      <c r="H856">
        <v>1</v>
      </c>
      <c r="I856">
        <v>120.29</v>
      </c>
      <c r="J856">
        <v>0</v>
      </c>
      <c r="K856">
        <v>120.29</v>
      </c>
      <c r="L856">
        <v>21.11</v>
      </c>
      <c r="M856" t="s">
        <v>20</v>
      </c>
    </row>
    <row r="857" spans="1:13" x14ac:dyDescent="0.3">
      <c r="A857" t="s">
        <v>2049</v>
      </c>
      <c r="B857" t="s">
        <v>544</v>
      </c>
      <c r="C857" t="s">
        <v>1754</v>
      </c>
      <c r="D857" s="7" t="s">
        <v>1341</v>
      </c>
      <c r="E857" t="s">
        <v>59</v>
      </c>
      <c r="F857" t="s">
        <v>33</v>
      </c>
      <c r="G857" t="s">
        <v>34</v>
      </c>
      <c r="H857">
        <v>1</v>
      </c>
      <c r="I857">
        <v>30.89</v>
      </c>
      <c r="J857">
        <v>0.05</v>
      </c>
      <c r="K857">
        <v>29.35</v>
      </c>
      <c r="L857">
        <v>8.15</v>
      </c>
      <c r="M857" t="s">
        <v>35</v>
      </c>
    </row>
    <row r="858" spans="1:13" x14ac:dyDescent="0.3">
      <c r="A858" t="s">
        <v>2050</v>
      </c>
      <c r="B858" t="s">
        <v>2051</v>
      </c>
      <c r="C858" t="s">
        <v>1030</v>
      </c>
      <c r="D858" s="7" t="s">
        <v>1250</v>
      </c>
      <c r="E858" t="s">
        <v>17</v>
      </c>
      <c r="F858" t="s">
        <v>89</v>
      </c>
      <c r="G858" t="s">
        <v>131</v>
      </c>
      <c r="H858">
        <v>6</v>
      </c>
      <c r="I858">
        <v>142.66</v>
      </c>
      <c r="J858">
        <v>0</v>
      </c>
      <c r="K858">
        <v>855.96</v>
      </c>
      <c r="L858">
        <v>191.41</v>
      </c>
      <c r="M858" t="s">
        <v>40</v>
      </c>
    </row>
    <row r="859" spans="1:13" x14ac:dyDescent="0.3">
      <c r="A859" t="s">
        <v>2052</v>
      </c>
      <c r="B859" t="s">
        <v>815</v>
      </c>
      <c r="C859" t="s">
        <v>465</v>
      </c>
      <c r="D859" s="7" t="s">
        <v>141</v>
      </c>
      <c r="E859" t="s">
        <v>17</v>
      </c>
      <c r="F859" t="s">
        <v>33</v>
      </c>
      <c r="G859" t="s">
        <v>69</v>
      </c>
      <c r="H859">
        <v>8</v>
      </c>
      <c r="I859">
        <v>180.81</v>
      </c>
      <c r="J859">
        <v>0.15</v>
      </c>
      <c r="K859">
        <v>1229.51</v>
      </c>
      <c r="L859">
        <v>352.92</v>
      </c>
      <c r="M859" t="s">
        <v>40</v>
      </c>
    </row>
    <row r="860" spans="1:13" x14ac:dyDescent="0.3">
      <c r="A860" t="s">
        <v>2053</v>
      </c>
      <c r="B860" t="s">
        <v>771</v>
      </c>
      <c r="C860" t="s">
        <v>168</v>
      </c>
      <c r="D860" s="7" t="s">
        <v>1455</v>
      </c>
      <c r="E860" t="s">
        <v>17</v>
      </c>
      <c r="F860" t="s">
        <v>18</v>
      </c>
      <c r="G860" t="s">
        <v>79</v>
      </c>
      <c r="H860">
        <v>1</v>
      </c>
      <c r="I860">
        <v>203.37</v>
      </c>
      <c r="J860">
        <v>0</v>
      </c>
      <c r="K860">
        <v>203.37</v>
      </c>
      <c r="L860">
        <v>40.97</v>
      </c>
      <c r="M860" t="s">
        <v>40</v>
      </c>
    </row>
    <row r="861" spans="1:13" x14ac:dyDescent="0.3">
      <c r="A861" t="s">
        <v>2054</v>
      </c>
      <c r="B861" t="s">
        <v>1252</v>
      </c>
      <c r="C861" t="s">
        <v>1314</v>
      </c>
      <c r="D861" s="7" t="s">
        <v>398</v>
      </c>
      <c r="E861" t="s">
        <v>64</v>
      </c>
      <c r="F861" t="s">
        <v>26</v>
      </c>
      <c r="G861" t="s">
        <v>27</v>
      </c>
      <c r="H861">
        <v>6</v>
      </c>
      <c r="I861">
        <v>242.41</v>
      </c>
      <c r="J861">
        <v>0.1</v>
      </c>
      <c r="K861">
        <v>1309.01</v>
      </c>
      <c r="L861">
        <v>384.3</v>
      </c>
      <c r="M861" t="s">
        <v>35</v>
      </c>
    </row>
    <row r="862" spans="1:13" x14ac:dyDescent="0.3">
      <c r="A862" t="s">
        <v>2055</v>
      </c>
      <c r="B862" t="s">
        <v>873</v>
      </c>
      <c r="C862" t="s">
        <v>2056</v>
      </c>
      <c r="D862" s="7" t="s">
        <v>851</v>
      </c>
      <c r="E862" t="s">
        <v>59</v>
      </c>
      <c r="F862" t="s">
        <v>18</v>
      </c>
      <c r="G862" t="s">
        <v>79</v>
      </c>
      <c r="H862">
        <v>7</v>
      </c>
      <c r="I862">
        <v>199.93</v>
      </c>
      <c r="J862">
        <v>0.05</v>
      </c>
      <c r="K862">
        <v>1329.53</v>
      </c>
      <c r="L862">
        <v>155.15</v>
      </c>
      <c r="M862" t="s">
        <v>35</v>
      </c>
    </row>
    <row r="863" spans="1:13" x14ac:dyDescent="0.3">
      <c r="A863" t="s">
        <v>2057</v>
      </c>
      <c r="B863" t="s">
        <v>1868</v>
      </c>
      <c r="C863" t="s">
        <v>2058</v>
      </c>
      <c r="D863" s="7" t="s">
        <v>284</v>
      </c>
      <c r="E863" t="s">
        <v>64</v>
      </c>
      <c r="F863" t="s">
        <v>89</v>
      </c>
      <c r="G863" t="s">
        <v>150</v>
      </c>
      <c r="H863">
        <v>4</v>
      </c>
      <c r="I863">
        <v>176.55</v>
      </c>
      <c r="J863">
        <v>0.15</v>
      </c>
      <c r="K863">
        <v>600.27</v>
      </c>
      <c r="L863">
        <v>63.04</v>
      </c>
      <c r="M863" t="s">
        <v>35</v>
      </c>
    </row>
    <row r="864" spans="1:13" x14ac:dyDescent="0.3">
      <c r="A864" t="s">
        <v>2059</v>
      </c>
      <c r="B864" t="s">
        <v>943</v>
      </c>
      <c r="C864" t="s">
        <v>451</v>
      </c>
      <c r="D864" s="7" t="s">
        <v>2060</v>
      </c>
      <c r="E864" t="s">
        <v>59</v>
      </c>
      <c r="F864" t="s">
        <v>89</v>
      </c>
      <c r="G864" t="s">
        <v>90</v>
      </c>
      <c r="H864">
        <v>4</v>
      </c>
      <c r="I864">
        <v>16.79</v>
      </c>
      <c r="J864">
        <v>0.05</v>
      </c>
      <c r="K864">
        <v>63.8</v>
      </c>
      <c r="L864">
        <v>6.88</v>
      </c>
      <c r="M864" t="s">
        <v>35</v>
      </c>
    </row>
    <row r="865" spans="1:13" x14ac:dyDescent="0.3">
      <c r="A865" t="s">
        <v>2061</v>
      </c>
      <c r="B865" t="s">
        <v>1578</v>
      </c>
      <c r="C865" t="s">
        <v>1974</v>
      </c>
      <c r="D865" s="7" t="s">
        <v>288</v>
      </c>
      <c r="E865" t="s">
        <v>25</v>
      </c>
      <c r="F865" t="s">
        <v>26</v>
      </c>
      <c r="G865" t="s">
        <v>84</v>
      </c>
      <c r="H865">
        <v>7</v>
      </c>
      <c r="I865">
        <v>65.19</v>
      </c>
      <c r="J865">
        <v>0.05</v>
      </c>
      <c r="K865">
        <v>433.51</v>
      </c>
      <c r="L865">
        <v>77.84</v>
      </c>
      <c r="M865" t="s">
        <v>40</v>
      </c>
    </row>
    <row r="866" spans="1:13" x14ac:dyDescent="0.3">
      <c r="A866" t="s">
        <v>2062</v>
      </c>
      <c r="B866" t="s">
        <v>1541</v>
      </c>
      <c r="C866" t="s">
        <v>57</v>
      </c>
      <c r="D866" s="7" t="s">
        <v>2063</v>
      </c>
      <c r="E866" t="s">
        <v>59</v>
      </c>
      <c r="F866" t="s">
        <v>26</v>
      </c>
      <c r="G866" t="s">
        <v>118</v>
      </c>
      <c r="H866">
        <v>4</v>
      </c>
      <c r="I866">
        <v>21.02</v>
      </c>
      <c r="J866">
        <v>0.15</v>
      </c>
      <c r="K866">
        <v>71.47</v>
      </c>
      <c r="L866">
        <v>19.8</v>
      </c>
      <c r="M866" t="s">
        <v>40</v>
      </c>
    </row>
    <row r="867" spans="1:13" x14ac:dyDescent="0.3">
      <c r="A867" t="s">
        <v>2064</v>
      </c>
      <c r="B867" t="s">
        <v>1144</v>
      </c>
      <c r="C867" t="s">
        <v>2065</v>
      </c>
      <c r="D867" s="7" t="s">
        <v>832</v>
      </c>
      <c r="E867" t="s">
        <v>32</v>
      </c>
      <c r="F867" t="s">
        <v>33</v>
      </c>
      <c r="G867" t="s">
        <v>69</v>
      </c>
      <c r="H867">
        <v>5</v>
      </c>
      <c r="I867">
        <v>169.02</v>
      </c>
      <c r="J867">
        <v>0.1</v>
      </c>
      <c r="K867">
        <v>760.59</v>
      </c>
      <c r="L867">
        <v>196.87</v>
      </c>
      <c r="M867" t="s">
        <v>20</v>
      </c>
    </row>
    <row r="868" spans="1:13" x14ac:dyDescent="0.3">
      <c r="A868" t="s">
        <v>2066</v>
      </c>
      <c r="B868" t="s">
        <v>298</v>
      </c>
      <c r="C868" t="s">
        <v>1728</v>
      </c>
      <c r="D868" s="7" t="s">
        <v>1250</v>
      </c>
      <c r="E868" t="s">
        <v>59</v>
      </c>
      <c r="F868" t="s">
        <v>26</v>
      </c>
      <c r="G868" t="s">
        <v>27</v>
      </c>
      <c r="H868">
        <v>5</v>
      </c>
      <c r="I868">
        <v>234.66</v>
      </c>
      <c r="J868">
        <v>0.1</v>
      </c>
      <c r="K868">
        <v>1055.97</v>
      </c>
      <c r="L868">
        <v>308.52</v>
      </c>
      <c r="M868" t="s">
        <v>20</v>
      </c>
    </row>
    <row r="869" spans="1:13" x14ac:dyDescent="0.3">
      <c r="A869" t="s">
        <v>2067</v>
      </c>
      <c r="B869" t="s">
        <v>362</v>
      </c>
      <c r="C869" t="s">
        <v>694</v>
      </c>
      <c r="D869" s="7" t="s">
        <v>2068</v>
      </c>
      <c r="E869" t="s">
        <v>64</v>
      </c>
      <c r="F869" t="s">
        <v>89</v>
      </c>
      <c r="G869" t="s">
        <v>90</v>
      </c>
      <c r="H869">
        <v>5</v>
      </c>
      <c r="I869">
        <v>88.37</v>
      </c>
      <c r="J869">
        <v>0.15</v>
      </c>
      <c r="K869">
        <v>375.57</v>
      </c>
      <c r="L869">
        <v>57.33</v>
      </c>
      <c r="M869" t="s">
        <v>40</v>
      </c>
    </row>
    <row r="870" spans="1:13" x14ac:dyDescent="0.3">
      <c r="A870" t="s">
        <v>2069</v>
      </c>
      <c r="B870" t="s">
        <v>1557</v>
      </c>
      <c r="C870" t="s">
        <v>2070</v>
      </c>
      <c r="D870" s="7" t="s">
        <v>1218</v>
      </c>
      <c r="E870" t="s">
        <v>59</v>
      </c>
      <c r="F870" t="s">
        <v>33</v>
      </c>
      <c r="G870" t="s">
        <v>69</v>
      </c>
      <c r="H870">
        <v>6</v>
      </c>
      <c r="I870">
        <v>55.61</v>
      </c>
      <c r="J870">
        <v>0</v>
      </c>
      <c r="K870">
        <v>333.66</v>
      </c>
      <c r="L870">
        <v>53.14</v>
      </c>
      <c r="M870" t="s">
        <v>40</v>
      </c>
    </row>
    <row r="871" spans="1:13" x14ac:dyDescent="0.3">
      <c r="A871" t="s">
        <v>2071</v>
      </c>
      <c r="B871" t="s">
        <v>37</v>
      </c>
      <c r="C871" t="s">
        <v>991</v>
      </c>
      <c r="D871" s="7" t="s">
        <v>997</v>
      </c>
      <c r="E871" t="s">
        <v>25</v>
      </c>
      <c r="F871" t="s">
        <v>18</v>
      </c>
      <c r="G871" t="s">
        <v>45</v>
      </c>
      <c r="H871">
        <v>1</v>
      </c>
      <c r="I871">
        <v>72.650000000000006</v>
      </c>
      <c r="J871">
        <v>0</v>
      </c>
      <c r="K871">
        <v>72.650000000000006</v>
      </c>
      <c r="L871">
        <v>6.74</v>
      </c>
      <c r="M871" t="s">
        <v>40</v>
      </c>
    </row>
    <row r="872" spans="1:13" x14ac:dyDescent="0.3">
      <c r="A872" t="s">
        <v>2072</v>
      </c>
      <c r="B872" t="s">
        <v>2073</v>
      </c>
      <c r="C872" t="s">
        <v>1682</v>
      </c>
      <c r="D872" s="7" t="s">
        <v>2074</v>
      </c>
      <c r="E872" t="s">
        <v>17</v>
      </c>
      <c r="F872" t="s">
        <v>26</v>
      </c>
      <c r="G872" t="s">
        <v>84</v>
      </c>
      <c r="H872">
        <v>8</v>
      </c>
      <c r="I872">
        <v>115.51</v>
      </c>
      <c r="J872">
        <v>0.05</v>
      </c>
      <c r="K872">
        <v>877.88</v>
      </c>
      <c r="L872">
        <v>261.37</v>
      </c>
      <c r="M872" t="s">
        <v>40</v>
      </c>
    </row>
    <row r="873" spans="1:13" x14ac:dyDescent="0.3">
      <c r="A873" t="s">
        <v>2075</v>
      </c>
      <c r="B873" t="s">
        <v>1486</v>
      </c>
      <c r="C873" t="s">
        <v>436</v>
      </c>
      <c r="D873" s="7" t="s">
        <v>292</v>
      </c>
      <c r="E873" t="s">
        <v>64</v>
      </c>
      <c r="F873" t="s">
        <v>89</v>
      </c>
      <c r="G873" t="s">
        <v>131</v>
      </c>
      <c r="H873">
        <v>5</v>
      </c>
      <c r="I873">
        <v>65.89</v>
      </c>
      <c r="J873">
        <v>0.1</v>
      </c>
      <c r="K873">
        <v>296.5</v>
      </c>
      <c r="L873">
        <v>34</v>
      </c>
      <c r="M873" t="s">
        <v>20</v>
      </c>
    </row>
    <row r="874" spans="1:13" x14ac:dyDescent="0.3">
      <c r="A874" t="s">
        <v>2076</v>
      </c>
      <c r="B874" t="s">
        <v>2077</v>
      </c>
      <c r="C874" t="s">
        <v>424</v>
      </c>
      <c r="D874" s="7" t="s">
        <v>2078</v>
      </c>
      <c r="E874" t="s">
        <v>32</v>
      </c>
      <c r="F874" t="s">
        <v>89</v>
      </c>
      <c r="G874" t="s">
        <v>131</v>
      </c>
      <c r="H874">
        <v>6</v>
      </c>
      <c r="I874">
        <v>83.07</v>
      </c>
      <c r="J874">
        <v>0</v>
      </c>
      <c r="K874">
        <v>498.42</v>
      </c>
      <c r="L874">
        <v>108.76</v>
      </c>
      <c r="M874" t="s">
        <v>40</v>
      </c>
    </row>
    <row r="875" spans="1:13" x14ac:dyDescent="0.3">
      <c r="A875" t="s">
        <v>2079</v>
      </c>
      <c r="B875" t="s">
        <v>782</v>
      </c>
      <c r="C875" t="s">
        <v>62</v>
      </c>
      <c r="D875" s="7" t="s">
        <v>601</v>
      </c>
      <c r="E875" t="s">
        <v>17</v>
      </c>
      <c r="F875" t="s">
        <v>89</v>
      </c>
      <c r="G875" t="s">
        <v>150</v>
      </c>
      <c r="H875">
        <v>4</v>
      </c>
      <c r="I875">
        <v>194.67</v>
      </c>
      <c r="J875">
        <v>0.1</v>
      </c>
      <c r="K875">
        <v>700.81</v>
      </c>
      <c r="L875">
        <v>56.14</v>
      </c>
      <c r="M875" t="s">
        <v>35</v>
      </c>
    </row>
    <row r="876" spans="1:13" x14ac:dyDescent="0.3">
      <c r="A876" t="s">
        <v>2080</v>
      </c>
      <c r="B876" t="s">
        <v>731</v>
      </c>
      <c r="C876" t="s">
        <v>846</v>
      </c>
      <c r="D876" s="7" t="s">
        <v>839</v>
      </c>
      <c r="E876" t="s">
        <v>64</v>
      </c>
      <c r="F876" t="s">
        <v>18</v>
      </c>
      <c r="G876" t="s">
        <v>79</v>
      </c>
      <c r="H876">
        <v>7</v>
      </c>
      <c r="I876">
        <v>169.23</v>
      </c>
      <c r="J876">
        <v>0.1</v>
      </c>
      <c r="K876">
        <v>1066.1500000000001</v>
      </c>
      <c r="L876">
        <v>177.63</v>
      </c>
      <c r="M876" t="s">
        <v>40</v>
      </c>
    </row>
    <row r="877" spans="1:13" x14ac:dyDescent="0.3">
      <c r="A877" t="s">
        <v>2081</v>
      </c>
      <c r="B877" t="s">
        <v>1260</v>
      </c>
      <c r="C877" t="s">
        <v>1019</v>
      </c>
      <c r="D877" s="7" t="s">
        <v>532</v>
      </c>
      <c r="E877" t="s">
        <v>17</v>
      </c>
      <c r="F877" t="s">
        <v>26</v>
      </c>
      <c r="G877" t="s">
        <v>27</v>
      </c>
      <c r="H877">
        <v>7</v>
      </c>
      <c r="I877">
        <v>221.54</v>
      </c>
      <c r="J877">
        <v>0.05</v>
      </c>
      <c r="K877">
        <v>1473.24</v>
      </c>
      <c r="L877">
        <v>298.17</v>
      </c>
      <c r="M877" t="s">
        <v>20</v>
      </c>
    </row>
    <row r="878" spans="1:13" x14ac:dyDescent="0.3">
      <c r="A878" t="s">
        <v>2082</v>
      </c>
      <c r="B878" t="s">
        <v>1813</v>
      </c>
      <c r="C878" t="s">
        <v>838</v>
      </c>
      <c r="D878" s="7" t="s">
        <v>2083</v>
      </c>
      <c r="E878" t="s">
        <v>59</v>
      </c>
      <c r="F878" t="s">
        <v>33</v>
      </c>
      <c r="G878" t="s">
        <v>69</v>
      </c>
      <c r="H878">
        <v>5</v>
      </c>
      <c r="I878">
        <v>35.85</v>
      </c>
      <c r="J878">
        <v>0.05</v>
      </c>
      <c r="K878">
        <v>170.29</v>
      </c>
      <c r="L878">
        <v>46.41</v>
      </c>
      <c r="M878" t="s">
        <v>20</v>
      </c>
    </row>
    <row r="879" spans="1:13" x14ac:dyDescent="0.3">
      <c r="A879" t="s">
        <v>2084</v>
      </c>
      <c r="B879" t="s">
        <v>220</v>
      </c>
      <c r="C879" t="s">
        <v>702</v>
      </c>
      <c r="D879" s="7" t="s">
        <v>2085</v>
      </c>
      <c r="E879" t="s">
        <v>17</v>
      </c>
      <c r="F879" t="s">
        <v>33</v>
      </c>
      <c r="G879" t="s">
        <v>34</v>
      </c>
      <c r="H879">
        <v>7</v>
      </c>
      <c r="I879">
        <v>129.31</v>
      </c>
      <c r="J879">
        <v>0</v>
      </c>
      <c r="K879">
        <v>905.17</v>
      </c>
      <c r="L879">
        <v>221.89</v>
      </c>
      <c r="M879" t="s">
        <v>35</v>
      </c>
    </row>
    <row r="880" spans="1:13" x14ac:dyDescent="0.3">
      <c r="A880" t="s">
        <v>2086</v>
      </c>
      <c r="B880" t="s">
        <v>544</v>
      </c>
      <c r="C880" t="s">
        <v>1178</v>
      </c>
      <c r="D880" s="7" t="s">
        <v>2087</v>
      </c>
      <c r="E880" t="s">
        <v>32</v>
      </c>
      <c r="F880" t="s">
        <v>18</v>
      </c>
      <c r="G880" t="s">
        <v>79</v>
      </c>
      <c r="H880">
        <v>1</v>
      </c>
      <c r="I880">
        <v>151.22999999999999</v>
      </c>
      <c r="J880">
        <v>0.1</v>
      </c>
      <c r="K880">
        <v>136.11000000000001</v>
      </c>
      <c r="L880">
        <v>26.94</v>
      </c>
      <c r="M880" t="s">
        <v>40</v>
      </c>
    </row>
    <row r="881" spans="1:13" x14ac:dyDescent="0.3">
      <c r="A881" t="s">
        <v>2088</v>
      </c>
      <c r="B881" t="s">
        <v>1252</v>
      </c>
      <c r="C881" t="s">
        <v>514</v>
      </c>
      <c r="D881" s="7" t="s">
        <v>1354</v>
      </c>
      <c r="E881" t="s">
        <v>32</v>
      </c>
      <c r="F881" t="s">
        <v>26</v>
      </c>
      <c r="G881" t="s">
        <v>84</v>
      </c>
      <c r="H881">
        <v>1</v>
      </c>
      <c r="I881">
        <v>101.72</v>
      </c>
      <c r="J881">
        <v>0.05</v>
      </c>
      <c r="K881">
        <v>96.63</v>
      </c>
      <c r="L881">
        <v>27.89</v>
      </c>
      <c r="M881" t="s">
        <v>20</v>
      </c>
    </row>
    <row r="882" spans="1:13" x14ac:dyDescent="0.3">
      <c r="A882" t="s">
        <v>2089</v>
      </c>
      <c r="B882" t="s">
        <v>1216</v>
      </c>
      <c r="C882" t="s">
        <v>514</v>
      </c>
      <c r="D882" s="7" t="s">
        <v>233</v>
      </c>
      <c r="E882" t="s">
        <v>59</v>
      </c>
      <c r="F882" t="s">
        <v>33</v>
      </c>
      <c r="G882" t="s">
        <v>74</v>
      </c>
      <c r="H882">
        <v>1</v>
      </c>
      <c r="I882">
        <v>111.04</v>
      </c>
      <c r="J882">
        <v>0.15</v>
      </c>
      <c r="K882">
        <v>94.38</v>
      </c>
      <c r="L882">
        <v>26.8</v>
      </c>
      <c r="M882" t="s">
        <v>35</v>
      </c>
    </row>
    <row r="883" spans="1:13" x14ac:dyDescent="0.3">
      <c r="A883" t="s">
        <v>2090</v>
      </c>
      <c r="B883" t="s">
        <v>611</v>
      </c>
      <c r="C883" t="s">
        <v>1096</v>
      </c>
      <c r="D883" s="7" t="s">
        <v>1455</v>
      </c>
      <c r="E883" t="s">
        <v>59</v>
      </c>
      <c r="F883" t="s">
        <v>26</v>
      </c>
      <c r="G883" t="s">
        <v>118</v>
      </c>
      <c r="H883">
        <v>7</v>
      </c>
      <c r="I883">
        <v>128.38</v>
      </c>
      <c r="J883">
        <v>0.05</v>
      </c>
      <c r="K883">
        <v>853.73</v>
      </c>
      <c r="L883">
        <v>111.41</v>
      </c>
      <c r="M883" t="s">
        <v>40</v>
      </c>
    </row>
    <row r="884" spans="1:13" x14ac:dyDescent="0.3">
      <c r="A884" t="s">
        <v>2091</v>
      </c>
      <c r="B884" t="s">
        <v>548</v>
      </c>
      <c r="C884" t="s">
        <v>353</v>
      </c>
      <c r="D884" s="7" t="s">
        <v>944</v>
      </c>
      <c r="E884" t="s">
        <v>32</v>
      </c>
      <c r="F884" t="s">
        <v>89</v>
      </c>
      <c r="G884" t="s">
        <v>90</v>
      </c>
      <c r="H884">
        <v>8</v>
      </c>
      <c r="I884">
        <v>226.43</v>
      </c>
      <c r="J884">
        <v>0.05</v>
      </c>
      <c r="K884">
        <v>1720.87</v>
      </c>
      <c r="L884">
        <v>269.39999999999998</v>
      </c>
      <c r="M884" t="s">
        <v>40</v>
      </c>
    </row>
    <row r="885" spans="1:13" x14ac:dyDescent="0.3">
      <c r="A885" t="s">
        <v>2092</v>
      </c>
      <c r="B885" t="s">
        <v>2093</v>
      </c>
      <c r="C885" t="s">
        <v>843</v>
      </c>
      <c r="D885" s="7" t="s">
        <v>1431</v>
      </c>
      <c r="E885" t="s">
        <v>17</v>
      </c>
      <c r="F885" t="s">
        <v>26</v>
      </c>
      <c r="G885" t="s">
        <v>84</v>
      </c>
      <c r="H885">
        <v>7</v>
      </c>
      <c r="I885">
        <v>38.799999999999997</v>
      </c>
      <c r="J885">
        <v>0</v>
      </c>
      <c r="K885">
        <v>271.60000000000002</v>
      </c>
      <c r="L885">
        <v>22.73</v>
      </c>
      <c r="M885" t="s">
        <v>20</v>
      </c>
    </row>
    <row r="886" spans="1:13" x14ac:dyDescent="0.3">
      <c r="A886" t="s">
        <v>2094</v>
      </c>
      <c r="B886" t="s">
        <v>256</v>
      </c>
      <c r="C886" t="s">
        <v>1302</v>
      </c>
      <c r="D886" s="7" t="s">
        <v>1439</v>
      </c>
      <c r="E886" t="s">
        <v>17</v>
      </c>
      <c r="F886" t="s">
        <v>33</v>
      </c>
      <c r="G886" t="s">
        <v>74</v>
      </c>
      <c r="H886">
        <v>8</v>
      </c>
      <c r="I886">
        <v>47.83</v>
      </c>
      <c r="J886">
        <v>0</v>
      </c>
      <c r="K886">
        <v>382.64</v>
      </c>
      <c r="L886">
        <v>98.92</v>
      </c>
      <c r="M886" t="s">
        <v>35</v>
      </c>
    </row>
    <row r="887" spans="1:13" x14ac:dyDescent="0.3">
      <c r="A887" t="s">
        <v>2095</v>
      </c>
      <c r="B887" t="s">
        <v>1733</v>
      </c>
      <c r="C887" t="s">
        <v>1802</v>
      </c>
      <c r="D887" s="7" t="s">
        <v>2096</v>
      </c>
      <c r="E887" t="s">
        <v>17</v>
      </c>
      <c r="F887" t="s">
        <v>33</v>
      </c>
      <c r="G887" t="s">
        <v>34</v>
      </c>
      <c r="H887">
        <v>6</v>
      </c>
      <c r="I887">
        <v>188.8</v>
      </c>
      <c r="J887">
        <v>0</v>
      </c>
      <c r="K887">
        <v>1132.8</v>
      </c>
      <c r="L887">
        <v>250.05</v>
      </c>
      <c r="M887" t="s">
        <v>40</v>
      </c>
    </row>
    <row r="888" spans="1:13" x14ac:dyDescent="0.3">
      <c r="A888" t="s">
        <v>2097</v>
      </c>
      <c r="B888" t="s">
        <v>708</v>
      </c>
      <c r="C888" t="s">
        <v>1698</v>
      </c>
      <c r="D888" s="7" t="s">
        <v>1560</v>
      </c>
      <c r="E888" t="s">
        <v>17</v>
      </c>
      <c r="F888" t="s">
        <v>33</v>
      </c>
      <c r="G888" t="s">
        <v>34</v>
      </c>
      <c r="H888">
        <v>6</v>
      </c>
      <c r="I888">
        <v>60.35</v>
      </c>
      <c r="J888">
        <v>0.15</v>
      </c>
      <c r="K888">
        <v>307.79000000000002</v>
      </c>
      <c r="L888">
        <v>43.66</v>
      </c>
      <c r="M888" t="s">
        <v>35</v>
      </c>
    </row>
    <row r="889" spans="1:13" x14ac:dyDescent="0.3">
      <c r="A889" t="s">
        <v>2098</v>
      </c>
      <c r="B889" t="s">
        <v>92</v>
      </c>
      <c r="C889" t="s">
        <v>1299</v>
      </c>
      <c r="D889" s="7" t="s">
        <v>1027</v>
      </c>
      <c r="E889" t="s">
        <v>25</v>
      </c>
      <c r="F889" t="s">
        <v>26</v>
      </c>
      <c r="G889" t="s">
        <v>27</v>
      </c>
      <c r="H889">
        <v>4</v>
      </c>
      <c r="I889">
        <v>44.4</v>
      </c>
      <c r="J889">
        <v>0.1</v>
      </c>
      <c r="K889">
        <v>159.84</v>
      </c>
      <c r="L889">
        <v>25.87</v>
      </c>
      <c r="M889" t="s">
        <v>20</v>
      </c>
    </row>
    <row r="890" spans="1:13" x14ac:dyDescent="0.3">
      <c r="A890" t="s">
        <v>2099</v>
      </c>
      <c r="B890" t="s">
        <v>1879</v>
      </c>
      <c r="C890" t="s">
        <v>1033</v>
      </c>
      <c r="D890" s="7" t="s">
        <v>2100</v>
      </c>
      <c r="E890" t="s">
        <v>64</v>
      </c>
      <c r="F890" t="s">
        <v>89</v>
      </c>
      <c r="G890" t="s">
        <v>90</v>
      </c>
      <c r="H890">
        <v>3</v>
      </c>
      <c r="I890">
        <v>81.03</v>
      </c>
      <c r="J890">
        <v>0.05</v>
      </c>
      <c r="K890">
        <v>230.94</v>
      </c>
      <c r="L890">
        <v>39.409999999999997</v>
      </c>
      <c r="M890" t="s">
        <v>20</v>
      </c>
    </row>
    <row r="891" spans="1:13" x14ac:dyDescent="0.3">
      <c r="A891" t="s">
        <v>2101</v>
      </c>
      <c r="B891" t="s">
        <v>1098</v>
      </c>
      <c r="C891" t="s">
        <v>121</v>
      </c>
      <c r="D891" s="7" t="s">
        <v>1828</v>
      </c>
      <c r="E891" t="s">
        <v>25</v>
      </c>
      <c r="F891" t="s">
        <v>26</v>
      </c>
      <c r="G891" t="s">
        <v>27</v>
      </c>
      <c r="H891">
        <v>5</v>
      </c>
      <c r="I891">
        <v>154.16</v>
      </c>
      <c r="J891">
        <v>0</v>
      </c>
      <c r="K891">
        <v>770.8</v>
      </c>
      <c r="L891">
        <v>229.59</v>
      </c>
      <c r="M891" t="s">
        <v>40</v>
      </c>
    </row>
    <row r="892" spans="1:13" x14ac:dyDescent="0.3">
      <c r="A892" t="s">
        <v>2102</v>
      </c>
      <c r="B892" t="s">
        <v>248</v>
      </c>
      <c r="C892" t="s">
        <v>1220</v>
      </c>
      <c r="D892" s="7" t="s">
        <v>976</v>
      </c>
      <c r="E892" t="s">
        <v>17</v>
      </c>
      <c r="F892" t="s">
        <v>26</v>
      </c>
      <c r="G892" t="s">
        <v>27</v>
      </c>
      <c r="H892">
        <v>4</v>
      </c>
      <c r="I892">
        <v>173.81</v>
      </c>
      <c r="J892">
        <v>0.1</v>
      </c>
      <c r="K892">
        <v>625.72</v>
      </c>
      <c r="L892">
        <v>97.21</v>
      </c>
      <c r="M892" t="s">
        <v>20</v>
      </c>
    </row>
    <row r="893" spans="1:13" x14ac:dyDescent="0.3">
      <c r="A893" t="s">
        <v>2103</v>
      </c>
      <c r="B893" t="s">
        <v>432</v>
      </c>
      <c r="C893" t="s">
        <v>2104</v>
      </c>
      <c r="D893" s="7" t="s">
        <v>1419</v>
      </c>
      <c r="E893" t="s">
        <v>32</v>
      </c>
      <c r="F893" t="s">
        <v>33</v>
      </c>
      <c r="G893" t="s">
        <v>34</v>
      </c>
      <c r="H893">
        <v>1</v>
      </c>
      <c r="I893">
        <v>193.73</v>
      </c>
      <c r="J893">
        <v>0.15</v>
      </c>
      <c r="K893">
        <v>164.67</v>
      </c>
      <c r="L893">
        <v>42.26</v>
      </c>
      <c r="M893" t="s">
        <v>20</v>
      </c>
    </row>
    <row r="894" spans="1:13" x14ac:dyDescent="0.3">
      <c r="A894" t="s">
        <v>2105</v>
      </c>
      <c r="B894" t="s">
        <v>1720</v>
      </c>
      <c r="C894" t="s">
        <v>1744</v>
      </c>
      <c r="D894" s="7" t="s">
        <v>1392</v>
      </c>
      <c r="E894" t="s">
        <v>17</v>
      </c>
      <c r="F894" t="s">
        <v>26</v>
      </c>
      <c r="G894" t="s">
        <v>84</v>
      </c>
      <c r="H894">
        <v>7</v>
      </c>
      <c r="I894">
        <v>86.23</v>
      </c>
      <c r="J894">
        <v>0.1</v>
      </c>
      <c r="K894">
        <v>543.25</v>
      </c>
      <c r="L894">
        <v>102.46</v>
      </c>
      <c r="M894" t="s">
        <v>20</v>
      </c>
    </row>
    <row r="895" spans="1:13" x14ac:dyDescent="0.3">
      <c r="A895" t="s">
        <v>2106</v>
      </c>
      <c r="B895" t="s">
        <v>1896</v>
      </c>
      <c r="C895" t="s">
        <v>1971</v>
      </c>
      <c r="D895" s="7" t="s">
        <v>498</v>
      </c>
      <c r="E895" t="s">
        <v>59</v>
      </c>
      <c r="F895" t="s">
        <v>26</v>
      </c>
      <c r="G895" t="s">
        <v>27</v>
      </c>
      <c r="H895">
        <v>8</v>
      </c>
      <c r="I895">
        <v>68.03</v>
      </c>
      <c r="J895">
        <v>0</v>
      </c>
      <c r="K895">
        <v>544.24</v>
      </c>
      <c r="L895">
        <v>77.98</v>
      </c>
      <c r="M895" t="s">
        <v>20</v>
      </c>
    </row>
    <row r="896" spans="1:13" x14ac:dyDescent="0.3">
      <c r="A896" t="s">
        <v>2107</v>
      </c>
      <c r="B896" t="s">
        <v>1118</v>
      </c>
      <c r="C896" t="s">
        <v>807</v>
      </c>
      <c r="D896" s="7" t="s">
        <v>634</v>
      </c>
      <c r="E896" t="s">
        <v>64</v>
      </c>
      <c r="F896" t="s">
        <v>89</v>
      </c>
      <c r="G896" t="s">
        <v>131</v>
      </c>
      <c r="H896">
        <v>5</v>
      </c>
      <c r="I896">
        <v>10</v>
      </c>
      <c r="J896">
        <v>0.1</v>
      </c>
      <c r="K896">
        <v>45</v>
      </c>
      <c r="L896">
        <v>4.16</v>
      </c>
      <c r="M896" t="s">
        <v>20</v>
      </c>
    </row>
    <row r="897" spans="1:13" x14ac:dyDescent="0.3">
      <c r="A897" t="s">
        <v>2108</v>
      </c>
      <c r="B897" t="s">
        <v>155</v>
      </c>
      <c r="C897" t="s">
        <v>729</v>
      </c>
      <c r="D897" s="7" t="s">
        <v>669</v>
      </c>
      <c r="E897" t="s">
        <v>64</v>
      </c>
      <c r="F897" t="s">
        <v>89</v>
      </c>
      <c r="G897" t="s">
        <v>131</v>
      </c>
      <c r="H897">
        <v>6</v>
      </c>
      <c r="I897">
        <v>94.15</v>
      </c>
      <c r="J897">
        <v>0.1</v>
      </c>
      <c r="K897">
        <v>508.41</v>
      </c>
      <c r="L897">
        <v>117.05</v>
      </c>
      <c r="M897" t="s">
        <v>35</v>
      </c>
    </row>
    <row r="898" spans="1:13" x14ac:dyDescent="0.3">
      <c r="A898" t="s">
        <v>2109</v>
      </c>
      <c r="B898" t="s">
        <v>302</v>
      </c>
      <c r="C898" t="s">
        <v>53</v>
      </c>
      <c r="D898" s="7" t="s">
        <v>563</v>
      </c>
      <c r="E898" t="s">
        <v>25</v>
      </c>
      <c r="F898" t="s">
        <v>26</v>
      </c>
      <c r="G898" t="s">
        <v>27</v>
      </c>
      <c r="H898">
        <v>5</v>
      </c>
      <c r="I898">
        <v>180.4</v>
      </c>
      <c r="J898">
        <v>0.05</v>
      </c>
      <c r="K898">
        <v>856.9</v>
      </c>
      <c r="L898">
        <v>125.31</v>
      </c>
      <c r="M898" t="s">
        <v>40</v>
      </c>
    </row>
    <row r="899" spans="1:13" x14ac:dyDescent="0.3">
      <c r="A899" t="s">
        <v>2110</v>
      </c>
      <c r="B899" t="s">
        <v>355</v>
      </c>
      <c r="C899" t="s">
        <v>2111</v>
      </c>
      <c r="D899" s="7" t="s">
        <v>813</v>
      </c>
      <c r="E899" t="s">
        <v>17</v>
      </c>
      <c r="F899" t="s">
        <v>33</v>
      </c>
      <c r="G899" t="s">
        <v>50</v>
      </c>
      <c r="H899">
        <v>3</v>
      </c>
      <c r="I899">
        <v>233.76</v>
      </c>
      <c r="J899">
        <v>0.05</v>
      </c>
      <c r="K899">
        <v>666.22</v>
      </c>
      <c r="L899">
        <v>130.18</v>
      </c>
      <c r="M899" t="s">
        <v>35</v>
      </c>
    </row>
    <row r="900" spans="1:13" x14ac:dyDescent="0.3">
      <c r="A900" t="s">
        <v>2112</v>
      </c>
      <c r="B900" t="s">
        <v>904</v>
      </c>
      <c r="C900" t="s">
        <v>1290</v>
      </c>
      <c r="D900" s="7" t="s">
        <v>1979</v>
      </c>
      <c r="E900" t="s">
        <v>32</v>
      </c>
      <c r="F900" t="s">
        <v>18</v>
      </c>
      <c r="G900" t="s">
        <v>79</v>
      </c>
      <c r="H900">
        <v>5</v>
      </c>
      <c r="I900">
        <v>119.81</v>
      </c>
      <c r="J900">
        <v>0.1</v>
      </c>
      <c r="K900">
        <v>539.14</v>
      </c>
      <c r="L900">
        <v>92.47</v>
      </c>
      <c r="M900" t="s">
        <v>40</v>
      </c>
    </row>
    <row r="901" spans="1:13" x14ac:dyDescent="0.3">
      <c r="A901" t="s">
        <v>2113</v>
      </c>
      <c r="B901" t="s">
        <v>810</v>
      </c>
      <c r="C901" t="s">
        <v>1789</v>
      </c>
      <c r="D901" s="7" t="s">
        <v>1365</v>
      </c>
      <c r="E901" t="s">
        <v>64</v>
      </c>
      <c r="F901" t="s">
        <v>26</v>
      </c>
      <c r="G901" t="s">
        <v>84</v>
      </c>
      <c r="H901">
        <v>2</v>
      </c>
      <c r="I901">
        <v>205.6</v>
      </c>
      <c r="J901">
        <v>0</v>
      </c>
      <c r="K901">
        <v>411.2</v>
      </c>
      <c r="L901">
        <v>109.44</v>
      </c>
      <c r="M901" t="s">
        <v>20</v>
      </c>
    </row>
    <row r="902" spans="1:13" x14ac:dyDescent="0.3">
      <c r="A902" t="s">
        <v>2114</v>
      </c>
      <c r="B902" t="s">
        <v>722</v>
      </c>
      <c r="C902" t="s">
        <v>1283</v>
      </c>
      <c r="D902" s="7" t="s">
        <v>205</v>
      </c>
      <c r="E902" t="s">
        <v>59</v>
      </c>
      <c r="F902" t="s">
        <v>26</v>
      </c>
      <c r="G902" t="s">
        <v>27</v>
      </c>
      <c r="H902">
        <v>7</v>
      </c>
      <c r="I902">
        <v>80.87</v>
      </c>
      <c r="J902">
        <v>0</v>
      </c>
      <c r="K902">
        <v>566.09</v>
      </c>
      <c r="L902">
        <v>50.52</v>
      </c>
      <c r="M902" t="s">
        <v>35</v>
      </c>
    </row>
    <row r="903" spans="1:13" x14ac:dyDescent="0.3">
      <c r="A903" t="s">
        <v>2115</v>
      </c>
      <c r="B903" t="s">
        <v>731</v>
      </c>
      <c r="C903" t="s">
        <v>1704</v>
      </c>
      <c r="D903" s="7" t="s">
        <v>1161</v>
      </c>
      <c r="E903" t="s">
        <v>32</v>
      </c>
      <c r="F903" t="s">
        <v>33</v>
      </c>
      <c r="G903" t="s">
        <v>34</v>
      </c>
      <c r="H903">
        <v>6</v>
      </c>
      <c r="I903">
        <v>172.42</v>
      </c>
      <c r="J903">
        <v>0.1</v>
      </c>
      <c r="K903">
        <v>931.07</v>
      </c>
      <c r="L903">
        <v>136.28</v>
      </c>
      <c r="M903" t="s">
        <v>20</v>
      </c>
    </row>
    <row r="904" spans="1:13" x14ac:dyDescent="0.3">
      <c r="A904" t="s">
        <v>2116</v>
      </c>
      <c r="B904" t="s">
        <v>229</v>
      </c>
      <c r="C904" t="s">
        <v>2117</v>
      </c>
      <c r="D904" s="7" t="s">
        <v>2118</v>
      </c>
      <c r="E904" t="s">
        <v>32</v>
      </c>
      <c r="F904" t="s">
        <v>89</v>
      </c>
      <c r="G904" t="s">
        <v>90</v>
      </c>
      <c r="H904">
        <v>6</v>
      </c>
      <c r="I904">
        <v>42.98</v>
      </c>
      <c r="J904">
        <v>0</v>
      </c>
      <c r="K904">
        <v>257.88</v>
      </c>
      <c r="L904">
        <v>38.19</v>
      </c>
      <c r="M904" t="s">
        <v>40</v>
      </c>
    </row>
    <row r="905" spans="1:13" x14ac:dyDescent="0.3">
      <c r="A905" t="s">
        <v>2119</v>
      </c>
      <c r="B905" t="s">
        <v>66</v>
      </c>
      <c r="C905" t="s">
        <v>2120</v>
      </c>
      <c r="D905" s="7" t="s">
        <v>1819</v>
      </c>
      <c r="E905" t="s">
        <v>17</v>
      </c>
      <c r="F905" t="s">
        <v>33</v>
      </c>
      <c r="G905" t="s">
        <v>69</v>
      </c>
      <c r="H905">
        <v>3</v>
      </c>
      <c r="I905">
        <v>40.43</v>
      </c>
      <c r="J905">
        <v>0.05</v>
      </c>
      <c r="K905">
        <v>115.23</v>
      </c>
      <c r="L905">
        <v>14.46</v>
      </c>
      <c r="M905" t="s">
        <v>40</v>
      </c>
    </row>
    <row r="906" spans="1:13" x14ac:dyDescent="0.3">
      <c r="A906" t="s">
        <v>2121</v>
      </c>
      <c r="B906" t="s">
        <v>697</v>
      </c>
      <c r="C906" t="s">
        <v>2122</v>
      </c>
      <c r="D906" s="7" t="s">
        <v>1725</v>
      </c>
      <c r="E906" t="s">
        <v>17</v>
      </c>
      <c r="F906" t="s">
        <v>18</v>
      </c>
      <c r="G906" t="s">
        <v>79</v>
      </c>
      <c r="H906">
        <v>3</v>
      </c>
      <c r="I906">
        <v>224.54</v>
      </c>
      <c r="J906">
        <v>0.1</v>
      </c>
      <c r="K906">
        <v>606.26</v>
      </c>
      <c r="L906">
        <v>128.75</v>
      </c>
      <c r="M906" t="s">
        <v>20</v>
      </c>
    </row>
    <row r="907" spans="1:13" x14ac:dyDescent="0.3">
      <c r="A907" t="s">
        <v>2123</v>
      </c>
      <c r="B907" t="s">
        <v>2124</v>
      </c>
      <c r="C907" t="s">
        <v>2125</v>
      </c>
      <c r="D907" s="7" t="s">
        <v>674</v>
      </c>
      <c r="E907" t="s">
        <v>25</v>
      </c>
      <c r="F907" t="s">
        <v>89</v>
      </c>
      <c r="G907" t="s">
        <v>90</v>
      </c>
      <c r="H907">
        <v>8</v>
      </c>
      <c r="I907">
        <v>65.040000000000006</v>
      </c>
      <c r="J907">
        <v>0.05</v>
      </c>
      <c r="K907">
        <v>494.3</v>
      </c>
      <c r="L907">
        <v>122.72</v>
      </c>
      <c r="M907" t="s">
        <v>20</v>
      </c>
    </row>
    <row r="908" spans="1:13" x14ac:dyDescent="0.3">
      <c r="A908" t="s">
        <v>2126</v>
      </c>
      <c r="B908" t="s">
        <v>1742</v>
      </c>
      <c r="C908" t="s">
        <v>1754</v>
      </c>
      <c r="D908" s="7" t="s">
        <v>1669</v>
      </c>
      <c r="E908" t="s">
        <v>64</v>
      </c>
      <c r="F908" t="s">
        <v>33</v>
      </c>
      <c r="G908" t="s">
        <v>34</v>
      </c>
      <c r="H908">
        <v>7</v>
      </c>
      <c r="I908">
        <v>65.95</v>
      </c>
      <c r="J908">
        <v>0</v>
      </c>
      <c r="K908">
        <v>461.65</v>
      </c>
      <c r="L908">
        <v>120.89</v>
      </c>
      <c r="M908" t="s">
        <v>40</v>
      </c>
    </row>
    <row r="909" spans="1:13" x14ac:dyDescent="0.3">
      <c r="A909" t="s">
        <v>2127</v>
      </c>
      <c r="B909" t="s">
        <v>1307</v>
      </c>
      <c r="C909" t="s">
        <v>82</v>
      </c>
      <c r="D909" s="7" t="s">
        <v>2128</v>
      </c>
      <c r="E909" t="s">
        <v>17</v>
      </c>
      <c r="F909" t="s">
        <v>89</v>
      </c>
      <c r="G909" t="s">
        <v>90</v>
      </c>
      <c r="H909">
        <v>3</v>
      </c>
      <c r="I909">
        <v>128.82</v>
      </c>
      <c r="J909">
        <v>0.05</v>
      </c>
      <c r="K909">
        <v>367.14</v>
      </c>
      <c r="L909">
        <v>35.770000000000003</v>
      </c>
      <c r="M909" t="s">
        <v>40</v>
      </c>
    </row>
    <row r="910" spans="1:13" x14ac:dyDescent="0.3">
      <c r="A910" t="s">
        <v>2129</v>
      </c>
      <c r="B910" t="s">
        <v>1408</v>
      </c>
      <c r="C910" t="s">
        <v>531</v>
      </c>
      <c r="D910" s="7" t="s">
        <v>2130</v>
      </c>
      <c r="E910" t="s">
        <v>25</v>
      </c>
      <c r="F910" t="s">
        <v>18</v>
      </c>
      <c r="G910" t="s">
        <v>45</v>
      </c>
      <c r="H910">
        <v>1</v>
      </c>
      <c r="I910">
        <v>235.78</v>
      </c>
      <c r="J910">
        <v>0.05</v>
      </c>
      <c r="K910">
        <v>223.99</v>
      </c>
      <c r="L910">
        <v>23.32</v>
      </c>
      <c r="M910" t="s">
        <v>40</v>
      </c>
    </row>
    <row r="911" spans="1:13" x14ac:dyDescent="0.3">
      <c r="A911" t="s">
        <v>2131</v>
      </c>
      <c r="B911" t="s">
        <v>771</v>
      </c>
      <c r="C911" t="s">
        <v>517</v>
      </c>
      <c r="D911" s="7" t="s">
        <v>2096</v>
      </c>
      <c r="E911" t="s">
        <v>59</v>
      </c>
      <c r="F911" t="s">
        <v>18</v>
      </c>
      <c r="G911" t="s">
        <v>19</v>
      </c>
      <c r="H911">
        <v>3</v>
      </c>
      <c r="I911">
        <v>225.27</v>
      </c>
      <c r="J911">
        <v>0</v>
      </c>
      <c r="K911">
        <v>675.81</v>
      </c>
      <c r="L911">
        <v>70.790000000000006</v>
      </c>
      <c r="M911" t="s">
        <v>40</v>
      </c>
    </row>
    <row r="912" spans="1:13" x14ac:dyDescent="0.3">
      <c r="A912" t="s">
        <v>2132</v>
      </c>
      <c r="B912" t="s">
        <v>1367</v>
      </c>
      <c r="C912" t="s">
        <v>1760</v>
      </c>
      <c r="D912" s="7" t="s">
        <v>1731</v>
      </c>
      <c r="E912" t="s">
        <v>17</v>
      </c>
      <c r="F912" t="s">
        <v>26</v>
      </c>
      <c r="G912" t="s">
        <v>118</v>
      </c>
      <c r="H912">
        <v>4</v>
      </c>
      <c r="I912">
        <v>238.4</v>
      </c>
      <c r="J912">
        <v>0.05</v>
      </c>
      <c r="K912">
        <v>905.92</v>
      </c>
      <c r="L912">
        <v>220.3</v>
      </c>
      <c r="M912" t="s">
        <v>35</v>
      </c>
    </row>
    <row r="913" spans="1:13" x14ac:dyDescent="0.3">
      <c r="A913" t="s">
        <v>2133</v>
      </c>
      <c r="B913" t="s">
        <v>607</v>
      </c>
      <c r="C913" t="s">
        <v>1050</v>
      </c>
      <c r="D913" s="7" t="s">
        <v>1426</v>
      </c>
      <c r="E913" t="s">
        <v>32</v>
      </c>
      <c r="F913" t="s">
        <v>33</v>
      </c>
      <c r="G913" t="s">
        <v>74</v>
      </c>
      <c r="H913">
        <v>3</v>
      </c>
      <c r="I913">
        <v>99.63</v>
      </c>
      <c r="J913">
        <v>0.05</v>
      </c>
      <c r="K913">
        <v>283.95</v>
      </c>
      <c r="L913">
        <v>64.680000000000007</v>
      </c>
      <c r="M913" t="s">
        <v>20</v>
      </c>
    </row>
    <row r="914" spans="1:13" x14ac:dyDescent="0.3">
      <c r="A914" t="s">
        <v>2134</v>
      </c>
      <c r="B914" t="s">
        <v>1997</v>
      </c>
      <c r="C914" t="s">
        <v>2135</v>
      </c>
      <c r="D914" s="7" t="s">
        <v>854</v>
      </c>
      <c r="E914" t="s">
        <v>32</v>
      </c>
      <c r="F914" t="s">
        <v>18</v>
      </c>
      <c r="G914" t="s">
        <v>45</v>
      </c>
      <c r="H914">
        <v>5</v>
      </c>
      <c r="I914">
        <v>170.25</v>
      </c>
      <c r="J914">
        <v>0.1</v>
      </c>
      <c r="K914">
        <v>766.12</v>
      </c>
      <c r="L914">
        <v>79.27</v>
      </c>
      <c r="M914" t="s">
        <v>20</v>
      </c>
    </row>
    <row r="915" spans="1:13" x14ac:dyDescent="0.3">
      <c r="A915" t="s">
        <v>2136</v>
      </c>
      <c r="B915" t="s">
        <v>1629</v>
      </c>
      <c r="C915" t="s">
        <v>1147</v>
      </c>
      <c r="D915" s="7" t="s">
        <v>2137</v>
      </c>
      <c r="E915" t="s">
        <v>17</v>
      </c>
      <c r="F915" t="s">
        <v>33</v>
      </c>
      <c r="G915" t="s">
        <v>34</v>
      </c>
      <c r="H915">
        <v>2</v>
      </c>
      <c r="I915">
        <v>100.17</v>
      </c>
      <c r="J915">
        <v>0.1</v>
      </c>
      <c r="K915">
        <v>180.31</v>
      </c>
      <c r="L915">
        <v>21.49</v>
      </c>
      <c r="M915" t="s">
        <v>20</v>
      </c>
    </row>
    <row r="916" spans="1:13" x14ac:dyDescent="0.3">
      <c r="A916" t="s">
        <v>2138</v>
      </c>
      <c r="B916" t="s">
        <v>1005</v>
      </c>
      <c r="C916" t="s">
        <v>504</v>
      </c>
      <c r="D916" s="7" t="s">
        <v>135</v>
      </c>
      <c r="E916" t="s">
        <v>17</v>
      </c>
      <c r="F916" t="s">
        <v>33</v>
      </c>
      <c r="G916" t="s">
        <v>69</v>
      </c>
      <c r="H916">
        <v>4</v>
      </c>
      <c r="I916">
        <v>199.19</v>
      </c>
      <c r="J916">
        <v>0.1</v>
      </c>
      <c r="K916">
        <v>717.08</v>
      </c>
      <c r="L916">
        <v>60.82</v>
      </c>
      <c r="M916" t="s">
        <v>40</v>
      </c>
    </row>
    <row r="917" spans="1:13" x14ac:dyDescent="0.3">
      <c r="A917" t="s">
        <v>2139</v>
      </c>
      <c r="B917" t="s">
        <v>1226</v>
      </c>
      <c r="C917" t="s">
        <v>744</v>
      </c>
      <c r="D917" s="7" t="s">
        <v>1778</v>
      </c>
      <c r="E917" t="s">
        <v>59</v>
      </c>
      <c r="F917" t="s">
        <v>89</v>
      </c>
      <c r="G917" t="s">
        <v>90</v>
      </c>
      <c r="H917">
        <v>1</v>
      </c>
      <c r="I917">
        <v>220.22</v>
      </c>
      <c r="J917">
        <v>0.05</v>
      </c>
      <c r="K917">
        <v>209.21</v>
      </c>
      <c r="L917">
        <v>48.04</v>
      </c>
      <c r="M917" t="s">
        <v>20</v>
      </c>
    </row>
    <row r="918" spans="1:13" x14ac:dyDescent="0.3">
      <c r="A918" t="s">
        <v>2140</v>
      </c>
      <c r="B918" t="s">
        <v>341</v>
      </c>
      <c r="C918" t="s">
        <v>369</v>
      </c>
      <c r="D918" s="7" t="s">
        <v>1167</v>
      </c>
      <c r="E918" t="s">
        <v>17</v>
      </c>
      <c r="F918" t="s">
        <v>26</v>
      </c>
      <c r="G918" t="s">
        <v>118</v>
      </c>
      <c r="H918">
        <v>1</v>
      </c>
      <c r="I918">
        <v>19.190000000000001</v>
      </c>
      <c r="J918">
        <v>0</v>
      </c>
      <c r="K918">
        <v>19.190000000000001</v>
      </c>
      <c r="L918">
        <v>4.26</v>
      </c>
      <c r="M918" t="s">
        <v>40</v>
      </c>
    </row>
    <row r="919" spans="1:13" x14ac:dyDescent="0.3">
      <c r="A919" t="s">
        <v>2141</v>
      </c>
      <c r="B919" t="s">
        <v>1634</v>
      </c>
      <c r="C919" t="s">
        <v>1833</v>
      </c>
      <c r="D919" s="7" t="s">
        <v>891</v>
      </c>
      <c r="E919" t="s">
        <v>64</v>
      </c>
      <c r="F919" t="s">
        <v>26</v>
      </c>
      <c r="G919" t="s">
        <v>118</v>
      </c>
      <c r="H919">
        <v>5</v>
      </c>
      <c r="I919">
        <v>235.4</v>
      </c>
      <c r="J919">
        <v>0.1</v>
      </c>
      <c r="K919">
        <v>1059.3</v>
      </c>
      <c r="L919">
        <v>107.6</v>
      </c>
      <c r="M919" t="s">
        <v>40</v>
      </c>
    </row>
    <row r="920" spans="1:13" x14ac:dyDescent="0.3">
      <c r="A920" t="s">
        <v>2142</v>
      </c>
      <c r="B920" t="s">
        <v>1013</v>
      </c>
      <c r="C920" t="s">
        <v>1331</v>
      </c>
      <c r="D920" s="7" t="s">
        <v>1822</v>
      </c>
      <c r="E920" t="s">
        <v>64</v>
      </c>
      <c r="F920" t="s">
        <v>89</v>
      </c>
      <c r="G920" t="s">
        <v>150</v>
      </c>
      <c r="H920">
        <v>1</v>
      </c>
      <c r="I920">
        <v>196.36</v>
      </c>
      <c r="J920">
        <v>0.1</v>
      </c>
      <c r="K920">
        <v>176.72</v>
      </c>
      <c r="L920">
        <v>42.33</v>
      </c>
      <c r="M920" t="s">
        <v>40</v>
      </c>
    </row>
    <row r="921" spans="1:13" x14ac:dyDescent="0.3">
      <c r="A921" t="s">
        <v>2143</v>
      </c>
      <c r="B921" t="s">
        <v>1853</v>
      </c>
      <c r="C921" t="s">
        <v>1364</v>
      </c>
      <c r="D921" s="7" t="s">
        <v>2100</v>
      </c>
      <c r="E921" t="s">
        <v>59</v>
      </c>
      <c r="F921" t="s">
        <v>26</v>
      </c>
      <c r="G921" t="s">
        <v>27</v>
      </c>
      <c r="H921">
        <v>8</v>
      </c>
      <c r="I921">
        <v>63.25</v>
      </c>
      <c r="J921">
        <v>0</v>
      </c>
      <c r="K921">
        <v>506</v>
      </c>
      <c r="L921">
        <v>88.57</v>
      </c>
      <c r="M921" t="s">
        <v>20</v>
      </c>
    </row>
    <row r="922" spans="1:13" x14ac:dyDescent="0.3">
      <c r="A922" t="s">
        <v>2144</v>
      </c>
      <c r="B922" t="s">
        <v>47</v>
      </c>
      <c r="C922" t="s">
        <v>778</v>
      </c>
      <c r="D922" s="7" t="s">
        <v>1022</v>
      </c>
      <c r="E922" t="s">
        <v>59</v>
      </c>
      <c r="F922" t="s">
        <v>26</v>
      </c>
      <c r="G922" t="s">
        <v>27</v>
      </c>
      <c r="H922">
        <v>3</v>
      </c>
      <c r="I922">
        <v>225.23</v>
      </c>
      <c r="J922">
        <v>0.05</v>
      </c>
      <c r="K922">
        <v>641.91</v>
      </c>
      <c r="L922">
        <v>183.66</v>
      </c>
      <c r="M922" t="s">
        <v>40</v>
      </c>
    </row>
    <row r="923" spans="1:13" x14ac:dyDescent="0.3">
      <c r="A923" t="s">
        <v>2145</v>
      </c>
      <c r="B923" t="s">
        <v>1307</v>
      </c>
      <c r="C923" t="s">
        <v>2146</v>
      </c>
      <c r="D923" s="7" t="s">
        <v>2130</v>
      </c>
      <c r="E923" t="s">
        <v>59</v>
      </c>
      <c r="F923" t="s">
        <v>89</v>
      </c>
      <c r="G923" t="s">
        <v>131</v>
      </c>
      <c r="H923">
        <v>5</v>
      </c>
      <c r="I923">
        <v>127.17</v>
      </c>
      <c r="J923">
        <v>0.05</v>
      </c>
      <c r="K923">
        <v>604.05999999999995</v>
      </c>
      <c r="L923">
        <v>164.32</v>
      </c>
      <c r="M923" t="s">
        <v>20</v>
      </c>
    </row>
    <row r="924" spans="1:13" x14ac:dyDescent="0.3">
      <c r="A924" t="s">
        <v>2147</v>
      </c>
      <c r="B924" t="s">
        <v>681</v>
      </c>
      <c r="C924" t="s">
        <v>204</v>
      </c>
      <c r="D924" s="7" t="s">
        <v>227</v>
      </c>
      <c r="E924" t="s">
        <v>17</v>
      </c>
      <c r="F924" t="s">
        <v>18</v>
      </c>
      <c r="G924" t="s">
        <v>79</v>
      </c>
      <c r="H924">
        <v>1</v>
      </c>
      <c r="I924">
        <v>14.78</v>
      </c>
      <c r="J924">
        <v>0.05</v>
      </c>
      <c r="K924">
        <v>14.04</v>
      </c>
      <c r="L924">
        <v>2.87</v>
      </c>
      <c r="M924" t="s">
        <v>40</v>
      </c>
    </row>
    <row r="925" spans="1:13" x14ac:dyDescent="0.3">
      <c r="A925" t="s">
        <v>2148</v>
      </c>
      <c r="B925" t="s">
        <v>52</v>
      </c>
      <c r="C925" t="s">
        <v>1842</v>
      </c>
      <c r="D925" s="7" t="s">
        <v>1041</v>
      </c>
      <c r="E925" t="s">
        <v>32</v>
      </c>
      <c r="F925" t="s">
        <v>18</v>
      </c>
      <c r="G925" t="s">
        <v>79</v>
      </c>
      <c r="H925">
        <v>1</v>
      </c>
      <c r="I925">
        <v>173.71</v>
      </c>
      <c r="J925">
        <v>0.15</v>
      </c>
      <c r="K925">
        <v>147.65</v>
      </c>
      <c r="L925">
        <v>38.39</v>
      </c>
      <c r="M925" t="s">
        <v>35</v>
      </c>
    </row>
    <row r="926" spans="1:13" x14ac:dyDescent="0.3">
      <c r="A926" t="s">
        <v>2149</v>
      </c>
      <c r="B926" t="s">
        <v>1129</v>
      </c>
      <c r="C926" t="s">
        <v>1213</v>
      </c>
      <c r="D926" s="7" t="s">
        <v>922</v>
      </c>
      <c r="E926" t="s">
        <v>25</v>
      </c>
      <c r="F926" t="s">
        <v>33</v>
      </c>
      <c r="G926" t="s">
        <v>69</v>
      </c>
      <c r="H926">
        <v>7</v>
      </c>
      <c r="I926">
        <v>151.82</v>
      </c>
      <c r="J926">
        <v>0.05</v>
      </c>
      <c r="K926">
        <v>1009.6</v>
      </c>
      <c r="L926">
        <v>171.32</v>
      </c>
      <c r="M926" t="s">
        <v>20</v>
      </c>
    </row>
    <row r="927" spans="1:13" x14ac:dyDescent="0.3">
      <c r="A927" t="s">
        <v>2150</v>
      </c>
      <c r="B927" t="s">
        <v>2151</v>
      </c>
      <c r="C927" t="s">
        <v>429</v>
      </c>
      <c r="D927" s="7" t="s">
        <v>2152</v>
      </c>
      <c r="E927" t="s">
        <v>17</v>
      </c>
      <c r="F927" t="s">
        <v>26</v>
      </c>
      <c r="G927" t="s">
        <v>118</v>
      </c>
      <c r="H927">
        <v>1</v>
      </c>
      <c r="I927">
        <v>246.03</v>
      </c>
      <c r="J927">
        <v>0.1</v>
      </c>
      <c r="K927">
        <v>221.43</v>
      </c>
      <c r="L927">
        <v>35.36</v>
      </c>
      <c r="M927" t="s">
        <v>40</v>
      </c>
    </row>
    <row r="928" spans="1:13" x14ac:dyDescent="0.3">
      <c r="A928" t="s">
        <v>2153</v>
      </c>
      <c r="B928" t="s">
        <v>246</v>
      </c>
      <c r="C928" t="s">
        <v>824</v>
      </c>
      <c r="D928" s="7" t="s">
        <v>695</v>
      </c>
      <c r="E928" t="s">
        <v>59</v>
      </c>
      <c r="F928" t="s">
        <v>18</v>
      </c>
      <c r="G928" t="s">
        <v>79</v>
      </c>
      <c r="H928">
        <v>1</v>
      </c>
      <c r="I928">
        <v>117.85</v>
      </c>
      <c r="J928">
        <v>0.1</v>
      </c>
      <c r="K928">
        <v>106.06</v>
      </c>
      <c r="L928">
        <v>21.21</v>
      </c>
      <c r="M928" t="s">
        <v>20</v>
      </c>
    </row>
    <row r="929" spans="1:13" x14ac:dyDescent="0.3">
      <c r="A929" t="s">
        <v>2154</v>
      </c>
      <c r="B929" t="s">
        <v>1118</v>
      </c>
      <c r="C929" t="s">
        <v>967</v>
      </c>
      <c r="D929" s="7" t="s">
        <v>1979</v>
      </c>
      <c r="E929" t="s">
        <v>64</v>
      </c>
      <c r="F929" t="s">
        <v>89</v>
      </c>
      <c r="G929" t="s">
        <v>90</v>
      </c>
      <c r="H929">
        <v>8</v>
      </c>
      <c r="I929">
        <v>230.87</v>
      </c>
      <c r="J929">
        <v>0.15</v>
      </c>
      <c r="K929">
        <v>1569.92</v>
      </c>
      <c r="L929">
        <v>235.15</v>
      </c>
      <c r="M929" t="s">
        <v>20</v>
      </c>
    </row>
    <row r="930" spans="1:13" x14ac:dyDescent="0.3">
      <c r="A930" t="s">
        <v>2155</v>
      </c>
      <c r="B930" t="s">
        <v>1489</v>
      </c>
      <c r="C930" t="s">
        <v>1499</v>
      </c>
      <c r="D930" s="7" t="s">
        <v>2156</v>
      </c>
      <c r="E930" t="s">
        <v>64</v>
      </c>
      <c r="F930" t="s">
        <v>18</v>
      </c>
      <c r="G930" t="s">
        <v>19</v>
      </c>
      <c r="H930">
        <v>8</v>
      </c>
      <c r="I930">
        <v>65.540000000000006</v>
      </c>
      <c r="J930">
        <v>0.05</v>
      </c>
      <c r="K930">
        <v>498.1</v>
      </c>
      <c r="L930">
        <v>75.17</v>
      </c>
      <c r="M930" t="s">
        <v>20</v>
      </c>
    </row>
    <row r="931" spans="1:13" x14ac:dyDescent="0.3">
      <c r="A931" t="s">
        <v>2157</v>
      </c>
      <c r="B931" t="s">
        <v>124</v>
      </c>
      <c r="C931" t="s">
        <v>1030</v>
      </c>
      <c r="D931" s="7" t="s">
        <v>1680</v>
      </c>
      <c r="E931" t="s">
        <v>59</v>
      </c>
      <c r="F931" t="s">
        <v>18</v>
      </c>
      <c r="G931" t="s">
        <v>79</v>
      </c>
      <c r="H931">
        <v>7</v>
      </c>
      <c r="I931">
        <v>73.400000000000006</v>
      </c>
      <c r="J931">
        <v>0.1</v>
      </c>
      <c r="K931">
        <v>462.42</v>
      </c>
      <c r="L931">
        <v>83</v>
      </c>
      <c r="M931" t="s">
        <v>35</v>
      </c>
    </row>
    <row r="932" spans="1:13" x14ac:dyDescent="0.3">
      <c r="A932" t="s">
        <v>2158</v>
      </c>
      <c r="B932" t="s">
        <v>111</v>
      </c>
      <c r="C932" t="s">
        <v>617</v>
      </c>
      <c r="D932" s="7" t="s">
        <v>2020</v>
      </c>
      <c r="E932" t="s">
        <v>17</v>
      </c>
      <c r="F932" t="s">
        <v>18</v>
      </c>
      <c r="G932" t="s">
        <v>19</v>
      </c>
      <c r="H932">
        <v>1</v>
      </c>
      <c r="I932">
        <v>21.77</v>
      </c>
      <c r="J932">
        <v>0.15</v>
      </c>
      <c r="K932">
        <v>18.5</v>
      </c>
      <c r="L932">
        <v>3.29</v>
      </c>
      <c r="M932" t="s">
        <v>40</v>
      </c>
    </row>
    <row r="933" spans="1:13" x14ac:dyDescent="0.3">
      <c r="A933" t="s">
        <v>2159</v>
      </c>
      <c r="B933" t="s">
        <v>268</v>
      </c>
      <c r="C933" t="s">
        <v>597</v>
      </c>
      <c r="D933" s="7" t="s">
        <v>699</v>
      </c>
      <c r="E933" t="s">
        <v>17</v>
      </c>
      <c r="F933" t="s">
        <v>33</v>
      </c>
      <c r="G933" t="s">
        <v>74</v>
      </c>
      <c r="H933">
        <v>6</v>
      </c>
      <c r="I933">
        <v>152.44999999999999</v>
      </c>
      <c r="J933">
        <v>0.05</v>
      </c>
      <c r="K933">
        <v>868.96</v>
      </c>
      <c r="L933">
        <v>147.19</v>
      </c>
      <c r="M933" t="s">
        <v>35</v>
      </c>
    </row>
    <row r="934" spans="1:13" x14ac:dyDescent="0.3">
      <c r="A934" t="s">
        <v>2160</v>
      </c>
      <c r="B934" t="s">
        <v>309</v>
      </c>
      <c r="C934" t="s">
        <v>517</v>
      </c>
      <c r="D934" s="7" t="s">
        <v>2096</v>
      </c>
      <c r="E934" t="s">
        <v>25</v>
      </c>
      <c r="F934" t="s">
        <v>18</v>
      </c>
      <c r="G934" t="s">
        <v>79</v>
      </c>
      <c r="H934">
        <v>7</v>
      </c>
      <c r="I934">
        <v>91.98</v>
      </c>
      <c r="J934">
        <v>0.1</v>
      </c>
      <c r="K934">
        <v>579.47</v>
      </c>
      <c r="L934">
        <v>51.62</v>
      </c>
      <c r="M934" t="s">
        <v>35</v>
      </c>
    </row>
    <row r="935" spans="1:13" x14ac:dyDescent="0.3">
      <c r="A935" t="s">
        <v>2161</v>
      </c>
      <c r="B935" t="s">
        <v>385</v>
      </c>
      <c r="C935" t="s">
        <v>1092</v>
      </c>
      <c r="D935" s="7" t="s">
        <v>2162</v>
      </c>
      <c r="E935" t="s">
        <v>64</v>
      </c>
      <c r="F935" t="s">
        <v>26</v>
      </c>
      <c r="G935" t="s">
        <v>84</v>
      </c>
      <c r="H935">
        <v>4</v>
      </c>
      <c r="I935">
        <v>209.31</v>
      </c>
      <c r="J935">
        <v>0.1</v>
      </c>
      <c r="K935">
        <v>753.52</v>
      </c>
      <c r="L935">
        <v>133.28</v>
      </c>
      <c r="M935" t="s">
        <v>20</v>
      </c>
    </row>
    <row r="936" spans="1:13" x14ac:dyDescent="0.3">
      <c r="A936" t="s">
        <v>2163</v>
      </c>
      <c r="B936" t="s">
        <v>2164</v>
      </c>
      <c r="C936" t="s">
        <v>527</v>
      </c>
      <c r="D936" s="7" t="s">
        <v>363</v>
      </c>
      <c r="E936" t="s">
        <v>25</v>
      </c>
      <c r="F936" t="s">
        <v>26</v>
      </c>
      <c r="G936" t="s">
        <v>84</v>
      </c>
      <c r="H936">
        <v>3</v>
      </c>
      <c r="I936">
        <v>128.72</v>
      </c>
      <c r="J936">
        <v>0.05</v>
      </c>
      <c r="K936">
        <v>366.85</v>
      </c>
      <c r="L936">
        <v>46.22</v>
      </c>
      <c r="M936" t="s">
        <v>40</v>
      </c>
    </row>
    <row r="937" spans="1:13" x14ac:dyDescent="0.3">
      <c r="A937" t="s">
        <v>2165</v>
      </c>
      <c r="B937" t="s">
        <v>2166</v>
      </c>
      <c r="C937" t="s">
        <v>458</v>
      </c>
      <c r="D937" s="7" t="s">
        <v>951</v>
      </c>
      <c r="E937" t="s">
        <v>25</v>
      </c>
      <c r="F937" t="s">
        <v>33</v>
      </c>
      <c r="G937" t="s">
        <v>69</v>
      </c>
      <c r="H937">
        <v>5</v>
      </c>
      <c r="I937">
        <v>223.61</v>
      </c>
      <c r="J937">
        <v>0.15</v>
      </c>
      <c r="K937">
        <v>950.34</v>
      </c>
      <c r="L937">
        <v>205.26</v>
      </c>
      <c r="M937" t="s">
        <v>20</v>
      </c>
    </row>
    <row r="938" spans="1:13" x14ac:dyDescent="0.3">
      <c r="A938" t="s">
        <v>2167</v>
      </c>
      <c r="B938" t="s">
        <v>2168</v>
      </c>
      <c r="C938" t="s">
        <v>1968</v>
      </c>
      <c r="D938" s="7" t="s">
        <v>414</v>
      </c>
      <c r="E938" t="s">
        <v>17</v>
      </c>
      <c r="F938" t="s">
        <v>89</v>
      </c>
      <c r="G938" t="s">
        <v>150</v>
      </c>
      <c r="H938">
        <v>1</v>
      </c>
      <c r="I938">
        <v>31.22</v>
      </c>
      <c r="J938">
        <v>0.15</v>
      </c>
      <c r="K938">
        <v>26.54</v>
      </c>
      <c r="L938">
        <v>3.69</v>
      </c>
      <c r="M938" t="s">
        <v>20</v>
      </c>
    </row>
    <row r="939" spans="1:13" x14ac:dyDescent="0.3">
      <c r="A939" t="s">
        <v>2169</v>
      </c>
      <c r="B939" t="s">
        <v>743</v>
      </c>
      <c r="C939" t="s">
        <v>1000</v>
      </c>
      <c r="D939" s="7" t="s">
        <v>1594</v>
      </c>
      <c r="E939" t="s">
        <v>25</v>
      </c>
      <c r="F939" t="s">
        <v>89</v>
      </c>
      <c r="G939" t="s">
        <v>150</v>
      </c>
      <c r="H939">
        <v>5</v>
      </c>
      <c r="I939">
        <v>90.34</v>
      </c>
      <c r="J939">
        <v>0</v>
      </c>
      <c r="K939">
        <v>451.7</v>
      </c>
      <c r="L939">
        <v>123.54</v>
      </c>
      <c r="M939" t="s">
        <v>35</v>
      </c>
    </row>
    <row r="940" spans="1:13" x14ac:dyDescent="0.3">
      <c r="A940" t="s">
        <v>2170</v>
      </c>
      <c r="B940" t="s">
        <v>416</v>
      </c>
      <c r="C940" t="s">
        <v>1682</v>
      </c>
      <c r="D940" s="7" t="s">
        <v>747</v>
      </c>
      <c r="E940" t="s">
        <v>25</v>
      </c>
      <c r="F940" t="s">
        <v>18</v>
      </c>
      <c r="G940" t="s">
        <v>19</v>
      </c>
      <c r="H940">
        <v>5</v>
      </c>
      <c r="I940">
        <v>85.25</v>
      </c>
      <c r="J940">
        <v>0.15</v>
      </c>
      <c r="K940">
        <v>362.31</v>
      </c>
      <c r="L940">
        <v>106.8</v>
      </c>
      <c r="M940" t="s">
        <v>40</v>
      </c>
    </row>
    <row r="941" spans="1:13" x14ac:dyDescent="0.3">
      <c r="A941" t="s">
        <v>2171</v>
      </c>
      <c r="B941" t="s">
        <v>252</v>
      </c>
      <c r="C941" t="s">
        <v>409</v>
      </c>
      <c r="D941" s="7" t="s">
        <v>329</v>
      </c>
      <c r="E941" t="s">
        <v>59</v>
      </c>
      <c r="F941" t="s">
        <v>33</v>
      </c>
      <c r="G941" t="s">
        <v>34</v>
      </c>
      <c r="H941">
        <v>5</v>
      </c>
      <c r="I941">
        <v>197.34</v>
      </c>
      <c r="J941">
        <v>0.15</v>
      </c>
      <c r="K941">
        <v>838.7</v>
      </c>
      <c r="L941">
        <v>220.62</v>
      </c>
      <c r="M941" t="s">
        <v>20</v>
      </c>
    </row>
    <row r="942" spans="1:13" x14ac:dyDescent="0.3">
      <c r="A942" t="s">
        <v>2172</v>
      </c>
      <c r="B942" t="s">
        <v>1801</v>
      </c>
      <c r="C942" t="s">
        <v>1539</v>
      </c>
      <c r="D942" s="7" t="s">
        <v>2173</v>
      </c>
      <c r="E942" t="s">
        <v>25</v>
      </c>
      <c r="F942" t="s">
        <v>33</v>
      </c>
      <c r="G942" t="s">
        <v>50</v>
      </c>
      <c r="H942">
        <v>8</v>
      </c>
      <c r="I942">
        <v>116.58</v>
      </c>
      <c r="J942">
        <v>0.1</v>
      </c>
      <c r="K942">
        <v>839.38</v>
      </c>
      <c r="L942">
        <v>146.54</v>
      </c>
      <c r="M942" t="s">
        <v>20</v>
      </c>
    </row>
    <row r="943" spans="1:13" x14ac:dyDescent="0.3">
      <c r="A943" t="s">
        <v>2174</v>
      </c>
      <c r="B943" t="s">
        <v>1668</v>
      </c>
      <c r="C943" t="s">
        <v>1046</v>
      </c>
      <c r="D943" s="7" t="s">
        <v>258</v>
      </c>
      <c r="E943" t="s">
        <v>32</v>
      </c>
      <c r="F943" t="s">
        <v>33</v>
      </c>
      <c r="G943" t="s">
        <v>74</v>
      </c>
      <c r="H943">
        <v>5</v>
      </c>
      <c r="I943">
        <v>133.81</v>
      </c>
      <c r="J943">
        <v>0.1</v>
      </c>
      <c r="K943">
        <v>602.14</v>
      </c>
      <c r="L943">
        <v>111.54</v>
      </c>
      <c r="M943" t="s">
        <v>20</v>
      </c>
    </row>
    <row r="944" spans="1:13" x14ac:dyDescent="0.3">
      <c r="A944" t="s">
        <v>2175</v>
      </c>
      <c r="B944" t="s">
        <v>1992</v>
      </c>
      <c r="C944" t="s">
        <v>160</v>
      </c>
      <c r="D944" s="7" t="s">
        <v>1803</v>
      </c>
      <c r="E944" t="s">
        <v>59</v>
      </c>
      <c r="F944" t="s">
        <v>26</v>
      </c>
      <c r="G944" t="s">
        <v>27</v>
      </c>
      <c r="H944">
        <v>4</v>
      </c>
      <c r="I944">
        <v>16.75</v>
      </c>
      <c r="J944">
        <v>0.15</v>
      </c>
      <c r="K944">
        <v>56.95</v>
      </c>
      <c r="L944">
        <v>7.78</v>
      </c>
      <c r="M944" t="s">
        <v>35</v>
      </c>
    </row>
    <row r="945" spans="1:13" x14ac:dyDescent="0.3">
      <c r="A945" t="s">
        <v>2176</v>
      </c>
      <c r="B945" t="s">
        <v>207</v>
      </c>
      <c r="C945" t="s">
        <v>477</v>
      </c>
      <c r="D945" s="7" t="s">
        <v>2177</v>
      </c>
      <c r="E945" t="s">
        <v>64</v>
      </c>
      <c r="F945" t="s">
        <v>33</v>
      </c>
      <c r="G945" t="s">
        <v>50</v>
      </c>
      <c r="H945">
        <v>5</v>
      </c>
      <c r="I945">
        <v>181.33</v>
      </c>
      <c r="J945">
        <v>0</v>
      </c>
      <c r="K945">
        <v>906.65</v>
      </c>
      <c r="L945">
        <v>90.97</v>
      </c>
      <c r="M945" t="s">
        <v>20</v>
      </c>
    </row>
    <row r="946" spans="1:13" x14ac:dyDescent="0.3">
      <c r="A946" t="s">
        <v>2178</v>
      </c>
      <c r="B946" t="s">
        <v>309</v>
      </c>
      <c r="C946" t="s">
        <v>224</v>
      </c>
      <c r="D946" s="7" t="s">
        <v>871</v>
      </c>
      <c r="E946" t="s">
        <v>17</v>
      </c>
      <c r="F946" t="s">
        <v>18</v>
      </c>
      <c r="G946" t="s">
        <v>45</v>
      </c>
      <c r="H946">
        <v>3</v>
      </c>
      <c r="I946">
        <v>112.58</v>
      </c>
      <c r="J946">
        <v>0.1</v>
      </c>
      <c r="K946">
        <v>303.97000000000003</v>
      </c>
      <c r="L946">
        <v>85.42</v>
      </c>
      <c r="M946" t="s">
        <v>35</v>
      </c>
    </row>
    <row r="947" spans="1:13" x14ac:dyDescent="0.3">
      <c r="A947" t="s">
        <v>2179</v>
      </c>
      <c r="B947" t="s">
        <v>1260</v>
      </c>
      <c r="C947" t="s">
        <v>861</v>
      </c>
      <c r="D947" s="7" t="s">
        <v>738</v>
      </c>
      <c r="E947" t="s">
        <v>25</v>
      </c>
      <c r="F947" t="s">
        <v>18</v>
      </c>
      <c r="G947" t="s">
        <v>79</v>
      </c>
      <c r="H947">
        <v>6</v>
      </c>
      <c r="I947">
        <v>102.29</v>
      </c>
      <c r="J947">
        <v>0.05</v>
      </c>
      <c r="K947">
        <v>583.04999999999995</v>
      </c>
      <c r="L947">
        <v>110.38</v>
      </c>
      <c r="M947" t="s">
        <v>40</v>
      </c>
    </row>
    <row r="948" spans="1:13" x14ac:dyDescent="0.3">
      <c r="A948" t="s">
        <v>2180</v>
      </c>
      <c r="B948" t="s">
        <v>29</v>
      </c>
      <c r="C948" t="s">
        <v>2181</v>
      </c>
      <c r="D948" s="7" t="s">
        <v>919</v>
      </c>
      <c r="E948" t="s">
        <v>64</v>
      </c>
      <c r="F948" t="s">
        <v>89</v>
      </c>
      <c r="G948" t="s">
        <v>131</v>
      </c>
      <c r="H948">
        <v>8</v>
      </c>
      <c r="I948">
        <v>198.66</v>
      </c>
      <c r="J948">
        <v>0.1</v>
      </c>
      <c r="K948">
        <v>1430.35</v>
      </c>
      <c r="L948">
        <v>303.10000000000002</v>
      </c>
      <c r="M948" t="s">
        <v>40</v>
      </c>
    </row>
    <row r="949" spans="1:13" x14ac:dyDescent="0.3">
      <c r="A949" t="s">
        <v>2182</v>
      </c>
      <c r="B949" t="s">
        <v>974</v>
      </c>
      <c r="C949" t="s">
        <v>2183</v>
      </c>
      <c r="D949" s="7" t="s">
        <v>193</v>
      </c>
      <c r="E949" t="s">
        <v>25</v>
      </c>
      <c r="F949" t="s">
        <v>26</v>
      </c>
      <c r="G949" t="s">
        <v>27</v>
      </c>
      <c r="H949">
        <v>8</v>
      </c>
      <c r="I949">
        <v>189.68</v>
      </c>
      <c r="J949">
        <v>0.05</v>
      </c>
      <c r="K949">
        <v>1441.57</v>
      </c>
      <c r="L949">
        <v>409.73</v>
      </c>
      <c r="M949" t="s">
        <v>40</v>
      </c>
    </row>
    <row r="950" spans="1:13" x14ac:dyDescent="0.3">
      <c r="A950" t="s">
        <v>2184</v>
      </c>
      <c r="B950" t="s">
        <v>1055</v>
      </c>
      <c r="C950" t="s">
        <v>1290</v>
      </c>
      <c r="D950" s="7" t="s">
        <v>390</v>
      </c>
      <c r="E950" t="s">
        <v>25</v>
      </c>
      <c r="F950" t="s">
        <v>33</v>
      </c>
      <c r="G950" t="s">
        <v>50</v>
      </c>
      <c r="H950">
        <v>6</v>
      </c>
      <c r="I950">
        <v>60.5</v>
      </c>
      <c r="J950">
        <v>0.05</v>
      </c>
      <c r="K950">
        <v>344.85</v>
      </c>
      <c r="L950">
        <v>35.24</v>
      </c>
      <c r="M950" t="s">
        <v>20</v>
      </c>
    </row>
    <row r="951" spans="1:13" x14ac:dyDescent="0.3">
      <c r="A951" t="s">
        <v>2185</v>
      </c>
      <c r="B951" t="s">
        <v>1925</v>
      </c>
      <c r="C951" t="s">
        <v>1166</v>
      </c>
      <c r="D951" s="7" t="s">
        <v>1596</v>
      </c>
      <c r="E951" t="s">
        <v>59</v>
      </c>
      <c r="F951" t="s">
        <v>33</v>
      </c>
      <c r="G951" t="s">
        <v>69</v>
      </c>
      <c r="H951">
        <v>1</v>
      </c>
      <c r="I951">
        <v>127.03</v>
      </c>
      <c r="J951">
        <v>0.05</v>
      </c>
      <c r="K951">
        <v>120.68</v>
      </c>
      <c r="L951">
        <v>19.489999999999998</v>
      </c>
      <c r="M951" t="s">
        <v>20</v>
      </c>
    </row>
    <row r="952" spans="1:13" x14ac:dyDescent="0.3">
      <c r="A952" t="s">
        <v>2186</v>
      </c>
      <c r="B952" t="s">
        <v>2168</v>
      </c>
      <c r="C952" t="s">
        <v>660</v>
      </c>
      <c r="D952" s="7" t="s">
        <v>910</v>
      </c>
      <c r="E952" t="s">
        <v>64</v>
      </c>
      <c r="F952" t="s">
        <v>33</v>
      </c>
      <c r="G952" t="s">
        <v>74</v>
      </c>
      <c r="H952">
        <v>6</v>
      </c>
      <c r="I952">
        <v>156.69999999999999</v>
      </c>
      <c r="J952">
        <v>0.1</v>
      </c>
      <c r="K952">
        <v>846.18</v>
      </c>
      <c r="L952">
        <v>195.6</v>
      </c>
      <c r="M952" t="s">
        <v>20</v>
      </c>
    </row>
    <row r="953" spans="1:13" x14ac:dyDescent="0.3">
      <c r="A953" t="s">
        <v>2187</v>
      </c>
      <c r="B953" t="s">
        <v>878</v>
      </c>
      <c r="C953" t="s">
        <v>1951</v>
      </c>
      <c r="D953" s="7" t="s">
        <v>1525</v>
      </c>
      <c r="E953" t="s">
        <v>59</v>
      </c>
      <c r="F953" t="s">
        <v>33</v>
      </c>
      <c r="G953" t="s">
        <v>50</v>
      </c>
      <c r="H953">
        <v>6</v>
      </c>
      <c r="I953">
        <v>47.35</v>
      </c>
      <c r="J953">
        <v>0.05</v>
      </c>
      <c r="K953">
        <v>269.89</v>
      </c>
      <c r="L953">
        <v>49.05</v>
      </c>
      <c r="M953" t="s">
        <v>40</v>
      </c>
    </row>
    <row r="954" spans="1:13" x14ac:dyDescent="0.3">
      <c r="A954" t="s">
        <v>2188</v>
      </c>
      <c r="B954" t="s">
        <v>554</v>
      </c>
      <c r="C954" t="s">
        <v>2189</v>
      </c>
      <c r="D954" s="7" t="s">
        <v>472</v>
      </c>
      <c r="E954" t="s">
        <v>17</v>
      </c>
      <c r="F954" t="s">
        <v>26</v>
      </c>
      <c r="G954" t="s">
        <v>118</v>
      </c>
      <c r="H954">
        <v>5</v>
      </c>
      <c r="I954">
        <v>230.94</v>
      </c>
      <c r="J954">
        <v>0.1</v>
      </c>
      <c r="K954">
        <v>1039.23</v>
      </c>
      <c r="L954">
        <v>219.57</v>
      </c>
      <c r="M954" t="s">
        <v>20</v>
      </c>
    </row>
    <row r="955" spans="1:13" x14ac:dyDescent="0.3">
      <c r="A955" t="s">
        <v>2190</v>
      </c>
      <c r="B955" t="s">
        <v>929</v>
      </c>
      <c r="C955" t="s">
        <v>1517</v>
      </c>
      <c r="D955" s="7" t="s">
        <v>648</v>
      </c>
      <c r="E955" t="s">
        <v>25</v>
      </c>
      <c r="F955" t="s">
        <v>33</v>
      </c>
      <c r="G955" t="s">
        <v>74</v>
      </c>
      <c r="H955">
        <v>3</v>
      </c>
      <c r="I955">
        <v>146.03</v>
      </c>
      <c r="J955">
        <v>0</v>
      </c>
      <c r="K955">
        <v>438.09</v>
      </c>
      <c r="L955">
        <v>73.86</v>
      </c>
      <c r="M955" t="s">
        <v>20</v>
      </c>
    </row>
    <row r="956" spans="1:13" x14ac:dyDescent="0.3">
      <c r="A956" t="s">
        <v>2191</v>
      </c>
      <c r="B956" t="s">
        <v>1620</v>
      </c>
      <c r="C956" t="s">
        <v>1747</v>
      </c>
      <c r="D956" s="7" t="s">
        <v>605</v>
      </c>
      <c r="E956" t="s">
        <v>64</v>
      </c>
      <c r="F956" t="s">
        <v>26</v>
      </c>
      <c r="G956" t="s">
        <v>27</v>
      </c>
      <c r="H956">
        <v>6</v>
      </c>
      <c r="I956">
        <v>64.680000000000007</v>
      </c>
      <c r="J956">
        <v>0.15</v>
      </c>
      <c r="K956">
        <v>329.87</v>
      </c>
      <c r="L956">
        <v>37.92</v>
      </c>
      <c r="M956" t="s">
        <v>20</v>
      </c>
    </row>
    <row r="957" spans="1:13" x14ac:dyDescent="0.3">
      <c r="A957" t="s">
        <v>2192</v>
      </c>
      <c r="B957" t="s">
        <v>500</v>
      </c>
      <c r="C957" t="s">
        <v>1509</v>
      </c>
      <c r="D957" s="7" t="s">
        <v>2193</v>
      </c>
      <c r="E957" t="s">
        <v>64</v>
      </c>
      <c r="F957" t="s">
        <v>89</v>
      </c>
      <c r="G957" t="s">
        <v>150</v>
      </c>
      <c r="H957">
        <v>5</v>
      </c>
      <c r="I957">
        <v>203.13</v>
      </c>
      <c r="J957">
        <v>0.15</v>
      </c>
      <c r="K957">
        <v>863.3</v>
      </c>
      <c r="L957">
        <v>241.09</v>
      </c>
      <c r="M957" t="s">
        <v>40</v>
      </c>
    </row>
    <row r="958" spans="1:13" x14ac:dyDescent="0.3">
      <c r="A958" t="s">
        <v>2194</v>
      </c>
      <c r="B958" t="s">
        <v>1609</v>
      </c>
      <c r="C958" t="s">
        <v>1145</v>
      </c>
      <c r="D958" s="7" t="s">
        <v>1047</v>
      </c>
      <c r="E958" t="s">
        <v>32</v>
      </c>
      <c r="F958" t="s">
        <v>33</v>
      </c>
      <c r="G958" t="s">
        <v>69</v>
      </c>
      <c r="H958">
        <v>6</v>
      </c>
      <c r="I958">
        <v>174.54</v>
      </c>
      <c r="J958">
        <v>0.15</v>
      </c>
      <c r="K958">
        <v>890.15</v>
      </c>
      <c r="L958">
        <v>162.46</v>
      </c>
      <c r="M958" t="s">
        <v>35</v>
      </c>
    </row>
    <row r="959" spans="1:13" x14ac:dyDescent="0.3">
      <c r="A959" t="s">
        <v>2195</v>
      </c>
      <c r="B959" t="s">
        <v>1684</v>
      </c>
      <c r="C959" t="s">
        <v>77</v>
      </c>
      <c r="D959" s="7" t="s">
        <v>2196</v>
      </c>
      <c r="E959" t="s">
        <v>25</v>
      </c>
      <c r="F959" t="s">
        <v>18</v>
      </c>
      <c r="G959" t="s">
        <v>45</v>
      </c>
      <c r="H959">
        <v>2</v>
      </c>
      <c r="I959">
        <v>45.84</v>
      </c>
      <c r="J959">
        <v>0</v>
      </c>
      <c r="K959">
        <v>91.68</v>
      </c>
      <c r="L959">
        <v>11.21</v>
      </c>
      <c r="M959" t="s">
        <v>35</v>
      </c>
    </row>
    <row r="960" spans="1:13" x14ac:dyDescent="0.3">
      <c r="A960" t="s">
        <v>2197</v>
      </c>
      <c r="B960" t="s">
        <v>423</v>
      </c>
      <c r="C960" t="s">
        <v>1299</v>
      </c>
      <c r="D960" s="7" t="s">
        <v>425</v>
      </c>
      <c r="E960" t="s">
        <v>64</v>
      </c>
      <c r="F960" t="s">
        <v>33</v>
      </c>
      <c r="G960" t="s">
        <v>34</v>
      </c>
      <c r="H960">
        <v>3</v>
      </c>
      <c r="I960">
        <v>234.13</v>
      </c>
      <c r="J960">
        <v>0.05</v>
      </c>
      <c r="K960">
        <v>667.27</v>
      </c>
      <c r="L960">
        <v>151.97999999999999</v>
      </c>
      <c r="M960" t="s">
        <v>20</v>
      </c>
    </row>
    <row r="961" spans="1:13" x14ac:dyDescent="0.3">
      <c r="A961" t="s">
        <v>2198</v>
      </c>
      <c r="B961" t="s">
        <v>147</v>
      </c>
      <c r="C961" t="s">
        <v>1044</v>
      </c>
      <c r="D961" s="7" t="s">
        <v>1725</v>
      </c>
      <c r="E961" t="s">
        <v>17</v>
      </c>
      <c r="F961" t="s">
        <v>26</v>
      </c>
      <c r="G961" t="s">
        <v>27</v>
      </c>
      <c r="H961">
        <v>6</v>
      </c>
      <c r="I961">
        <v>143.13</v>
      </c>
      <c r="J961">
        <v>0</v>
      </c>
      <c r="K961">
        <v>858.78</v>
      </c>
      <c r="L961">
        <v>245.74</v>
      </c>
      <c r="M961" t="s">
        <v>35</v>
      </c>
    </row>
    <row r="962" spans="1:13" x14ac:dyDescent="0.3">
      <c r="A962" t="s">
        <v>2199</v>
      </c>
      <c r="B962" t="s">
        <v>1997</v>
      </c>
      <c r="C962" t="s">
        <v>196</v>
      </c>
      <c r="D962" s="7" t="s">
        <v>1979</v>
      </c>
      <c r="E962" t="s">
        <v>17</v>
      </c>
      <c r="F962" t="s">
        <v>33</v>
      </c>
      <c r="G962" t="s">
        <v>34</v>
      </c>
      <c r="H962">
        <v>7</v>
      </c>
      <c r="I962">
        <v>11.6</v>
      </c>
      <c r="J962">
        <v>0.1</v>
      </c>
      <c r="K962">
        <v>73.08</v>
      </c>
      <c r="L962">
        <v>11.91</v>
      </c>
      <c r="M962" t="s">
        <v>40</v>
      </c>
    </row>
    <row r="963" spans="1:13" x14ac:dyDescent="0.3">
      <c r="A963" t="s">
        <v>2200</v>
      </c>
      <c r="B963" t="s">
        <v>1746</v>
      </c>
      <c r="C963" t="s">
        <v>732</v>
      </c>
      <c r="D963" s="7" t="s">
        <v>1419</v>
      </c>
      <c r="E963" t="s">
        <v>17</v>
      </c>
      <c r="F963" t="s">
        <v>89</v>
      </c>
      <c r="G963" t="s">
        <v>150</v>
      </c>
      <c r="H963">
        <v>5</v>
      </c>
      <c r="I963">
        <v>172.6</v>
      </c>
      <c r="J963">
        <v>0.15</v>
      </c>
      <c r="K963">
        <v>733.55</v>
      </c>
      <c r="L963">
        <v>201.25</v>
      </c>
      <c r="M963" t="s">
        <v>35</v>
      </c>
    </row>
    <row r="964" spans="1:13" x14ac:dyDescent="0.3">
      <c r="A964" t="s">
        <v>2201</v>
      </c>
      <c r="B964" t="s">
        <v>286</v>
      </c>
      <c r="C964" t="s">
        <v>753</v>
      </c>
      <c r="D964" s="7" t="s">
        <v>193</v>
      </c>
      <c r="E964" t="s">
        <v>25</v>
      </c>
      <c r="F964" t="s">
        <v>18</v>
      </c>
      <c r="G964" t="s">
        <v>45</v>
      </c>
      <c r="H964">
        <v>1</v>
      </c>
      <c r="I964">
        <v>19.46</v>
      </c>
      <c r="J964">
        <v>0.15</v>
      </c>
      <c r="K964">
        <v>16.54</v>
      </c>
      <c r="L964">
        <v>3.02</v>
      </c>
      <c r="M964" t="s">
        <v>20</v>
      </c>
    </row>
    <row r="965" spans="1:13" x14ac:dyDescent="0.3">
      <c r="A965" t="s">
        <v>2202</v>
      </c>
      <c r="B965" t="s">
        <v>639</v>
      </c>
      <c r="C965" t="s">
        <v>2203</v>
      </c>
      <c r="D965" s="7" t="s">
        <v>1075</v>
      </c>
      <c r="E965" t="s">
        <v>59</v>
      </c>
      <c r="F965" t="s">
        <v>89</v>
      </c>
      <c r="G965" t="s">
        <v>90</v>
      </c>
      <c r="H965">
        <v>5</v>
      </c>
      <c r="I965">
        <v>115.08</v>
      </c>
      <c r="J965">
        <v>0.1</v>
      </c>
      <c r="K965">
        <v>517.86</v>
      </c>
      <c r="L965">
        <v>123.12</v>
      </c>
      <c r="M965" t="s">
        <v>40</v>
      </c>
    </row>
    <row r="966" spans="1:13" x14ac:dyDescent="0.3">
      <c r="A966" t="s">
        <v>2204</v>
      </c>
      <c r="B966" t="s">
        <v>155</v>
      </c>
      <c r="C966" t="s">
        <v>1201</v>
      </c>
      <c r="D966" s="7" t="s">
        <v>927</v>
      </c>
      <c r="E966" t="s">
        <v>64</v>
      </c>
      <c r="F966" t="s">
        <v>26</v>
      </c>
      <c r="G966" t="s">
        <v>118</v>
      </c>
      <c r="H966">
        <v>8</v>
      </c>
      <c r="I966">
        <v>58.07</v>
      </c>
      <c r="J966">
        <v>0.05</v>
      </c>
      <c r="K966">
        <v>441.33</v>
      </c>
      <c r="L966">
        <v>119.63</v>
      </c>
      <c r="M966" t="s">
        <v>40</v>
      </c>
    </row>
    <row r="967" spans="1:13" x14ac:dyDescent="0.3">
      <c r="A967" t="s">
        <v>2205</v>
      </c>
      <c r="B967" t="s">
        <v>1059</v>
      </c>
      <c r="C967" t="s">
        <v>1780</v>
      </c>
      <c r="D967" s="7" t="s">
        <v>1084</v>
      </c>
      <c r="E967" t="s">
        <v>64</v>
      </c>
      <c r="F967" t="s">
        <v>89</v>
      </c>
      <c r="G967" t="s">
        <v>90</v>
      </c>
      <c r="H967">
        <v>3</v>
      </c>
      <c r="I967">
        <v>208.41</v>
      </c>
      <c r="J967">
        <v>0.1</v>
      </c>
      <c r="K967">
        <v>562.71</v>
      </c>
      <c r="L967">
        <v>63.6</v>
      </c>
      <c r="M967" t="s">
        <v>40</v>
      </c>
    </row>
    <row r="968" spans="1:13" x14ac:dyDescent="0.3">
      <c r="A968" t="s">
        <v>2206</v>
      </c>
      <c r="B968" t="s">
        <v>2207</v>
      </c>
      <c r="C968" t="s">
        <v>2208</v>
      </c>
      <c r="D968" s="7" t="s">
        <v>1163</v>
      </c>
      <c r="E968" t="s">
        <v>25</v>
      </c>
      <c r="F968" t="s">
        <v>33</v>
      </c>
      <c r="G968" t="s">
        <v>34</v>
      </c>
      <c r="H968">
        <v>8</v>
      </c>
      <c r="I968">
        <v>247.45</v>
      </c>
      <c r="J968">
        <v>0.05</v>
      </c>
      <c r="K968">
        <v>1880.62</v>
      </c>
      <c r="L968">
        <v>484.65</v>
      </c>
      <c r="M968" t="s">
        <v>35</v>
      </c>
    </row>
    <row r="969" spans="1:13" x14ac:dyDescent="0.3">
      <c r="A969" t="s">
        <v>2209</v>
      </c>
      <c r="B969" t="s">
        <v>207</v>
      </c>
      <c r="C969" t="s">
        <v>1574</v>
      </c>
      <c r="D969" s="7" t="s">
        <v>546</v>
      </c>
      <c r="E969" t="s">
        <v>59</v>
      </c>
      <c r="F969" t="s">
        <v>33</v>
      </c>
      <c r="G969" t="s">
        <v>74</v>
      </c>
      <c r="H969">
        <v>3</v>
      </c>
      <c r="I969">
        <v>28.43</v>
      </c>
      <c r="J969">
        <v>0.1</v>
      </c>
      <c r="K969">
        <v>76.760000000000005</v>
      </c>
      <c r="L969">
        <v>15.63</v>
      </c>
      <c r="M969" t="s">
        <v>35</v>
      </c>
    </row>
    <row r="970" spans="1:13" x14ac:dyDescent="0.3">
      <c r="A970" t="s">
        <v>2210</v>
      </c>
      <c r="B970" t="s">
        <v>133</v>
      </c>
      <c r="C970" t="s">
        <v>72</v>
      </c>
      <c r="D970" s="7" t="s">
        <v>1669</v>
      </c>
      <c r="E970" t="s">
        <v>59</v>
      </c>
      <c r="F970" t="s">
        <v>89</v>
      </c>
      <c r="G970" t="s">
        <v>131</v>
      </c>
      <c r="H970">
        <v>8</v>
      </c>
      <c r="I970">
        <v>165.63</v>
      </c>
      <c r="J970">
        <v>0.05</v>
      </c>
      <c r="K970">
        <v>1258.79</v>
      </c>
      <c r="L970">
        <v>148.68</v>
      </c>
      <c r="M970" t="s">
        <v>40</v>
      </c>
    </row>
    <row r="971" spans="1:13" x14ac:dyDescent="0.3">
      <c r="A971" t="s">
        <v>2211</v>
      </c>
      <c r="B971" t="s">
        <v>115</v>
      </c>
      <c r="C971" t="s">
        <v>1389</v>
      </c>
      <c r="D971" s="7" t="s">
        <v>624</v>
      </c>
      <c r="E971" t="s">
        <v>59</v>
      </c>
      <c r="F971" t="s">
        <v>18</v>
      </c>
      <c r="G971" t="s">
        <v>19</v>
      </c>
      <c r="H971">
        <v>1</v>
      </c>
      <c r="I971">
        <v>62.34</v>
      </c>
      <c r="J971">
        <v>0.15</v>
      </c>
      <c r="K971">
        <v>52.99</v>
      </c>
      <c r="L971">
        <v>11.37</v>
      </c>
      <c r="M971" t="s">
        <v>40</v>
      </c>
    </row>
    <row r="972" spans="1:13" x14ac:dyDescent="0.3">
      <c r="A972" t="s">
        <v>2212</v>
      </c>
      <c r="B972" t="s">
        <v>42</v>
      </c>
      <c r="C972" t="s">
        <v>1894</v>
      </c>
      <c r="D972" s="7" t="s">
        <v>441</v>
      </c>
      <c r="E972" t="s">
        <v>64</v>
      </c>
      <c r="F972" t="s">
        <v>33</v>
      </c>
      <c r="G972" t="s">
        <v>34</v>
      </c>
      <c r="H972">
        <v>1</v>
      </c>
      <c r="I972">
        <v>127.87</v>
      </c>
      <c r="J972">
        <v>0.05</v>
      </c>
      <c r="K972">
        <v>121.48</v>
      </c>
      <c r="L972">
        <v>11.48</v>
      </c>
      <c r="M972" t="s">
        <v>20</v>
      </c>
    </row>
    <row r="973" spans="1:13" x14ac:dyDescent="0.3">
      <c r="A973" t="s">
        <v>2213</v>
      </c>
      <c r="B973" t="s">
        <v>583</v>
      </c>
      <c r="C973" t="s">
        <v>604</v>
      </c>
      <c r="D973" s="7" t="s">
        <v>1027</v>
      </c>
      <c r="E973" t="s">
        <v>25</v>
      </c>
      <c r="F973" t="s">
        <v>33</v>
      </c>
      <c r="G973" t="s">
        <v>69</v>
      </c>
      <c r="H973">
        <v>5</v>
      </c>
      <c r="I973">
        <v>113.1</v>
      </c>
      <c r="J973">
        <v>0</v>
      </c>
      <c r="K973">
        <v>565.5</v>
      </c>
      <c r="L973">
        <v>168.76</v>
      </c>
      <c r="M973" t="s">
        <v>35</v>
      </c>
    </row>
    <row r="974" spans="1:13" x14ac:dyDescent="0.3">
      <c r="A974" t="s">
        <v>2214</v>
      </c>
      <c r="B974" t="s">
        <v>147</v>
      </c>
      <c r="C974" t="s">
        <v>174</v>
      </c>
      <c r="D974" s="7" t="s">
        <v>343</v>
      </c>
      <c r="E974" t="s">
        <v>64</v>
      </c>
      <c r="F974" t="s">
        <v>33</v>
      </c>
      <c r="G974" t="s">
        <v>34</v>
      </c>
      <c r="H974">
        <v>3</v>
      </c>
      <c r="I974">
        <v>141.24</v>
      </c>
      <c r="J974">
        <v>0</v>
      </c>
      <c r="K974">
        <v>423.72</v>
      </c>
      <c r="L974">
        <v>68.61</v>
      </c>
      <c r="M974" t="s">
        <v>20</v>
      </c>
    </row>
    <row r="975" spans="1:13" x14ac:dyDescent="0.3">
      <c r="A975" t="s">
        <v>2215</v>
      </c>
      <c r="B975" t="s">
        <v>1733</v>
      </c>
      <c r="C975" t="s">
        <v>486</v>
      </c>
      <c r="D975" s="7" t="s">
        <v>1755</v>
      </c>
      <c r="E975" t="s">
        <v>59</v>
      </c>
      <c r="F975" t="s">
        <v>18</v>
      </c>
      <c r="G975" t="s">
        <v>19</v>
      </c>
      <c r="H975">
        <v>4</v>
      </c>
      <c r="I975">
        <v>211.89</v>
      </c>
      <c r="J975">
        <v>0.15</v>
      </c>
      <c r="K975">
        <v>720.43</v>
      </c>
      <c r="L975">
        <v>76.14</v>
      </c>
      <c r="M975" t="s">
        <v>20</v>
      </c>
    </row>
    <row r="976" spans="1:13" x14ac:dyDescent="0.3">
      <c r="A976" t="s">
        <v>2216</v>
      </c>
      <c r="B976" t="s">
        <v>133</v>
      </c>
      <c r="C976" t="s">
        <v>1406</v>
      </c>
      <c r="D976" s="7" t="s">
        <v>1819</v>
      </c>
      <c r="E976" t="s">
        <v>32</v>
      </c>
      <c r="F976" t="s">
        <v>33</v>
      </c>
      <c r="G976" t="s">
        <v>50</v>
      </c>
      <c r="H976">
        <v>7</v>
      </c>
      <c r="I976">
        <v>197</v>
      </c>
      <c r="J976">
        <v>0</v>
      </c>
      <c r="K976">
        <v>1379</v>
      </c>
      <c r="L976">
        <v>304.58999999999997</v>
      </c>
      <c r="M976" t="s">
        <v>20</v>
      </c>
    </row>
    <row r="977" spans="1:13" x14ac:dyDescent="0.3">
      <c r="A977" t="s">
        <v>2217</v>
      </c>
      <c r="B977" t="s">
        <v>349</v>
      </c>
      <c r="C977" t="s">
        <v>1971</v>
      </c>
      <c r="D977" s="7" t="s">
        <v>1264</v>
      </c>
      <c r="E977" t="s">
        <v>25</v>
      </c>
      <c r="F977" t="s">
        <v>89</v>
      </c>
      <c r="G977" t="s">
        <v>131</v>
      </c>
      <c r="H977">
        <v>1</v>
      </c>
      <c r="I977">
        <v>232.99</v>
      </c>
      <c r="J977">
        <v>0.15</v>
      </c>
      <c r="K977">
        <v>198.04</v>
      </c>
      <c r="L977">
        <v>35.450000000000003</v>
      </c>
      <c r="M977" t="s">
        <v>20</v>
      </c>
    </row>
    <row r="978" spans="1:13" x14ac:dyDescent="0.3">
      <c r="A978" t="s">
        <v>2218</v>
      </c>
      <c r="B978" t="s">
        <v>2219</v>
      </c>
      <c r="C978" t="s">
        <v>1971</v>
      </c>
      <c r="D978" s="7" t="s">
        <v>621</v>
      </c>
      <c r="E978" t="s">
        <v>59</v>
      </c>
      <c r="F978" t="s">
        <v>89</v>
      </c>
      <c r="G978" t="s">
        <v>150</v>
      </c>
      <c r="H978">
        <v>4</v>
      </c>
      <c r="I978">
        <v>22.14</v>
      </c>
      <c r="J978">
        <v>0.15</v>
      </c>
      <c r="K978">
        <v>75.28</v>
      </c>
      <c r="L978">
        <v>14.53</v>
      </c>
      <c r="M978" t="s">
        <v>35</v>
      </c>
    </row>
    <row r="979" spans="1:13" x14ac:dyDescent="0.3">
      <c r="A979" t="s">
        <v>2220</v>
      </c>
      <c r="B979" t="s">
        <v>1280</v>
      </c>
      <c r="C979" t="s">
        <v>1288</v>
      </c>
      <c r="D979" s="7" t="s">
        <v>1661</v>
      </c>
      <c r="E979" t="s">
        <v>17</v>
      </c>
      <c r="F979" t="s">
        <v>26</v>
      </c>
      <c r="G979" t="s">
        <v>84</v>
      </c>
      <c r="H979">
        <v>5</v>
      </c>
      <c r="I979">
        <v>129.62</v>
      </c>
      <c r="J979">
        <v>0.15</v>
      </c>
      <c r="K979">
        <v>550.88</v>
      </c>
      <c r="L979">
        <v>118.66</v>
      </c>
      <c r="M979" t="s">
        <v>35</v>
      </c>
    </row>
    <row r="980" spans="1:13" x14ac:dyDescent="0.3">
      <c r="A980" t="s">
        <v>2221</v>
      </c>
      <c r="B980" t="s">
        <v>1931</v>
      </c>
      <c r="C980" t="s">
        <v>1293</v>
      </c>
      <c r="D980" s="7" t="s">
        <v>1969</v>
      </c>
      <c r="E980" t="s">
        <v>59</v>
      </c>
      <c r="F980" t="s">
        <v>26</v>
      </c>
      <c r="G980" t="s">
        <v>27</v>
      </c>
      <c r="H980">
        <v>5</v>
      </c>
      <c r="I980">
        <v>126.68</v>
      </c>
      <c r="J980">
        <v>0</v>
      </c>
      <c r="K980">
        <v>633.4</v>
      </c>
      <c r="L980">
        <v>93.89</v>
      </c>
      <c r="M980" t="s">
        <v>40</v>
      </c>
    </row>
    <row r="981" spans="1:13" x14ac:dyDescent="0.3">
      <c r="A981" t="s">
        <v>2222</v>
      </c>
      <c r="B981" t="s">
        <v>2223</v>
      </c>
      <c r="C981" t="s">
        <v>1305</v>
      </c>
      <c r="D981" s="7" t="s">
        <v>1914</v>
      </c>
      <c r="E981" t="s">
        <v>17</v>
      </c>
      <c r="F981" t="s">
        <v>89</v>
      </c>
      <c r="G981" t="s">
        <v>150</v>
      </c>
      <c r="H981">
        <v>2</v>
      </c>
      <c r="I981">
        <v>21.29</v>
      </c>
      <c r="J981">
        <v>0.1</v>
      </c>
      <c r="K981">
        <v>38.32</v>
      </c>
      <c r="L981">
        <v>9.7200000000000006</v>
      </c>
      <c r="M981" t="s">
        <v>20</v>
      </c>
    </row>
    <row r="982" spans="1:13" x14ac:dyDescent="0.3">
      <c r="A982" t="s">
        <v>2224</v>
      </c>
      <c r="B982" t="s">
        <v>404</v>
      </c>
      <c r="C982" t="s">
        <v>77</v>
      </c>
      <c r="D982" s="7" t="s">
        <v>581</v>
      </c>
      <c r="E982" t="s">
        <v>17</v>
      </c>
      <c r="F982" t="s">
        <v>18</v>
      </c>
      <c r="G982" t="s">
        <v>79</v>
      </c>
      <c r="H982">
        <v>2</v>
      </c>
      <c r="I982">
        <v>122.5</v>
      </c>
      <c r="J982">
        <v>0.05</v>
      </c>
      <c r="K982">
        <v>232.75</v>
      </c>
      <c r="L982">
        <v>41.04</v>
      </c>
      <c r="M982" t="s">
        <v>35</v>
      </c>
    </row>
    <row r="983" spans="1:13" x14ac:dyDescent="0.3">
      <c r="A983" t="s">
        <v>2225</v>
      </c>
      <c r="B983" t="s">
        <v>558</v>
      </c>
      <c r="C983" t="s">
        <v>1936</v>
      </c>
      <c r="D983" s="7" t="s">
        <v>1569</v>
      </c>
      <c r="E983" t="s">
        <v>32</v>
      </c>
      <c r="F983" t="s">
        <v>89</v>
      </c>
      <c r="G983" t="s">
        <v>150</v>
      </c>
      <c r="H983">
        <v>4</v>
      </c>
      <c r="I983">
        <v>208.38</v>
      </c>
      <c r="J983">
        <v>0</v>
      </c>
      <c r="K983">
        <v>833.52</v>
      </c>
      <c r="L983">
        <v>238.49</v>
      </c>
      <c r="M983" t="s">
        <v>35</v>
      </c>
    </row>
    <row r="984" spans="1:13" x14ac:dyDescent="0.3">
      <c r="A984" t="s">
        <v>2226</v>
      </c>
      <c r="B984" t="s">
        <v>188</v>
      </c>
      <c r="C984" t="s">
        <v>405</v>
      </c>
      <c r="D984" s="7" t="s">
        <v>240</v>
      </c>
      <c r="E984" t="s">
        <v>17</v>
      </c>
      <c r="F984" t="s">
        <v>26</v>
      </c>
      <c r="G984" t="s">
        <v>118</v>
      </c>
      <c r="H984">
        <v>7</v>
      </c>
      <c r="I984">
        <v>97.28</v>
      </c>
      <c r="J984">
        <v>0.05</v>
      </c>
      <c r="K984">
        <v>646.91</v>
      </c>
      <c r="L984">
        <v>82.98</v>
      </c>
      <c r="M984" t="s">
        <v>35</v>
      </c>
    </row>
    <row r="985" spans="1:13" x14ac:dyDescent="0.3">
      <c r="A985" t="s">
        <v>2227</v>
      </c>
      <c r="B985" t="s">
        <v>2228</v>
      </c>
      <c r="C985" t="s">
        <v>729</v>
      </c>
      <c r="D985" s="7" t="s">
        <v>288</v>
      </c>
      <c r="E985" t="s">
        <v>59</v>
      </c>
      <c r="F985" t="s">
        <v>26</v>
      </c>
      <c r="G985" t="s">
        <v>118</v>
      </c>
      <c r="H985">
        <v>6</v>
      </c>
      <c r="I985">
        <v>51.06</v>
      </c>
      <c r="J985">
        <v>0.1</v>
      </c>
      <c r="K985">
        <v>275.72000000000003</v>
      </c>
      <c r="L985">
        <v>32.81</v>
      </c>
      <c r="M985" t="s">
        <v>40</v>
      </c>
    </row>
    <row r="986" spans="1:13" x14ac:dyDescent="0.3">
      <c r="A986" t="s">
        <v>2229</v>
      </c>
      <c r="B986" t="s">
        <v>574</v>
      </c>
      <c r="C986" t="s">
        <v>451</v>
      </c>
      <c r="D986" s="7" t="s">
        <v>661</v>
      </c>
      <c r="E986" t="s">
        <v>17</v>
      </c>
      <c r="F986" t="s">
        <v>26</v>
      </c>
      <c r="G986" t="s">
        <v>118</v>
      </c>
      <c r="H986">
        <v>6</v>
      </c>
      <c r="I986">
        <v>109.59</v>
      </c>
      <c r="J986">
        <v>0.05</v>
      </c>
      <c r="K986">
        <v>624.66</v>
      </c>
      <c r="L986">
        <v>122.39</v>
      </c>
      <c r="M986" t="s">
        <v>40</v>
      </c>
    </row>
    <row r="987" spans="1:13" x14ac:dyDescent="0.3">
      <c r="A987" t="s">
        <v>2230</v>
      </c>
      <c r="B987" t="s">
        <v>1190</v>
      </c>
      <c r="C987" t="s">
        <v>1016</v>
      </c>
      <c r="D987" s="7" t="s">
        <v>563</v>
      </c>
      <c r="E987" t="s">
        <v>17</v>
      </c>
      <c r="F987" t="s">
        <v>89</v>
      </c>
      <c r="G987" t="s">
        <v>90</v>
      </c>
      <c r="H987">
        <v>2</v>
      </c>
      <c r="I987">
        <v>25.04</v>
      </c>
      <c r="J987">
        <v>0.15</v>
      </c>
      <c r="K987">
        <v>42.57</v>
      </c>
      <c r="L987">
        <v>4.76</v>
      </c>
      <c r="M987" t="s">
        <v>20</v>
      </c>
    </row>
    <row r="988" spans="1:13" x14ac:dyDescent="0.3">
      <c r="A988" t="s">
        <v>2231</v>
      </c>
      <c r="B988" t="s">
        <v>878</v>
      </c>
      <c r="C988" t="s">
        <v>737</v>
      </c>
      <c r="D988" s="7" t="s">
        <v>178</v>
      </c>
      <c r="E988" t="s">
        <v>32</v>
      </c>
      <c r="F988" t="s">
        <v>26</v>
      </c>
      <c r="G988" t="s">
        <v>118</v>
      </c>
      <c r="H988">
        <v>8</v>
      </c>
      <c r="I988">
        <v>50.27</v>
      </c>
      <c r="J988">
        <v>0.15</v>
      </c>
      <c r="K988">
        <v>341.84</v>
      </c>
      <c r="L988">
        <v>97.98</v>
      </c>
      <c r="M988" t="s">
        <v>20</v>
      </c>
    </row>
    <row r="989" spans="1:13" x14ac:dyDescent="0.3">
      <c r="A989" t="s">
        <v>2232</v>
      </c>
      <c r="B989" t="s">
        <v>1607</v>
      </c>
      <c r="C989" t="s">
        <v>1771</v>
      </c>
      <c r="D989" s="7" t="s">
        <v>491</v>
      </c>
      <c r="E989" t="s">
        <v>17</v>
      </c>
      <c r="F989" t="s">
        <v>33</v>
      </c>
      <c r="G989" t="s">
        <v>69</v>
      </c>
      <c r="H989">
        <v>8</v>
      </c>
      <c r="I989">
        <v>179.75</v>
      </c>
      <c r="J989">
        <v>0</v>
      </c>
      <c r="K989">
        <v>1438</v>
      </c>
      <c r="L989">
        <v>354.06</v>
      </c>
      <c r="M989" t="s">
        <v>20</v>
      </c>
    </row>
    <row r="990" spans="1:13" x14ac:dyDescent="0.3">
      <c r="A990" t="s">
        <v>2233</v>
      </c>
      <c r="B990" t="s">
        <v>423</v>
      </c>
      <c r="C990" t="s">
        <v>429</v>
      </c>
      <c r="D990" s="7" t="s">
        <v>2234</v>
      </c>
      <c r="E990" t="s">
        <v>17</v>
      </c>
      <c r="F990" t="s">
        <v>89</v>
      </c>
      <c r="G990" t="s">
        <v>131</v>
      </c>
      <c r="H990">
        <v>8</v>
      </c>
      <c r="I990">
        <v>38.67</v>
      </c>
      <c r="J990">
        <v>0.1</v>
      </c>
      <c r="K990">
        <v>278.42</v>
      </c>
      <c r="L990">
        <v>83.32</v>
      </c>
      <c r="M990" t="s">
        <v>20</v>
      </c>
    </row>
    <row r="991" spans="1:13" x14ac:dyDescent="0.3">
      <c r="A991" t="s">
        <v>2235</v>
      </c>
      <c r="B991" t="s">
        <v>2051</v>
      </c>
      <c r="C991" t="s">
        <v>936</v>
      </c>
      <c r="D991" s="7" t="s">
        <v>1484</v>
      </c>
      <c r="E991" t="s">
        <v>17</v>
      </c>
      <c r="F991" t="s">
        <v>26</v>
      </c>
      <c r="G991" t="s">
        <v>118</v>
      </c>
      <c r="H991">
        <v>7</v>
      </c>
      <c r="I991">
        <v>111.94</v>
      </c>
      <c r="J991">
        <v>0.05</v>
      </c>
      <c r="K991">
        <v>744.4</v>
      </c>
      <c r="L991">
        <v>192.86</v>
      </c>
      <c r="M991" t="s">
        <v>20</v>
      </c>
    </row>
    <row r="992" spans="1:13" x14ac:dyDescent="0.3">
      <c r="A992" t="s">
        <v>2236</v>
      </c>
      <c r="B992" t="s">
        <v>294</v>
      </c>
      <c r="C992" t="s">
        <v>2237</v>
      </c>
      <c r="D992" s="7" t="s">
        <v>1179</v>
      </c>
      <c r="E992" t="s">
        <v>17</v>
      </c>
      <c r="F992" t="s">
        <v>89</v>
      </c>
      <c r="G992" t="s">
        <v>131</v>
      </c>
      <c r="H992">
        <v>6</v>
      </c>
      <c r="I992">
        <v>55.03</v>
      </c>
      <c r="J992">
        <v>0.15</v>
      </c>
      <c r="K992">
        <v>280.64999999999998</v>
      </c>
      <c r="L992">
        <v>42.98</v>
      </c>
      <c r="M992" t="s">
        <v>35</v>
      </c>
    </row>
    <row r="993" spans="1:13" x14ac:dyDescent="0.3">
      <c r="A993" t="s">
        <v>2238</v>
      </c>
      <c r="B993" t="s">
        <v>408</v>
      </c>
      <c r="C993" t="s">
        <v>346</v>
      </c>
      <c r="D993" s="7" t="s">
        <v>2239</v>
      </c>
      <c r="E993" t="s">
        <v>59</v>
      </c>
      <c r="F993" t="s">
        <v>18</v>
      </c>
      <c r="G993" t="s">
        <v>45</v>
      </c>
      <c r="H993">
        <v>5</v>
      </c>
      <c r="I993">
        <v>151.12</v>
      </c>
      <c r="J993">
        <v>0.05</v>
      </c>
      <c r="K993">
        <v>717.82</v>
      </c>
      <c r="L993">
        <v>191.2</v>
      </c>
      <c r="M993" t="s">
        <v>35</v>
      </c>
    </row>
    <row r="994" spans="1:13" x14ac:dyDescent="0.3">
      <c r="A994" t="s">
        <v>2240</v>
      </c>
      <c r="B994" t="s">
        <v>1465</v>
      </c>
      <c r="C994" t="s">
        <v>2241</v>
      </c>
      <c r="D994" s="7" t="s">
        <v>68</v>
      </c>
      <c r="E994" t="s">
        <v>59</v>
      </c>
      <c r="F994" t="s">
        <v>89</v>
      </c>
      <c r="G994" t="s">
        <v>90</v>
      </c>
      <c r="H994">
        <v>1</v>
      </c>
      <c r="I994">
        <v>80.3</v>
      </c>
      <c r="J994">
        <v>0.1</v>
      </c>
      <c r="K994">
        <v>72.27</v>
      </c>
      <c r="L994">
        <v>9.8000000000000007</v>
      </c>
      <c r="M994" t="s">
        <v>40</v>
      </c>
    </row>
    <row r="995" spans="1:13" x14ac:dyDescent="0.3">
      <c r="A995" t="s">
        <v>2242</v>
      </c>
      <c r="B995" t="s">
        <v>1049</v>
      </c>
      <c r="C995" t="s">
        <v>1932</v>
      </c>
      <c r="D995" s="7" t="s">
        <v>1122</v>
      </c>
      <c r="E995" t="s">
        <v>59</v>
      </c>
      <c r="F995" t="s">
        <v>33</v>
      </c>
      <c r="G995" t="s">
        <v>34</v>
      </c>
      <c r="H995">
        <v>7</v>
      </c>
      <c r="I995">
        <v>137.08000000000001</v>
      </c>
      <c r="J995">
        <v>0.15</v>
      </c>
      <c r="K995">
        <v>815.63</v>
      </c>
      <c r="L995">
        <v>196</v>
      </c>
      <c r="M995" t="s">
        <v>35</v>
      </c>
    </row>
    <row r="996" spans="1:13" x14ac:dyDescent="0.3">
      <c r="A996" t="s">
        <v>2243</v>
      </c>
      <c r="B996" t="s">
        <v>681</v>
      </c>
      <c r="C996" t="s">
        <v>769</v>
      </c>
      <c r="D996" s="7" t="s">
        <v>1902</v>
      </c>
      <c r="E996" t="s">
        <v>64</v>
      </c>
      <c r="F996" t="s">
        <v>33</v>
      </c>
      <c r="G996" t="s">
        <v>50</v>
      </c>
      <c r="H996">
        <v>7</v>
      </c>
      <c r="I996">
        <v>136.22</v>
      </c>
      <c r="J996">
        <v>0.1</v>
      </c>
      <c r="K996">
        <v>858.19</v>
      </c>
      <c r="L996">
        <v>111.45</v>
      </c>
      <c r="M996" t="s">
        <v>20</v>
      </c>
    </row>
    <row r="997" spans="1:13" x14ac:dyDescent="0.3">
      <c r="A997" t="s">
        <v>2244</v>
      </c>
      <c r="B997" t="s">
        <v>1198</v>
      </c>
      <c r="C997" t="s">
        <v>2056</v>
      </c>
      <c r="D997" s="7" t="s">
        <v>851</v>
      </c>
      <c r="E997" t="s">
        <v>25</v>
      </c>
      <c r="F997" t="s">
        <v>26</v>
      </c>
      <c r="G997" t="s">
        <v>84</v>
      </c>
      <c r="H997">
        <v>4</v>
      </c>
      <c r="I997">
        <v>101.46</v>
      </c>
      <c r="J997">
        <v>0</v>
      </c>
      <c r="K997">
        <v>405.84</v>
      </c>
      <c r="L997">
        <v>74.8</v>
      </c>
      <c r="M997" t="s">
        <v>35</v>
      </c>
    </row>
    <row r="998" spans="1:13" x14ac:dyDescent="0.3">
      <c r="A998" t="s">
        <v>2245</v>
      </c>
      <c r="B998" t="s">
        <v>2246</v>
      </c>
      <c r="C998" t="s">
        <v>1591</v>
      </c>
      <c r="D998" s="7" t="s">
        <v>1228</v>
      </c>
      <c r="E998" t="s">
        <v>25</v>
      </c>
      <c r="F998" t="s">
        <v>18</v>
      </c>
      <c r="G998" t="s">
        <v>79</v>
      </c>
      <c r="H998">
        <v>6</v>
      </c>
      <c r="I998">
        <v>145.87</v>
      </c>
      <c r="J998">
        <v>0.05</v>
      </c>
      <c r="K998">
        <v>831.46</v>
      </c>
      <c r="L998">
        <v>133.56</v>
      </c>
      <c r="M998" t="s">
        <v>35</v>
      </c>
    </row>
    <row r="999" spans="1:13" x14ac:dyDescent="0.3">
      <c r="A999" t="s">
        <v>2247</v>
      </c>
      <c r="B999" t="s">
        <v>964</v>
      </c>
      <c r="C999" t="s">
        <v>310</v>
      </c>
      <c r="D999" s="7" t="s">
        <v>811</v>
      </c>
      <c r="E999" t="s">
        <v>17</v>
      </c>
      <c r="F999" t="s">
        <v>33</v>
      </c>
      <c r="G999" t="s">
        <v>69</v>
      </c>
      <c r="H999">
        <v>4</v>
      </c>
      <c r="I999">
        <v>33.549999999999997</v>
      </c>
      <c r="J999">
        <v>0</v>
      </c>
      <c r="K999">
        <v>134.19999999999999</v>
      </c>
      <c r="L999">
        <v>38.11</v>
      </c>
      <c r="M999" t="s">
        <v>20</v>
      </c>
    </row>
    <row r="1000" spans="1:13" x14ac:dyDescent="0.3">
      <c r="A1000" t="s">
        <v>2248</v>
      </c>
      <c r="B1000" t="s">
        <v>900</v>
      </c>
      <c r="C1000" t="s">
        <v>682</v>
      </c>
      <c r="D1000" s="7" t="s">
        <v>1056</v>
      </c>
      <c r="E1000" t="s">
        <v>59</v>
      </c>
      <c r="F1000" t="s">
        <v>26</v>
      </c>
      <c r="G1000" t="s">
        <v>84</v>
      </c>
      <c r="H1000">
        <v>8</v>
      </c>
      <c r="I1000">
        <v>202.44</v>
      </c>
      <c r="J1000">
        <v>0.05</v>
      </c>
      <c r="K1000">
        <v>1538.54</v>
      </c>
      <c r="L1000">
        <v>205.5</v>
      </c>
      <c r="M1000" t="s">
        <v>20</v>
      </c>
    </row>
    <row r="1001" spans="1:13" x14ac:dyDescent="0.3">
      <c r="A1001" t="s">
        <v>2249</v>
      </c>
      <c r="B1001" t="s">
        <v>355</v>
      </c>
      <c r="C1001" t="s">
        <v>332</v>
      </c>
      <c r="D1001" s="7" t="s">
        <v>618</v>
      </c>
      <c r="E1001" t="s">
        <v>59</v>
      </c>
      <c r="F1001" t="s">
        <v>18</v>
      </c>
      <c r="G1001" t="s">
        <v>79</v>
      </c>
      <c r="H1001">
        <v>7</v>
      </c>
      <c r="I1001">
        <v>221.56</v>
      </c>
      <c r="J1001">
        <v>0</v>
      </c>
      <c r="K1001">
        <v>1550.92</v>
      </c>
      <c r="L1001">
        <v>137.63999999999999</v>
      </c>
      <c r="M1001" t="s">
        <v>40</v>
      </c>
    </row>
    <row r="1002" spans="1:13" x14ac:dyDescent="0.3">
      <c r="A1002" t="s">
        <v>2250</v>
      </c>
      <c r="B1002" t="s">
        <v>371</v>
      </c>
      <c r="C1002" t="s">
        <v>1543</v>
      </c>
      <c r="D1002" s="7" t="s">
        <v>1680</v>
      </c>
      <c r="E1002" t="s">
        <v>59</v>
      </c>
      <c r="F1002" t="s">
        <v>18</v>
      </c>
      <c r="G1002" t="s">
        <v>79</v>
      </c>
      <c r="H1002">
        <v>1</v>
      </c>
      <c r="I1002">
        <v>73.12</v>
      </c>
      <c r="J1002">
        <v>0</v>
      </c>
      <c r="K1002">
        <v>73.12</v>
      </c>
      <c r="L1002">
        <v>9.77</v>
      </c>
      <c r="M1002" t="s">
        <v>40</v>
      </c>
    </row>
    <row r="1003" spans="1:13" x14ac:dyDescent="0.3">
      <c r="A1003" t="s">
        <v>2251</v>
      </c>
      <c r="B1003" t="s">
        <v>1105</v>
      </c>
      <c r="C1003" t="s">
        <v>87</v>
      </c>
      <c r="D1003" s="7" t="s">
        <v>68</v>
      </c>
      <c r="E1003" t="s">
        <v>17</v>
      </c>
      <c r="F1003" t="s">
        <v>33</v>
      </c>
      <c r="G1003" t="s">
        <v>74</v>
      </c>
      <c r="H1003">
        <v>1</v>
      </c>
      <c r="I1003">
        <v>35.14</v>
      </c>
      <c r="J1003">
        <v>0.15</v>
      </c>
      <c r="K1003">
        <v>29.87</v>
      </c>
      <c r="L1003">
        <v>6.43</v>
      </c>
      <c r="M1003" t="s">
        <v>40</v>
      </c>
    </row>
    <row r="1004" spans="1:13" x14ac:dyDescent="0.3">
      <c r="A1004" t="s">
        <v>2252</v>
      </c>
      <c r="B1004" t="s">
        <v>450</v>
      </c>
      <c r="C1004" t="s">
        <v>353</v>
      </c>
      <c r="D1004" s="7" t="s">
        <v>2253</v>
      </c>
      <c r="E1004" t="s">
        <v>32</v>
      </c>
      <c r="F1004" t="s">
        <v>33</v>
      </c>
      <c r="G1004" t="s">
        <v>69</v>
      </c>
      <c r="H1004">
        <v>8</v>
      </c>
      <c r="I1004">
        <v>117.4</v>
      </c>
      <c r="J1004">
        <v>0</v>
      </c>
      <c r="K1004">
        <v>939.2</v>
      </c>
      <c r="L1004">
        <v>94.52</v>
      </c>
      <c r="M1004" t="s">
        <v>40</v>
      </c>
    </row>
    <row r="1005" spans="1:13" x14ac:dyDescent="0.3">
      <c r="A1005" t="s">
        <v>2254</v>
      </c>
      <c r="B1005" t="s">
        <v>362</v>
      </c>
      <c r="C1005" t="s">
        <v>1339</v>
      </c>
      <c r="D1005" s="7" t="s">
        <v>262</v>
      </c>
      <c r="E1005" t="s">
        <v>32</v>
      </c>
      <c r="F1005" t="s">
        <v>33</v>
      </c>
      <c r="G1005" t="s">
        <v>69</v>
      </c>
      <c r="H1005">
        <v>2</v>
      </c>
      <c r="I1005">
        <v>156.86000000000001</v>
      </c>
      <c r="J1005">
        <v>0</v>
      </c>
      <c r="K1005">
        <v>313.72000000000003</v>
      </c>
      <c r="L1005">
        <v>68.22</v>
      </c>
      <c r="M1005" t="s">
        <v>35</v>
      </c>
    </row>
    <row r="1006" spans="1:13" x14ac:dyDescent="0.3">
      <c r="A1006" t="s">
        <v>2255</v>
      </c>
      <c r="B1006" t="s">
        <v>137</v>
      </c>
      <c r="C1006" t="s">
        <v>1277</v>
      </c>
      <c r="D1006" s="7" t="s">
        <v>1849</v>
      </c>
      <c r="E1006" t="s">
        <v>32</v>
      </c>
      <c r="F1006" t="s">
        <v>18</v>
      </c>
      <c r="G1006" t="s">
        <v>19</v>
      </c>
      <c r="H1006">
        <v>3</v>
      </c>
      <c r="I1006">
        <v>241.05</v>
      </c>
      <c r="J1006">
        <v>0.1</v>
      </c>
      <c r="K1006">
        <v>650.84</v>
      </c>
      <c r="L1006">
        <v>143.15</v>
      </c>
      <c r="M1006" t="s">
        <v>40</v>
      </c>
    </row>
    <row r="1007" spans="1:13" x14ac:dyDescent="0.3">
      <c r="A1007" t="s">
        <v>2256</v>
      </c>
      <c r="B1007" t="s">
        <v>798</v>
      </c>
      <c r="C1007" t="s">
        <v>1299</v>
      </c>
      <c r="D1007" s="7" t="s">
        <v>273</v>
      </c>
      <c r="E1007" t="s">
        <v>25</v>
      </c>
      <c r="F1007" t="s">
        <v>18</v>
      </c>
      <c r="G1007" t="s">
        <v>45</v>
      </c>
      <c r="H1007">
        <v>8</v>
      </c>
      <c r="I1007">
        <v>84.6</v>
      </c>
      <c r="J1007">
        <v>0.15</v>
      </c>
      <c r="K1007">
        <v>575.28</v>
      </c>
      <c r="L1007">
        <v>66.819999999999993</v>
      </c>
      <c r="M1007" t="s">
        <v>40</v>
      </c>
    </row>
    <row r="1008" spans="1:13" x14ac:dyDescent="0.3">
      <c r="A1008" t="s">
        <v>2257</v>
      </c>
      <c r="B1008" t="s">
        <v>1746</v>
      </c>
      <c r="C1008" t="s">
        <v>1515</v>
      </c>
      <c r="D1008" s="7" t="s">
        <v>1899</v>
      </c>
      <c r="E1008" t="s">
        <v>59</v>
      </c>
      <c r="F1008" t="s">
        <v>18</v>
      </c>
      <c r="G1008" t="s">
        <v>45</v>
      </c>
      <c r="H1008">
        <v>3</v>
      </c>
      <c r="I1008">
        <v>230.01</v>
      </c>
      <c r="J1008">
        <v>0</v>
      </c>
      <c r="K1008">
        <v>690.03</v>
      </c>
      <c r="L1008">
        <v>79.06</v>
      </c>
      <c r="M1008" t="s">
        <v>20</v>
      </c>
    </row>
    <row r="1009" spans="1:13" x14ac:dyDescent="0.3">
      <c r="A1009" t="s">
        <v>2258</v>
      </c>
      <c r="B1009" t="s">
        <v>775</v>
      </c>
      <c r="C1009" t="s">
        <v>1545</v>
      </c>
      <c r="D1009" s="7" t="s">
        <v>726</v>
      </c>
      <c r="E1009" t="s">
        <v>32</v>
      </c>
      <c r="F1009" t="s">
        <v>26</v>
      </c>
      <c r="G1009" t="s">
        <v>27</v>
      </c>
      <c r="H1009">
        <v>3</v>
      </c>
      <c r="I1009">
        <v>244.77</v>
      </c>
      <c r="J1009">
        <v>0.1</v>
      </c>
      <c r="K1009">
        <v>660.88</v>
      </c>
      <c r="L1009">
        <v>53.14</v>
      </c>
      <c r="M1009" t="s">
        <v>35</v>
      </c>
    </row>
    <row r="1010" spans="1:13" x14ac:dyDescent="0.3">
      <c r="A1010" t="s">
        <v>2259</v>
      </c>
      <c r="B1010" t="s">
        <v>47</v>
      </c>
      <c r="C1010" t="s">
        <v>1765</v>
      </c>
      <c r="D1010" s="7" t="s">
        <v>2260</v>
      </c>
      <c r="E1010" t="s">
        <v>59</v>
      </c>
      <c r="F1010" t="s">
        <v>26</v>
      </c>
      <c r="G1010" t="s">
        <v>84</v>
      </c>
      <c r="H1010">
        <v>5</v>
      </c>
      <c r="I1010">
        <v>48.82</v>
      </c>
      <c r="J1010">
        <v>0.15</v>
      </c>
      <c r="K1010">
        <v>207.48</v>
      </c>
      <c r="L1010">
        <v>18.98</v>
      </c>
      <c r="M1010" t="s">
        <v>35</v>
      </c>
    </row>
    <row r="1011" spans="1:13" x14ac:dyDescent="0.3">
      <c r="A1011" t="s">
        <v>2261</v>
      </c>
      <c r="B1011" t="s">
        <v>1827</v>
      </c>
      <c r="C1011" t="s">
        <v>2056</v>
      </c>
      <c r="D1011" s="7" t="s">
        <v>835</v>
      </c>
      <c r="E1011" t="s">
        <v>17</v>
      </c>
      <c r="F1011" t="s">
        <v>18</v>
      </c>
      <c r="G1011" t="s">
        <v>79</v>
      </c>
      <c r="H1011">
        <v>2</v>
      </c>
      <c r="I1011">
        <v>86.4</v>
      </c>
      <c r="J1011">
        <v>0.1</v>
      </c>
      <c r="K1011">
        <v>155.52000000000001</v>
      </c>
      <c r="L1011">
        <v>26.65</v>
      </c>
      <c r="M1011" t="s">
        <v>35</v>
      </c>
    </row>
    <row r="1012" spans="1:13" x14ac:dyDescent="0.3">
      <c r="A1012" t="s">
        <v>2262</v>
      </c>
      <c r="B1012" t="s">
        <v>671</v>
      </c>
      <c r="C1012" t="s">
        <v>1134</v>
      </c>
      <c r="D1012" s="7" t="s">
        <v>844</v>
      </c>
      <c r="E1012" t="s">
        <v>25</v>
      </c>
      <c r="F1012" t="s">
        <v>26</v>
      </c>
      <c r="G1012" t="s">
        <v>27</v>
      </c>
      <c r="H1012">
        <v>3</v>
      </c>
      <c r="I1012">
        <v>143.69999999999999</v>
      </c>
      <c r="J1012">
        <v>0.1</v>
      </c>
      <c r="K1012">
        <v>387.99</v>
      </c>
      <c r="L1012">
        <v>91.33</v>
      </c>
      <c r="M1012" t="s">
        <v>40</v>
      </c>
    </row>
    <row r="1013" spans="1:13" x14ac:dyDescent="0.3">
      <c r="A1013" t="s">
        <v>2263</v>
      </c>
      <c r="B1013" t="s">
        <v>2264</v>
      </c>
      <c r="C1013" t="s">
        <v>265</v>
      </c>
      <c r="D1013" s="7" t="s">
        <v>88</v>
      </c>
      <c r="E1013" t="s">
        <v>25</v>
      </c>
      <c r="F1013" t="s">
        <v>33</v>
      </c>
      <c r="G1013" t="s">
        <v>50</v>
      </c>
      <c r="H1013">
        <v>6</v>
      </c>
      <c r="I1013">
        <v>153.83000000000001</v>
      </c>
      <c r="J1013">
        <v>0.1</v>
      </c>
      <c r="K1013">
        <v>830.68</v>
      </c>
      <c r="L1013">
        <v>91.71</v>
      </c>
      <c r="M1013" t="s">
        <v>35</v>
      </c>
    </row>
    <row r="1014" spans="1:13" x14ac:dyDescent="0.3">
      <c r="A1014" t="s">
        <v>2265</v>
      </c>
      <c r="B1014" t="s">
        <v>2168</v>
      </c>
      <c r="C1014" t="s">
        <v>1343</v>
      </c>
      <c r="D1014" s="7" t="s">
        <v>2266</v>
      </c>
      <c r="E1014" t="s">
        <v>32</v>
      </c>
      <c r="F1014" t="s">
        <v>18</v>
      </c>
      <c r="G1014" t="s">
        <v>45</v>
      </c>
      <c r="H1014">
        <v>4</v>
      </c>
      <c r="I1014">
        <v>63.21</v>
      </c>
      <c r="J1014">
        <v>0.1</v>
      </c>
      <c r="K1014">
        <v>227.56</v>
      </c>
      <c r="L1014">
        <v>55.68</v>
      </c>
      <c r="M1014" t="s">
        <v>40</v>
      </c>
    </row>
    <row r="1015" spans="1:13" x14ac:dyDescent="0.3">
      <c r="A1015" t="s">
        <v>2267</v>
      </c>
      <c r="B1015" t="s">
        <v>715</v>
      </c>
      <c r="C1015" t="s">
        <v>514</v>
      </c>
      <c r="D1015" s="7" t="s">
        <v>605</v>
      </c>
      <c r="E1015" t="s">
        <v>32</v>
      </c>
      <c r="F1015" t="s">
        <v>33</v>
      </c>
      <c r="G1015" t="s">
        <v>34</v>
      </c>
      <c r="H1015">
        <v>6</v>
      </c>
      <c r="I1015">
        <v>41.99</v>
      </c>
      <c r="J1015">
        <v>0.05</v>
      </c>
      <c r="K1015">
        <v>239.34</v>
      </c>
      <c r="L1015">
        <v>28.04</v>
      </c>
      <c r="M1015" t="s">
        <v>20</v>
      </c>
    </row>
    <row r="1016" spans="1:13" x14ac:dyDescent="0.3">
      <c r="A1016" t="s">
        <v>2268</v>
      </c>
      <c r="B1016" t="s">
        <v>362</v>
      </c>
      <c r="C1016" t="s">
        <v>1331</v>
      </c>
      <c r="D1016" s="7" t="s">
        <v>568</v>
      </c>
      <c r="E1016" t="s">
        <v>25</v>
      </c>
      <c r="F1016" t="s">
        <v>18</v>
      </c>
      <c r="G1016" t="s">
        <v>45</v>
      </c>
      <c r="H1016">
        <v>1</v>
      </c>
      <c r="I1016">
        <v>93.83</v>
      </c>
      <c r="J1016">
        <v>0.1</v>
      </c>
      <c r="K1016">
        <v>84.45</v>
      </c>
      <c r="L1016">
        <v>24.04</v>
      </c>
      <c r="M1016" t="s">
        <v>20</v>
      </c>
    </row>
    <row r="1017" spans="1:13" x14ac:dyDescent="0.3">
      <c r="A1017" t="s">
        <v>2269</v>
      </c>
      <c r="B1017" t="s">
        <v>1025</v>
      </c>
      <c r="C1017" t="s">
        <v>253</v>
      </c>
      <c r="D1017" s="7" t="s">
        <v>550</v>
      </c>
      <c r="E1017" t="s">
        <v>25</v>
      </c>
      <c r="F1017" t="s">
        <v>26</v>
      </c>
      <c r="G1017" t="s">
        <v>118</v>
      </c>
      <c r="H1017">
        <v>7</v>
      </c>
      <c r="I1017">
        <v>218.78</v>
      </c>
      <c r="J1017">
        <v>0.1</v>
      </c>
      <c r="K1017">
        <v>1378.31</v>
      </c>
      <c r="L1017">
        <v>406.41</v>
      </c>
      <c r="M1017" t="s">
        <v>40</v>
      </c>
    </row>
    <row r="1018" spans="1:13" x14ac:dyDescent="0.3">
      <c r="A1018" t="s">
        <v>2270</v>
      </c>
      <c r="B1018" t="s">
        <v>180</v>
      </c>
      <c r="C1018" t="s">
        <v>134</v>
      </c>
      <c r="D1018" s="7" t="s">
        <v>2271</v>
      </c>
      <c r="E1018" t="s">
        <v>59</v>
      </c>
      <c r="F1018" t="s">
        <v>89</v>
      </c>
      <c r="G1018" t="s">
        <v>150</v>
      </c>
      <c r="H1018">
        <v>5</v>
      </c>
      <c r="I1018">
        <v>195.77</v>
      </c>
      <c r="J1018">
        <v>0</v>
      </c>
      <c r="K1018">
        <v>978.85</v>
      </c>
      <c r="L1018">
        <v>149.66</v>
      </c>
      <c r="M1018" t="s">
        <v>20</v>
      </c>
    </row>
    <row r="1019" spans="1:13" x14ac:dyDescent="0.3">
      <c r="A1019" t="s">
        <v>2272</v>
      </c>
      <c r="B1019" t="s">
        <v>22</v>
      </c>
      <c r="C1019" t="s">
        <v>507</v>
      </c>
      <c r="D1019" s="7" t="s">
        <v>44</v>
      </c>
      <c r="E1019" t="s">
        <v>25</v>
      </c>
      <c r="F1019" t="s">
        <v>89</v>
      </c>
      <c r="G1019" t="s">
        <v>131</v>
      </c>
      <c r="H1019">
        <v>6</v>
      </c>
      <c r="I1019">
        <v>183.75</v>
      </c>
      <c r="J1019">
        <v>0.15</v>
      </c>
      <c r="K1019">
        <v>937.12</v>
      </c>
      <c r="L1019">
        <v>101.99</v>
      </c>
      <c r="M1019" t="s">
        <v>20</v>
      </c>
    </row>
    <row r="1020" spans="1:13" x14ac:dyDescent="0.3">
      <c r="A1020" t="s">
        <v>2273</v>
      </c>
      <c r="B1020" t="s">
        <v>782</v>
      </c>
      <c r="C1020" t="s">
        <v>961</v>
      </c>
      <c r="D1020" s="7" t="s">
        <v>2177</v>
      </c>
      <c r="E1020" t="s">
        <v>64</v>
      </c>
      <c r="F1020" t="s">
        <v>18</v>
      </c>
      <c r="G1020" t="s">
        <v>19</v>
      </c>
      <c r="H1020">
        <v>5</v>
      </c>
      <c r="I1020">
        <v>247.79</v>
      </c>
      <c r="J1020">
        <v>0.15</v>
      </c>
      <c r="K1020">
        <v>1053.1099999999999</v>
      </c>
      <c r="L1020">
        <v>223.46</v>
      </c>
      <c r="M1020" t="s">
        <v>40</v>
      </c>
    </row>
    <row r="1021" spans="1:13" x14ac:dyDescent="0.3">
      <c r="A1021" t="s">
        <v>2274</v>
      </c>
      <c r="B1021" t="s">
        <v>1801</v>
      </c>
      <c r="C1021" t="s">
        <v>1798</v>
      </c>
      <c r="D1021" s="7" t="s">
        <v>1344</v>
      </c>
      <c r="E1021" t="s">
        <v>64</v>
      </c>
      <c r="F1021" t="s">
        <v>33</v>
      </c>
      <c r="G1021" t="s">
        <v>50</v>
      </c>
      <c r="H1021">
        <v>6</v>
      </c>
      <c r="I1021">
        <v>152.22</v>
      </c>
      <c r="J1021">
        <v>0.1</v>
      </c>
      <c r="K1021">
        <v>821.99</v>
      </c>
      <c r="L1021">
        <v>93.23</v>
      </c>
      <c r="M1021" t="s">
        <v>35</v>
      </c>
    </row>
    <row r="1022" spans="1:13" x14ac:dyDescent="0.3">
      <c r="A1022" t="s">
        <v>2275</v>
      </c>
      <c r="B1022" t="s">
        <v>1883</v>
      </c>
      <c r="C1022" t="s">
        <v>1749</v>
      </c>
      <c r="D1022" s="7" t="s">
        <v>487</v>
      </c>
      <c r="E1022" t="s">
        <v>32</v>
      </c>
      <c r="F1022" t="s">
        <v>89</v>
      </c>
      <c r="G1022" t="s">
        <v>90</v>
      </c>
      <c r="H1022">
        <v>2</v>
      </c>
      <c r="I1022">
        <v>30.63</v>
      </c>
      <c r="J1022">
        <v>0.1</v>
      </c>
      <c r="K1022">
        <v>55.13</v>
      </c>
      <c r="L1022">
        <v>16.39</v>
      </c>
      <c r="M1022" t="s">
        <v>35</v>
      </c>
    </row>
    <row r="1023" spans="1:13" x14ac:dyDescent="0.3">
      <c r="A1023" t="s">
        <v>2276</v>
      </c>
      <c r="B1023" t="s">
        <v>1573</v>
      </c>
      <c r="C1023" t="s">
        <v>2122</v>
      </c>
      <c r="D1023" s="7" t="s">
        <v>1344</v>
      </c>
      <c r="E1023" t="s">
        <v>17</v>
      </c>
      <c r="F1023" t="s">
        <v>26</v>
      </c>
      <c r="G1023" t="s">
        <v>118</v>
      </c>
      <c r="H1023">
        <v>6</v>
      </c>
      <c r="I1023">
        <v>174.85</v>
      </c>
      <c r="J1023">
        <v>0</v>
      </c>
      <c r="K1023">
        <v>1049.0999999999999</v>
      </c>
      <c r="L1023">
        <v>191.67</v>
      </c>
      <c r="M1023" t="s">
        <v>40</v>
      </c>
    </row>
    <row r="1024" spans="1:13" x14ac:dyDescent="0.3">
      <c r="A1024" t="s">
        <v>2277</v>
      </c>
      <c r="B1024" t="s">
        <v>170</v>
      </c>
      <c r="C1024" t="s">
        <v>471</v>
      </c>
      <c r="D1024" s="7" t="s">
        <v>895</v>
      </c>
      <c r="E1024" t="s">
        <v>64</v>
      </c>
      <c r="F1024" t="s">
        <v>33</v>
      </c>
      <c r="G1024" t="s">
        <v>69</v>
      </c>
      <c r="H1024">
        <v>4</v>
      </c>
      <c r="I1024">
        <v>11.33</v>
      </c>
      <c r="J1024">
        <v>0.05</v>
      </c>
      <c r="K1024">
        <v>43.05</v>
      </c>
      <c r="L1024">
        <v>5.72</v>
      </c>
      <c r="M1024" t="s">
        <v>20</v>
      </c>
    </row>
    <row r="1025" spans="1:13" x14ac:dyDescent="0.3">
      <c r="A1025" t="s">
        <v>2278</v>
      </c>
      <c r="B1025" t="s">
        <v>1486</v>
      </c>
      <c r="C1025" t="s">
        <v>660</v>
      </c>
      <c r="D1025" s="7" t="s">
        <v>2279</v>
      </c>
      <c r="E1025" t="s">
        <v>32</v>
      </c>
      <c r="F1025" t="s">
        <v>18</v>
      </c>
      <c r="G1025" t="s">
        <v>79</v>
      </c>
      <c r="H1025">
        <v>4</v>
      </c>
      <c r="I1025">
        <v>114.05</v>
      </c>
      <c r="J1025">
        <v>0.05</v>
      </c>
      <c r="K1025">
        <v>433.39</v>
      </c>
      <c r="L1025">
        <v>78.84</v>
      </c>
      <c r="M1025" t="s">
        <v>40</v>
      </c>
    </row>
    <row r="1026" spans="1:13" x14ac:dyDescent="0.3">
      <c r="A1026" t="s">
        <v>2280</v>
      </c>
      <c r="B1026" t="s">
        <v>1746</v>
      </c>
      <c r="C1026" t="s">
        <v>2237</v>
      </c>
      <c r="D1026" s="7" t="s">
        <v>284</v>
      </c>
      <c r="E1026" t="s">
        <v>25</v>
      </c>
      <c r="F1026" t="s">
        <v>26</v>
      </c>
      <c r="G1026" t="s">
        <v>27</v>
      </c>
      <c r="H1026">
        <v>6</v>
      </c>
      <c r="I1026">
        <v>167.58</v>
      </c>
      <c r="J1026">
        <v>0.15</v>
      </c>
      <c r="K1026">
        <v>854.66</v>
      </c>
      <c r="L1026">
        <v>140.77000000000001</v>
      </c>
      <c r="M1026" t="s">
        <v>20</v>
      </c>
    </row>
    <row r="1027" spans="1:13" x14ac:dyDescent="0.3">
      <c r="A1027" t="s">
        <v>2281</v>
      </c>
      <c r="B1027" t="s">
        <v>2007</v>
      </c>
      <c r="C1027" t="s">
        <v>1387</v>
      </c>
      <c r="D1027" s="7" t="s">
        <v>1231</v>
      </c>
      <c r="E1027" t="s">
        <v>17</v>
      </c>
      <c r="F1027" t="s">
        <v>33</v>
      </c>
      <c r="G1027" t="s">
        <v>69</v>
      </c>
      <c r="H1027">
        <v>6</v>
      </c>
      <c r="I1027">
        <v>98.06</v>
      </c>
      <c r="J1027">
        <v>0.1</v>
      </c>
      <c r="K1027">
        <v>529.52</v>
      </c>
      <c r="L1027">
        <v>114.04</v>
      </c>
      <c r="M1027" t="s">
        <v>35</v>
      </c>
    </row>
    <row r="1028" spans="1:13" x14ac:dyDescent="0.3">
      <c r="A1028" t="s">
        <v>2282</v>
      </c>
      <c r="B1028" t="s">
        <v>1746</v>
      </c>
      <c r="C1028" t="s">
        <v>702</v>
      </c>
      <c r="D1028" s="7" t="s">
        <v>1457</v>
      </c>
      <c r="E1028" t="s">
        <v>25</v>
      </c>
      <c r="F1028" t="s">
        <v>33</v>
      </c>
      <c r="G1028" t="s">
        <v>34</v>
      </c>
      <c r="H1028">
        <v>2</v>
      </c>
      <c r="I1028">
        <v>216.68</v>
      </c>
      <c r="J1028">
        <v>0</v>
      </c>
      <c r="K1028">
        <v>433.36</v>
      </c>
      <c r="L1028">
        <v>56.93</v>
      </c>
      <c r="M1028" t="s">
        <v>40</v>
      </c>
    </row>
    <row r="1029" spans="1:13" x14ac:dyDescent="0.3">
      <c r="A1029" t="s">
        <v>2283</v>
      </c>
      <c r="B1029" t="s">
        <v>1124</v>
      </c>
      <c r="C1029" t="s">
        <v>1302</v>
      </c>
      <c r="D1029" s="7" t="s">
        <v>39</v>
      </c>
      <c r="E1029" t="s">
        <v>25</v>
      </c>
      <c r="F1029" t="s">
        <v>18</v>
      </c>
      <c r="G1029" t="s">
        <v>45</v>
      </c>
      <c r="H1029">
        <v>6</v>
      </c>
      <c r="I1029">
        <v>228.87</v>
      </c>
      <c r="J1029">
        <v>0</v>
      </c>
      <c r="K1029">
        <v>1373.22</v>
      </c>
      <c r="L1029">
        <v>293.77999999999997</v>
      </c>
      <c r="M1029" t="s">
        <v>20</v>
      </c>
    </row>
    <row r="1030" spans="1:13" x14ac:dyDescent="0.3">
      <c r="A1030" t="s">
        <v>2284</v>
      </c>
      <c r="B1030" t="s">
        <v>365</v>
      </c>
      <c r="C1030" t="s">
        <v>93</v>
      </c>
      <c r="D1030" s="7" t="s">
        <v>1661</v>
      </c>
      <c r="E1030" t="s">
        <v>59</v>
      </c>
      <c r="F1030" t="s">
        <v>18</v>
      </c>
      <c r="G1030" t="s">
        <v>45</v>
      </c>
      <c r="H1030">
        <v>3</v>
      </c>
      <c r="I1030">
        <v>27.98</v>
      </c>
      <c r="J1030">
        <v>0</v>
      </c>
      <c r="K1030">
        <v>83.94</v>
      </c>
      <c r="L1030">
        <v>18.72</v>
      </c>
      <c r="M1030" t="s">
        <v>40</v>
      </c>
    </row>
    <row r="1031" spans="1:13" x14ac:dyDescent="0.3">
      <c r="A1031" t="s">
        <v>2285</v>
      </c>
      <c r="B1031" t="s">
        <v>1108</v>
      </c>
      <c r="C1031" t="s">
        <v>1848</v>
      </c>
      <c r="D1031" s="7" t="s">
        <v>858</v>
      </c>
      <c r="E1031" t="s">
        <v>17</v>
      </c>
      <c r="F1031" t="s">
        <v>26</v>
      </c>
      <c r="G1031" t="s">
        <v>84</v>
      </c>
      <c r="H1031">
        <v>7</v>
      </c>
      <c r="I1031">
        <v>46.56</v>
      </c>
      <c r="J1031">
        <v>0.1</v>
      </c>
      <c r="K1031">
        <v>293.33</v>
      </c>
      <c r="L1031">
        <v>41.77</v>
      </c>
      <c r="M1031" t="s">
        <v>40</v>
      </c>
    </row>
    <row r="1032" spans="1:13" x14ac:dyDescent="0.3">
      <c r="A1032" t="s">
        <v>2286</v>
      </c>
      <c r="B1032" t="s">
        <v>170</v>
      </c>
      <c r="C1032" t="s">
        <v>590</v>
      </c>
      <c r="D1032" s="7" t="s">
        <v>1114</v>
      </c>
      <c r="E1032" t="s">
        <v>32</v>
      </c>
      <c r="F1032" t="s">
        <v>26</v>
      </c>
      <c r="G1032" t="s">
        <v>27</v>
      </c>
      <c r="H1032">
        <v>1</v>
      </c>
      <c r="I1032">
        <v>117.93</v>
      </c>
      <c r="J1032">
        <v>0.05</v>
      </c>
      <c r="K1032">
        <v>112.03</v>
      </c>
      <c r="L1032">
        <v>24.07</v>
      </c>
      <c r="M1032" t="s">
        <v>20</v>
      </c>
    </row>
    <row r="1033" spans="1:13" x14ac:dyDescent="0.3">
      <c r="A1033" t="s">
        <v>2287</v>
      </c>
      <c r="B1033" t="s">
        <v>756</v>
      </c>
      <c r="C1033" t="s">
        <v>116</v>
      </c>
      <c r="D1033" s="7" t="s">
        <v>1969</v>
      </c>
      <c r="E1033" t="s">
        <v>59</v>
      </c>
      <c r="F1033" t="s">
        <v>89</v>
      </c>
      <c r="G1033" t="s">
        <v>131</v>
      </c>
      <c r="H1033">
        <v>6</v>
      </c>
      <c r="I1033">
        <v>110.46</v>
      </c>
      <c r="J1033">
        <v>0.05</v>
      </c>
      <c r="K1033">
        <v>629.62</v>
      </c>
      <c r="L1033">
        <v>168.35</v>
      </c>
      <c r="M1033" t="s">
        <v>35</v>
      </c>
    </row>
    <row r="1034" spans="1:13" x14ac:dyDescent="0.3">
      <c r="A1034" t="s">
        <v>2288</v>
      </c>
      <c r="B1034" t="s">
        <v>690</v>
      </c>
      <c r="C1034" t="s">
        <v>1069</v>
      </c>
      <c r="D1034" s="7" t="s">
        <v>284</v>
      </c>
      <c r="E1034" t="s">
        <v>25</v>
      </c>
      <c r="F1034" t="s">
        <v>26</v>
      </c>
      <c r="G1034" t="s">
        <v>84</v>
      </c>
      <c r="H1034">
        <v>5</v>
      </c>
      <c r="I1034">
        <v>91.09</v>
      </c>
      <c r="J1034">
        <v>0.1</v>
      </c>
      <c r="K1034">
        <v>409.91</v>
      </c>
      <c r="L1034">
        <v>65.92</v>
      </c>
      <c r="M1034" t="s">
        <v>35</v>
      </c>
    </row>
    <row r="1035" spans="1:13" x14ac:dyDescent="0.3">
      <c r="A1035" t="s">
        <v>2289</v>
      </c>
      <c r="B1035" t="s">
        <v>432</v>
      </c>
      <c r="C1035" t="s">
        <v>1754</v>
      </c>
      <c r="D1035" s="7" t="s">
        <v>628</v>
      </c>
      <c r="E1035" t="s">
        <v>25</v>
      </c>
      <c r="F1035" t="s">
        <v>89</v>
      </c>
      <c r="G1035" t="s">
        <v>150</v>
      </c>
      <c r="H1035">
        <v>3</v>
      </c>
      <c r="I1035">
        <v>178.58</v>
      </c>
      <c r="J1035">
        <v>0</v>
      </c>
      <c r="K1035">
        <v>535.74</v>
      </c>
      <c r="L1035">
        <v>89.94</v>
      </c>
      <c r="M1035" t="s">
        <v>20</v>
      </c>
    </row>
    <row r="1036" spans="1:13" x14ac:dyDescent="0.3">
      <c r="A1036" t="s">
        <v>2290</v>
      </c>
      <c r="B1036" t="s">
        <v>1684</v>
      </c>
      <c r="C1036" t="s">
        <v>890</v>
      </c>
      <c r="D1036" s="7" t="s">
        <v>2002</v>
      </c>
      <c r="E1036" t="s">
        <v>17</v>
      </c>
      <c r="F1036" t="s">
        <v>18</v>
      </c>
      <c r="G1036" t="s">
        <v>45</v>
      </c>
      <c r="H1036">
        <v>5</v>
      </c>
      <c r="I1036">
        <v>241.41</v>
      </c>
      <c r="J1036">
        <v>0.15</v>
      </c>
      <c r="K1036">
        <v>1025.99</v>
      </c>
      <c r="L1036">
        <v>158.79</v>
      </c>
      <c r="M1036" t="s">
        <v>40</v>
      </c>
    </row>
    <row r="1037" spans="1:13" x14ac:dyDescent="0.3">
      <c r="A1037" t="s">
        <v>2291</v>
      </c>
      <c r="B1037" t="s">
        <v>96</v>
      </c>
      <c r="C1037" t="s">
        <v>879</v>
      </c>
      <c r="D1037" s="7" t="s">
        <v>2292</v>
      </c>
      <c r="E1037" t="s">
        <v>32</v>
      </c>
      <c r="F1037" t="s">
        <v>18</v>
      </c>
      <c r="G1037" t="s">
        <v>79</v>
      </c>
      <c r="H1037">
        <v>1</v>
      </c>
      <c r="I1037">
        <v>200.28</v>
      </c>
      <c r="J1037">
        <v>0.15</v>
      </c>
      <c r="K1037">
        <v>170.24</v>
      </c>
      <c r="L1037">
        <v>18.03</v>
      </c>
      <c r="M1037" t="s">
        <v>40</v>
      </c>
    </row>
    <row r="1038" spans="1:13" x14ac:dyDescent="0.3">
      <c r="A1038" t="s">
        <v>2293</v>
      </c>
      <c r="B1038" t="s">
        <v>1801</v>
      </c>
      <c r="C1038" t="s">
        <v>372</v>
      </c>
      <c r="D1038" s="7" t="s">
        <v>1453</v>
      </c>
      <c r="E1038" t="s">
        <v>59</v>
      </c>
      <c r="F1038" t="s">
        <v>26</v>
      </c>
      <c r="G1038" t="s">
        <v>27</v>
      </c>
      <c r="H1038">
        <v>4</v>
      </c>
      <c r="I1038">
        <v>220.47</v>
      </c>
      <c r="J1038">
        <v>0.15</v>
      </c>
      <c r="K1038">
        <v>749.6</v>
      </c>
      <c r="L1038">
        <v>144.30000000000001</v>
      </c>
      <c r="M1038" t="s">
        <v>20</v>
      </c>
    </row>
    <row r="1039" spans="1:13" x14ac:dyDescent="0.3">
      <c r="A1039" t="s">
        <v>2294</v>
      </c>
      <c r="B1039" t="s">
        <v>2219</v>
      </c>
      <c r="C1039" t="s">
        <v>1957</v>
      </c>
      <c r="D1039" s="7" t="s">
        <v>2295</v>
      </c>
      <c r="E1039" t="s">
        <v>64</v>
      </c>
      <c r="F1039" t="s">
        <v>18</v>
      </c>
      <c r="G1039" t="s">
        <v>45</v>
      </c>
      <c r="H1039">
        <v>1</v>
      </c>
      <c r="I1039">
        <v>42.46</v>
      </c>
      <c r="J1039">
        <v>0.05</v>
      </c>
      <c r="K1039">
        <v>40.340000000000003</v>
      </c>
      <c r="L1039">
        <v>6.42</v>
      </c>
      <c r="M1039" t="s">
        <v>20</v>
      </c>
    </row>
    <row r="1040" spans="1:13" x14ac:dyDescent="0.3">
      <c r="A1040" t="s">
        <v>2296</v>
      </c>
      <c r="B1040" t="s">
        <v>596</v>
      </c>
      <c r="C1040" t="s">
        <v>1188</v>
      </c>
      <c r="D1040" s="7" t="s">
        <v>1436</v>
      </c>
      <c r="E1040" t="s">
        <v>59</v>
      </c>
      <c r="F1040" t="s">
        <v>26</v>
      </c>
      <c r="G1040" t="s">
        <v>118</v>
      </c>
      <c r="H1040">
        <v>5</v>
      </c>
      <c r="I1040">
        <v>190.12</v>
      </c>
      <c r="J1040">
        <v>0.05</v>
      </c>
      <c r="K1040">
        <v>903.07</v>
      </c>
      <c r="L1040">
        <v>91.01</v>
      </c>
      <c r="M1040" t="s">
        <v>35</v>
      </c>
    </row>
    <row r="1041" spans="1:13" x14ac:dyDescent="0.3">
      <c r="A1041" t="s">
        <v>2297</v>
      </c>
      <c r="B1041" t="s">
        <v>1418</v>
      </c>
      <c r="C1041" t="s">
        <v>236</v>
      </c>
      <c r="D1041" s="7" t="s">
        <v>315</v>
      </c>
      <c r="E1041" t="s">
        <v>32</v>
      </c>
      <c r="F1041" t="s">
        <v>33</v>
      </c>
      <c r="G1041" t="s">
        <v>34</v>
      </c>
      <c r="H1041">
        <v>3</v>
      </c>
      <c r="I1041">
        <v>55.31</v>
      </c>
      <c r="J1041">
        <v>0.15</v>
      </c>
      <c r="K1041">
        <v>141.04</v>
      </c>
      <c r="L1041">
        <v>39.83</v>
      </c>
      <c r="M1041" t="s">
        <v>35</v>
      </c>
    </row>
    <row r="1042" spans="1:13" x14ac:dyDescent="0.3">
      <c r="A1042" t="s">
        <v>2298</v>
      </c>
      <c r="B1042" t="s">
        <v>885</v>
      </c>
      <c r="C1042" t="s">
        <v>1571</v>
      </c>
      <c r="D1042" s="7" t="s">
        <v>478</v>
      </c>
      <c r="E1042" t="s">
        <v>32</v>
      </c>
      <c r="F1042" t="s">
        <v>33</v>
      </c>
      <c r="G1042" t="s">
        <v>69</v>
      </c>
      <c r="H1042">
        <v>4</v>
      </c>
      <c r="I1042">
        <v>99.18</v>
      </c>
      <c r="J1042">
        <v>0.1</v>
      </c>
      <c r="K1042">
        <v>357.05</v>
      </c>
      <c r="L1042">
        <v>101.58</v>
      </c>
      <c r="M1042" t="s">
        <v>35</v>
      </c>
    </row>
    <row r="1043" spans="1:13" x14ac:dyDescent="0.3">
      <c r="A1043" t="s">
        <v>2299</v>
      </c>
      <c r="B1043" t="s">
        <v>1192</v>
      </c>
      <c r="C1043" t="s">
        <v>1802</v>
      </c>
      <c r="D1043" s="7" t="s">
        <v>528</v>
      </c>
      <c r="E1043" t="s">
        <v>17</v>
      </c>
      <c r="F1043" t="s">
        <v>18</v>
      </c>
      <c r="G1043" t="s">
        <v>79</v>
      </c>
      <c r="H1043">
        <v>5</v>
      </c>
      <c r="I1043">
        <v>211.2</v>
      </c>
      <c r="J1043">
        <v>0</v>
      </c>
      <c r="K1043">
        <v>1056</v>
      </c>
      <c r="L1043">
        <v>310.55</v>
      </c>
      <c r="M1043" t="s">
        <v>40</v>
      </c>
    </row>
    <row r="1044" spans="1:13" x14ac:dyDescent="0.3">
      <c r="A1044" t="s">
        <v>2300</v>
      </c>
      <c r="B1044" t="s">
        <v>432</v>
      </c>
      <c r="C1044" t="s">
        <v>413</v>
      </c>
      <c r="D1044" s="7" t="s">
        <v>661</v>
      </c>
      <c r="E1044" t="s">
        <v>59</v>
      </c>
      <c r="F1044" t="s">
        <v>89</v>
      </c>
      <c r="G1044" t="s">
        <v>150</v>
      </c>
      <c r="H1044">
        <v>3</v>
      </c>
      <c r="I1044">
        <v>50.58</v>
      </c>
      <c r="J1044">
        <v>0.05</v>
      </c>
      <c r="K1044">
        <v>144.15</v>
      </c>
      <c r="L1044">
        <v>33.729999999999997</v>
      </c>
      <c r="M1044" t="s">
        <v>35</v>
      </c>
    </row>
    <row r="1045" spans="1:13" x14ac:dyDescent="0.3">
      <c r="A1045" t="s">
        <v>2301</v>
      </c>
      <c r="B1045" t="s">
        <v>924</v>
      </c>
      <c r="C1045" t="s">
        <v>1302</v>
      </c>
      <c r="D1045" s="7" t="s">
        <v>747</v>
      </c>
      <c r="E1045" t="s">
        <v>32</v>
      </c>
      <c r="F1045" t="s">
        <v>33</v>
      </c>
      <c r="G1045" t="s">
        <v>34</v>
      </c>
      <c r="H1045">
        <v>2</v>
      </c>
      <c r="I1045">
        <v>84.04</v>
      </c>
      <c r="J1045">
        <v>0.15</v>
      </c>
      <c r="K1045">
        <v>142.87</v>
      </c>
      <c r="L1045">
        <v>36.54</v>
      </c>
      <c r="M1045" t="s">
        <v>35</v>
      </c>
    </row>
    <row r="1046" spans="1:13" x14ac:dyDescent="0.3">
      <c r="A1046" t="s">
        <v>2302</v>
      </c>
      <c r="B1046" t="s">
        <v>1136</v>
      </c>
      <c r="C1046" t="s">
        <v>514</v>
      </c>
      <c r="D1046" s="7" t="s">
        <v>280</v>
      </c>
      <c r="E1046" t="s">
        <v>17</v>
      </c>
      <c r="F1046" t="s">
        <v>26</v>
      </c>
      <c r="G1046" t="s">
        <v>27</v>
      </c>
      <c r="H1046">
        <v>4</v>
      </c>
      <c r="I1046">
        <v>161.65</v>
      </c>
      <c r="J1046">
        <v>0.15</v>
      </c>
      <c r="K1046">
        <v>549.61</v>
      </c>
      <c r="L1046">
        <v>77.040000000000006</v>
      </c>
      <c r="M1046" t="s">
        <v>35</v>
      </c>
    </row>
    <row r="1047" spans="1:13" x14ac:dyDescent="0.3">
      <c r="A1047" t="s">
        <v>2303</v>
      </c>
      <c r="B1047" t="s">
        <v>988</v>
      </c>
      <c r="C1047" t="s">
        <v>1257</v>
      </c>
      <c r="D1047" s="7" t="s">
        <v>741</v>
      </c>
      <c r="E1047" t="s">
        <v>25</v>
      </c>
      <c r="F1047" t="s">
        <v>18</v>
      </c>
      <c r="G1047" t="s">
        <v>45</v>
      </c>
      <c r="H1047">
        <v>1</v>
      </c>
      <c r="I1047">
        <v>83.98</v>
      </c>
      <c r="J1047">
        <v>0.05</v>
      </c>
      <c r="K1047">
        <v>79.78</v>
      </c>
      <c r="L1047">
        <v>23.3</v>
      </c>
      <c r="M1047" t="s">
        <v>40</v>
      </c>
    </row>
    <row r="1048" spans="1:13" x14ac:dyDescent="0.3">
      <c r="A1048" t="s">
        <v>2304</v>
      </c>
      <c r="B1048" t="s">
        <v>235</v>
      </c>
      <c r="C1048" t="s">
        <v>1050</v>
      </c>
      <c r="D1048" s="7" t="s">
        <v>2305</v>
      </c>
      <c r="E1048" t="s">
        <v>64</v>
      </c>
      <c r="F1048" t="s">
        <v>26</v>
      </c>
      <c r="G1048" t="s">
        <v>84</v>
      </c>
      <c r="H1048">
        <v>1</v>
      </c>
      <c r="I1048">
        <v>81.72</v>
      </c>
      <c r="J1048">
        <v>0.15</v>
      </c>
      <c r="K1048">
        <v>69.459999999999994</v>
      </c>
      <c r="L1048">
        <v>11.44</v>
      </c>
      <c r="M1048" t="s">
        <v>35</v>
      </c>
    </row>
    <row r="1049" spans="1:13" x14ac:dyDescent="0.3">
      <c r="A1049" t="s">
        <v>2306</v>
      </c>
      <c r="B1049" t="s">
        <v>1813</v>
      </c>
      <c r="C1049" t="s">
        <v>1504</v>
      </c>
      <c r="D1049" s="7" t="s">
        <v>2307</v>
      </c>
      <c r="E1049" t="s">
        <v>32</v>
      </c>
      <c r="F1049" t="s">
        <v>33</v>
      </c>
      <c r="G1049" t="s">
        <v>69</v>
      </c>
      <c r="H1049">
        <v>8</v>
      </c>
      <c r="I1049">
        <v>219.54</v>
      </c>
      <c r="J1049">
        <v>0.05</v>
      </c>
      <c r="K1049">
        <v>1668.5</v>
      </c>
      <c r="L1049">
        <v>368.36</v>
      </c>
      <c r="M1049" t="s">
        <v>20</v>
      </c>
    </row>
    <row r="1050" spans="1:13" x14ac:dyDescent="0.3">
      <c r="A1050" t="s">
        <v>2308</v>
      </c>
      <c r="B1050" t="s">
        <v>663</v>
      </c>
      <c r="C1050" t="s">
        <v>946</v>
      </c>
      <c r="D1050" s="7" t="s">
        <v>343</v>
      </c>
      <c r="E1050" t="s">
        <v>32</v>
      </c>
      <c r="F1050" t="s">
        <v>89</v>
      </c>
      <c r="G1050" t="s">
        <v>131</v>
      </c>
      <c r="H1050">
        <v>1</v>
      </c>
      <c r="I1050">
        <v>91.45</v>
      </c>
      <c r="J1050">
        <v>0.15</v>
      </c>
      <c r="K1050">
        <v>77.73</v>
      </c>
      <c r="L1050">
        <v>22.86</v>
      </c>
      <c r="M1050" t="s">
        <v>40</v>
      </c>
    </row>
    <row r="1051" spans="1:13" x14ac:dyDescent="0.3">
      <c r="A1051" t="s">
        <v>2309</v>
      </c>
      <c r="B1051" t="s">
        <v>235</v>
      </c>
      <c r="C1051" t="s">
        <v>1322</v>
      </c>
      <c r="D1051" s="7" t="s">
        <v>1791</v>
      </c>
      <c r="E1051" t="s">
        <v>64</v>
      </c>
      <c r="F1051" t="s">
        <v>89</v>
      </c>
      <c r="G1051" t="s">
        <v>90</v>
      </c>
      <c r="H1051">
        <v>2</v>
      </c>
      <c r="I1051">
        <v>206.89</v>
      </c>
      <c r="J1051">
        <v>0.1</v>
      </c>
      <c r="K1051">
        <v>372.4</v>
      </c>
      <c r="L1051">
        <v>63.8</v>
      </c>
      <c r="M1051" t="s">
        <v>20</v>
      </c>
    </row>
    <row r="1052" spans="1:13" x14ac:dyDescent="0.3">
      <c r="A1052" t="s">
        <v>2310</v>
      </c>
      <c r="B1052" t="s">
        <v>2043</v>
      </c>
      <c r="C1052" t="s">
        <v>838</v>
      </c>
      <c r="D1052" s="7" t="s">
        <v>1211</v>
      </c>
      <c r="E1052" t="s">
        <v>25</v>
      </c>
      <c r="F1052" t="s">
        <v>18</v>
      </c>
      <c r="G1052" t="s">
        <v>79</v>
      </c>
      <c r="H1052">
        <v>8</v>
      </c>
      <c r="I1052">
        <v>137.30000000000001</v>
      </c>
      <c r="J1052">
        <v>0.1</v>
      </c>
      <c r="K1052">
        <v>988.56</v>
      </c>
      <c r="L1052">
        <v>209.47</v>
      </c>
      <c r="M1052" t="s">
        <v>40</v>
      </c>
    </row>
    <row r="1053" spans="1:13" x14ac:dyDescent="0.3">
      <c r="A1053" t="s">
        <v>2311</v>
      </c>
      <c r="B1053" t="s">
        <v>1098</v>
      </c>
      <c r="C1053" t="s">
        <v>608</v>
      </c>
      <c r="D1053" s="7" t="s">
        <v>1902</v>
      </c>
      <c r="E1053" t="s">
        <v>17</v>
      </c>
      <c r="F1053" t="s">
        <v>26</v>
      </c>
      <c r="G1053" t="s">
        <v>27</v>
      </c>
      <c r="H1053">
        <v>7</v>
      </c>
      <c r="I1053">
        <v>240.81</v>
      </c>
      <c r="J1053">
        <v>0.1</v>
      </c>
      <c r="K1053">
        <v>1517.1</v>
      </c>
      <c r="L1053">
        <v>291.45</v>
      </c>
      <c r="M1053" t="s">
        <v>20</v>
      </c>
    </row>
    <row r="1054" spans="1:13" x14ac:dyDescent="0.3">
      <c r="A1054" t="s">
        <v>2312</v>
      </c>
      <c r="B1054" t="s">
        <v>705</v>
      </c>
      <c r="C1054" t="s">
        <v>2313</v>
      </c>
      <c r="D1054" s="7" t="s">
        <v>2156</v>
      </c>
      <c r="E1054" t="s">
        <v>64</v>
      </c>
      <c r="F1054" t="s">
        <v>26</v>
      </c>
      <c r="G1054" t="s">
        <v>27</v>
      </c>
      <c r="H1054">
        <v>8</v>
      </c>
      <c r="I1054">
        <v>121.37</v>
      </c>
      <c r="J1054">
        <v>0</v>
      </c>
      <c r="K1054">
        <v>970.96</v>
      </c>
      <c r="L1054">
        <v>164.63</v>
      </c>
      <c r="M1054" t="s">
        <v>35</v>
      </c>
    </row>
    <row r="1055" spans="1:13" x14ac:dyDescent="0.3">
      <c r="A1055" t="s">
        <v>2314</v>
      </c>
      <c r="B1055" t="s">
        <v>396</v>
      </c>
      <c r="C1055" t="s">
        <v>562</v>
      </c>
      <c r="D1055" s="7" t="s">
        <v>1622</v>
      </c>
      <c r="E1055" t="s">
        <v>64</v>
      </c>
      <c r="F1055" t="s">
        <v>89</v>
      </c>
      <c r="G1055" t="s">
        <v>150</v>
      </c>
      <c r="H1055">
        <v>2</v>
      </c>
      <c r="I1055">
        <v>22.75</v>
      </c>
      <c r="J1055">
        <v>0.1</v>
      </c>
      <c r="K1055">
        <v>40.950000000000003</v>
      </c>
      <c r="L1055">
        <v>7.1</v>
      </c>
      <c r="M1055" t="s">
        <v>35</v>
      </c>
    </row>
    <row r="1056" spans="1:13" x14ac:dyDescent="0.3">
      <c r="A1056" t="s">
        <v>2315</v>
      </c>
      <c r="B1056" t="s">
        <v>29</v>
      </c>
      <c r="C1056" t="s">
        <v>2048</v>
      </c>
      <c r="D1056" s="7" t="s">
        <v>1153</v>
      </c>
      <c r="E1056" t="s">
        <v>25</v>
      </c>
      <c r="F1056" t="s">
        <v>18</v>
      </c>
      <c r="G1056" t="s">
        <v>79</v>
      </c>
      <c r="H1056">
        <v>5</v>
      </c>
      <c r="I1056">
        <v>249.21</v>
      </c>
      <c r="J1056">
        <v>0.05</v>
      </c>
      <c r="K1056">
        <v>1183.75</v>
      </c>
      <c r="L1056">
        <v>110.22</v>
      </c>
      <c r="M1056" t="s">
        <v>20</v>
      </c>
    </row>
    <row r="1057" spans="1:13" x14ac:dyDescent="0.3">
      <c r="A1057" t="s">
        <v>2316</v>
      </c>
      <c r="B1057" t="s">
        <v>1459</v>
      </c>
      <c r="C1057" t="s">
        <v>901</v>
      </c>
      <c r="D1057" s="7" t="s">
        <v>16</v>
      </c>
      <c r="E1057" t="s">
        <v>59</v>
      </c>
      <c r="F1057" t="s">
        <v>26</v>
      </c>
      <c r="G1057" t="s">
        <v>27</v>
      </c>
      <c r="H1057">
        <v>4</v>
      </c>
      <c r="I1057">
        <v>199.5</v>
      </c>
      <c r="J1057">
        <v>0.1</v>
      </c>
      <c r="K1057">
        <v>718.2</v>
      </c>
      <c r="L1057">
        <v>177.59</v>
      </c>
      <c r="M1057" t="s">
        <v>20</v>
      </c>
    </row>
    <row r="1058" spans="1:13" x14ac:dyDescent="0.3">
      <c r="A1058" t="s">
        <v>2317</v>
      </c>
      <c r="B1058" t="s">
        <v>1018</v>
      </c>
      <c r="C1058" t="s">
        <v>204</v>
      </c>
      <c r="D1058" s="7" t="s">
        <v>1224</v>
      </c>
      <c r="E1058" t="s">
        <v>17</v>
      </c>
      <c r="F1058" t="s">
        <v>89</v>
      </c>
      <c r="G1058" t="s">
        <v>90</v>
      </c>
      <c r="H1058">
        <v>6</v>
      </c>
      <c r="I1058">
        <v>21.35</v>
      </c>
      <c r="J1058">
        <v>0.05</v>
      </c>
      <c r="K1058">
        <v>121.7</v>
      </c>
      <c r="L1058">
        <v>32.729999999999997</v>
      </c>
      <c r="M1058" t="s">
        <v>40</v>
      </c>
    </row>
    <row r="1059" spans="1:13" x14ac:dyDescent="0.3">
      <c r="A1059" t="s">
        <v>2318</v>
      </c>
      <c r="B1059" t="s">
        <v>309</v>
      </c>
      <c r="C1059" t="s">
        <v>93</v>
      </c>
      <c r="D1059" s="7" t="s">
        <v>2319</v>
      </c>
      <c r="E1059" t="s">
        <v>17</v>
      </c>
      <c r="F1059" t="s">
        <v>26</v>
      </c>
      <c r="G1059" t="s">
        <v>84</v>
      </c>
      <c r="H1059">
        <v>8</v>
      </c>
      <c r="I1059">
        <v>168.54</v>
      </c>
      <c r="J1059">
        <v>0</v>
      </c>
      <c r="K1059">
        <v>1348.32</v>
      </c>
      <c r="L1059">
        <v>318.22000000000003</v>
      </c>
      <c r="M1059" t="s">
        <v>35</v>
      </c>
    </row>
    <row r="1060" spans="1:13" x14ac:dyDescent="0.3">
      <c r="A1060" t="s">
        <v>2320</v>
      </c>
      <c r="B1060" t="s">
        <v>81</v>
      </c>
      <c r="C1060" t="s">
        <v>1754</v>
      </c>
      <c r="D1060" s="7" t="s">
        <v>186</v>
      </c>
      <c r="E1060" t="s">
        <v>59</v>
      </c>
      <c r="F1060" t="s">
        <v>26</v>
      </c>
      <c r="G1060" t="s">
        <v>27</v>
      </c>
      <c r="H1060">
        <v>6</v>
      </c>
      <c r="I1060">
        <v>182.58</v>
      </c>
      <c r="J1060">
        <v>0</v>
      </c>
      <c r="K1060">
        <v>1095.48</v>
      </c>
      <c r="L1060">
        <v>144.38</v>
      </c>
      <c r="M1060" t="s">
        <v>35</v>
      </c>
    </row>
    <row r="1061" spans="1:13" x14ac:dyDescent="0.3">
      <c r="A1061" t="s">
        <v>2321</v>
      </c>
      <c r="B1061" t="s">
        <v>1773</v>
      </c>
      <c r="C1061" t="s">
        <v>181</v>
      </c>
      <c r="D1061" s="7" t="s">
        <v>791</v>
      </c>
      <c r="E1061" t="s">
        <v>17</v>
      </c>
      <c r="F1061" t="s">
        <v>89</v>
      </c>
      <c r="G1061" t="s">
        <v>150</v>
      </c>
      <c r="H1061">
        <v>2</v>
      </c>
      <c r="I1061">
        <v>111.48</v>
      </c>
      <c r="J1061">
        <v>0.15</v>
      </c>
      <c r="K1061">
        <v>189.52</v>
      </c>
      <c r="L1061">
        <v>31.15</v>
      </c>
      <c r="M1061" t="s">
        <v>35</v>
      </c>
    </row>
    <row r="1062" spans="1:13" x14ac:dyDescent="0.3">
      <c r="A1062" t="s">
        <v>2322</v>
      </c>
      <c r="B1062" t="s">
        <v>603</v>
      </c>
      <c r="C1062" t="s">
        <v>1765</v>
      </c>
      <c r="D1062" s="7" t="s">
        <v>1211</v>
      </c>
      <c r="E1062" t="s">
        <v>17</v>
      </c>
      <c r="F1062" t="s">
        <v>89</v>
      </c>
      <c r="G1062" t="s">
        <v>90</v>
      </c>
      <c r="H1062">
        <v>8</v>
      </c>
      <c r="I1062">
        <v>78.86</v>
      </c>
      <c r="J1062">
        <v>0.05</v>
      </c>
      <c r="K1062">
        <v>599.34</v>
      </c>
      <c r="L1062">
        <v>152.49</v>
      </c>
      <c r="M1062" t="s">
        <v>40</v>
      </c>
    </row>
    <row r="1063" spans="1:13" x14ac:dyDescent="0.3">
      <c r="A1063" t="s">
        <v>2323</v>
      </c>
      <c r="B1063" t="s">
        <v>1634</v>
      </c>
      <c r="C1063" t="s">
        <v>1831</v>
      </c>
      <c r="D1063" s="7" t="s">
        <v>1897</v>
      </c>
      <c r="E1063" t="s">
        <v>64</v>
      </c>
      <c r="F1063" t="s">
        <v>18</v>
      </c>
      <c r="G1063" t="s">
        <v>79</v>
      </c>
      <c r="H1063">
        <v>7</v>
      </c>
      <c r="I1063">
        <v>97.89</v>
      </c>
      <c r="J1063">
        <v>0.15</v>
      </c>
      <c r="K1063">
        <v>582.45000000000005</v>
      </c>
      <c r="L1063">
        <v>132.58000000000001</v>
      </c>
      <c r="M1063" t="s">
        <v>40</v>
      </c>
    </row>
    <row r="1064" spans="1:13" x14ac:dyDescent="0.3">
      <c r="A1064" t="s">
        <v>2324</v>
      </c>
      <c r="B1064" t="s">
        <v>1252</v>
      </c>
      <c r="C1064" t="s">
        <v>1339</v>
      </c>
      <c r="D1064" s="7" t="s">
        <v>1822</v>
      </c>
      <c r="E1064" t="s">
        <v>59</v>
      </c>
      <c r="F1064" t="s">
        <v>89</v>
      </c>
      <c r="G1064" t="s">
        <v>90</v>
      </c>
      <c r="H1064">
        <v>7</v>
      </c>
      <c r="I1064">
        <v>59.11</v>
      </c>
      <c r="J1064">
        <v>0.1</v>
      </c>
      <c r="K1064">
        <v>372.39</v>
      </c>
      <c r="L1064">
        <v>109.55</v>
      </c>
      <c r="M1064" t="s">
        <v>40</v>
      </c>
    </row>
    <row r="1065" spans="1:13" x14ac:dyDescent="0.3">
      <c r="A1065" t="s">
        <v>2325</v>
      </c>
      <c r="B1065" t="s">
        <v>252</v>
      </c>
      <c r="C1065" t="s">
        <v>984</v>
      </c>
      <c r="D1065" s="7" t="s">
        <v>1479</v>
      </c>
      <c r="E1065" t="s">
        <v>32</v>
      </c>
      <c r="F1065" t="s">
        <v>26</v>
      </c>
      <c r="G1065" t="s">
        <v>27</v>
      </c>
      <c r="H1065">
        <v>4</v>
      </c>
      <c r="I1065">
        <v>45.42</v>
      </c>
      <c r="J1065">
        <v>0.05</v>
      </c>
      <c r="K1065">
        <v>172.6</v>
      </c>
      <c r="L1065">
        <v>29.12</v>
      </c>
      <c r="M1065" t="s">
        <v>20</v>
      </c>
    </row>
    <row r="1066" spans="1:13" x14ac:dyDescent="0.3">
      <c r="A1066" t="s">
        <v>2326</v>
      </c>
      <c r="B1066" t="s">
        <v>86</v>
      </c>
      <c r="C1066" t="s">
        <v>2183</v>
      </c>
      <c r="D1066" s="7" t="s">
        <v>747</v>
      </c>
      <c r="E1066" t="s">
        <v>64</v>
      </c>
      <c r="F1066" t="s">
        <v>26</v>
      </c>
      <c r="G1066" t="s">
        <v>27</v>
      </c>
      <c r="H1066">
        <v>3</v>
      </c>
      <c r="I1066">
        <v>40.47</v>
      </c>
      <c r="J1066">
        <v>0.05</v>
      </c>
      <c r="K1066">
        <v>115.34</v>
      </c>
      <c r="L1066">
        <v>13.3</v>
      </c>
      <c r="M1066" t="s">
        <v>40</v>
      </c>
    </row>
    <row r="1067" spans="1:13" x14ac:dyDescent="0.3">
      <c r="A1067" t="s">
        <v>2327</v>
      </c>
      <c r="B1067" t="s">
        <v>2328</v>
      </c>
      <c r="C1067" t="s">
        <v>196</v>
      </c>
      <c r="D1067" s="7" t="s">
        <v>360</v>
      </c>
      <c r="E1067" t="s">
        <v>59</v>
      </c>
      <c r="F1067" t="s">
        <v>18</v>
      </c>
      <c r="G1067" t="s">
        <v>45</v>
      </c>
      <c r="H1067">
        <v>7</v>
      </c>
      <c r="I1067">
        <v>159.51</v>
      </c>
      <c r="J1067">
        <v>0.15</v>
      </c>
      <c r="K1067">
        <v>949.08</v>
      </c>
      <c r="L1067">
        <v>207.52</v>
      </c>
      <c r="M1067" t="s">
        <v>20</v>
      </c>
    </row>
    <row r="1068" spans="1:13" x14ac:dyDescent="0.3">
      <c r="A1068" t="s">
        <v>2329</v>
      </c>
      <c r="B1068" t="s">
        <v>317</v>
      </c>
      <c r="C1068" t="s">
        <v>2330</v>
      </c>
      <c r="D1068" s="7" t="s">
        <v>572</v>
      </c>
      <c r="E1068" t="s">
        <v>17</v>
      </c>
      <c r="F1068" t="s">
        <v>89</v>
      </c>
      <c r="G1068" t="s">
        <v>150</v>
      </c>
      <c r="H1068">
        <v>8</v>
      </c>
      <c r="I1068">
        <v>68.36</v>
      </c>
      <c r="J1068">
        <v>0.15</v>
      </c>
      <c r="K1068">
        <v>464.85</v>
      </c>
      <c r="L1068">
        <v>87.93</v>
      </c>
      <c r="M1068" t="s">
        <v>40</v>
      </c>
    </row>
    <row r="1069" spans="1:13" x14ac:dyDescent="0.3">
      <c r="A1069" t="s">
        <v>2331</v>
      </c>
      <c r="B1069" t="s">
        <v>1644</v>
      </c>
      <c r="C1069" t="s">
        <v>1920</v>
      </c>
      <c r="D1069" s="7" t="s">
        <v>1295</v>
      </c>
      <c r="E1069" t="s">
        <v>25</v>
      </c>
      <c r="F1069" t="s">
        <v>18</v>
      </c>
      <c r="G1069" t="s">
        <v>45</v>
      </c>
      <c r="H1069">
        <v>7</v>
      </c>
      <c r="I1069">
        <v>164.71</v>
      </c>
      <c r="J1069">
        <v>0</v>
      </c>
      <c r="K1069">
        <v>1152.97</v>
      </c>
      <c r="L1069">
        <v>134.99</v>
      </c>
      <c r="M1069" t="s">
        <v>35</v>
      </c>
    </row>
    <row r="1070" spans="1:13" x14ac:dyDescent="0.3">
      <c r="A1070" t="s">
        <v>2332</v>
      </c>
      <c r="B1070" t="s">
        <v>1263</v>
      </c>
      <c r="C1070" t="s">
        <v>1499</v>
      </c>
      <c r="D1070" s="7" t="s">
        <v>1240</v>
      </c>
      <c r="E1070" t="s">
        <v>64</v>
      </c>
      <c r="F1070" t="s">
        <v>33</v>
      </c>
      <c r="G1070" t="s">
        <v>34</v>
      </c>
      <c r="H1070">
        <v>5</v>
      </c>
      <c r="I1070">
        <v>53.82</v>
      </c>
      <c r="J1070">
        <v>0</v>
      </c>
      <c r="K1070">
        <v>269.10000000000002</v>
      </c>
      <c r="L1070">
        <v>35.770000000000003</v>
      </c>
      <c r="M1070" t="s">
        <v>40</v>
      </c>
    </row>
    <row r="1071" spans="1:13" x14ac:dyDescent="0.3">
      <c r="A1071" t="s">
        <v>2333</v>
      </c>
      <c r="B1071" t="s">
        <v>665</v>
      </c>
      <c r="C1071" t="s">
        <v>647</v>
      </c>
      <c r="D1071" s="7" t="s">
        <v>2334</v>
      </c>
      <c r="E1071" t="s">
        <v>17</v>
      </c>
      <c r="F1071" t="s">
        <v>89</v>
      </c>
      <c r="G1071" t="s">
        <v>90</v>
      </c>
      <c r="H1071">
        <v>5</v>
      </c>
      <c r="I1071">
        <v>163.74</v>
      </c>
      <c r="J1071">
        <v>0</v>
      </c>
      <c r="K1071">
        <v>818.7</v>
      </c>
      <c r="L1071">
        <v>201.46</v>
      </c>
      <c r="M1071" t="s">
        <v>20</v>
      </c>
    </row>
    <row r="1072" spans="1:13" x14ac:dyDescent="0.3">
      <c r="A1072" t="s">
        <v>2335</v>
      </c>
      <c r="B1072" t="s">
        <v>1242</v>
      </c>
      <c r="C1072" t="s">
        <v>876</v>
      </c>
      <c r="D1072" s="7" t="s">
        <v>927</v>
      </c>
      <c r="E1072" t="s">
        <v>64</v>
      </c>
      <c r="F1072" t="s">
        <v>18</v>
      </c>
      <c r="G1072" t="s">
        <v>45</v>
      </c>
      <c r="H1072">
        <v>7</v>
      </c>
      <c r="I1072">
        <v>133.05000000000001</v>
      </c>
      <c r="J1072">
        <v>0.15</v>
      </c>
      <c r="K1072">
        <v>791.65</v>
      </c>
      <c r="L1072">
        <v>76.459999999999994</v>
      </c>
      <c r="M1072" t="s">
        <v>20</v>
      </c>
    </row>
    <row r="1073" spans="1:13" x14ac:dyDescent="0.3">
      <c r="A1073" t="s">
        <v>2336</v>
      </c>
      <c r="B1073" t="s">
        <v>14</v>
      </c>
      <c r="C1073" t="s">
        <v>511</v>
      </c>
      <c r="D1073" s="7" t="s">
        <v>1689</v>
      </c>
      <c r="E1073" t="s">
        <v>32</v>
      </c>
      <c r="F1073" t="s">
        <v>26</v>
      </c>
      <c r="G1073" t="s">
        <v>84</v>
      </c>
      <c r="H1073">
        <v>4</v>
      </c>
      <c r="I1073">
        <v>51.88</v>
      </c>
      <c r="J1073">
        <v>0</v>
      </c>
      <c r="K1073">
        <v>207.52</v>
      </c>
      <c r="L1073">
        <v>40.549999999999997</v>
      </c>
      <c r="M1073" t="s">
        <v>35</v>
      </c>
    </row>
    <row r="1074" spans="1:13" x14ac:dyDescent="0.3">
      <c r="A1074" t="s">
        <v>2337</v>
      </c>
      <c r="B1074" t="s">
        <v>697</v>
      </c>
      <c r="C1074" t="s">
        <v>660</v>
      </c>
      <c r="D1074" s="7" t="s">
        <v>1902</v>
      </c>
      <c r="E1074" t="s">
        <v>17</v>
      </c>
      <c r="F1074" t="s">
        <v>89</v>
      </c>
      <c r="G1074" t="s">
        <v>90</v>
      </c>
      <c r="H1074">
        <v>6</v>
      </c>
      <c r="I1074">
        <v>50.13</v>
      </c>
      <c r="J1074">
        <v>0.1</v>
      </c>
      <c r="K1074">
        <v>270.7</v>
      </c>
      <c r="L1074">
        <v>75.02</v>
      </c>
      <c r="M1074" t="s">
        <v>35</v>
      </c>
    </row>
    <row r="1075" spans="1:13" x14ac:dyDescent="0.3">
      <c r="A1075" t="s">
        <v>2338</v>
      </c>
      <c r="B1075" t="s">
        <v>681</v>
      </c>
      <c r="C1075" t="s">
        <v>62</v>
      </c>
      <c r="D1075" s="7" t="s">
        <v>902</v>
      </c>
      <c r="E1075" t="s">
        <v>32</v>
      </c>
      <c r="F1075" t="s">
        <v>18</v>
      </c>
      <c r="G1075" t="s">
        <v>79</v>
      </c>
      <c r="H1075">
        <v>4</v>
      </c>
      <c r="I1075">
        <v>49.26</v>
      </c>
      <c r="J1075">
        <v>0.05</v>
      </c>
      <c r="K1075">
        <v>187.19</v>
      </c>
      <c r="L1075">
        <v>40.33</v>
      </c>
      <c r="M1075" t="s">
        <v>40</v>
      </c>
    </row>
    <row r="1076" spans="1:13" x14ac:dyDescent="0.3">
      <c r="A1076" t="s">
        <v>2339</v>
      </c>
      <c r="B1076" t="s">
        <v>362</v>
      </c>
      <c r="C1076" t="s">
        <v>480</v>
      </c>
      <c r="D1076" s="7" t="s">
        <v>871</v>
      </c>
      <c r="E1076" t="s">
        <v>17</v>
      </c>
      <c r="F1076" t="s">
        <v>18</v>
      </c>
      <c r="G1076" t="s">
        <v>45</v>
      </c>
      <c r="H1076">
        <v>2</v>
      </c>
      <c r="I1076">
        <v>60.98</v>
      </c>
      <c r="J1076">
        <v>0</v>
      </c>
      <c r="K1076">
        <v>121.96</v>
      </c>
      <c r="L1076">
        <v>13.71</v>
      </c>
      <c r="M1076" t="s">
        <v>20</v>
      </c>
    </row>
    <row r="1077" spans="1:13" x14ac:dyDescent="0.3">
      <c r="A1077" t="s">
        <v>2340</v>
      </c>
      <c r="B1077" t="s">
        <v>400</v>
      </c>
      <c r="C1077" t="s">
        <v>62</v>
      </c>
      <c r="D1077" s="7" t="s">
        <v>1264</v>
      </c>
      <c r="E1077" t="s">
        <v>59</v>
      </c>
      <c r="F1077" t="s">
        <v>18</v>
      </c>
      <c r="G1077" t="s">
        <v>19</v>
      </c>
      <c r="H1077">
        <v>2</v>
      </c>
      <c r="I1077">
        <v>213.23</v>
      </c>
      <c r="J1077">
        <v>0.15</v>
      </c>
      <c r="K1077">
        <v>362.49</v>
      </c>
      <c r="L1077">
        <v>83.31</v>
      </c>
      <c r="M1077" t="s">
        <v>35</v>
      </c>
    </row>
    <row r="1078" spans="1:13" x14ac:dyDescent="0.3">
      <c r="A1078" t="s">
        <v>2341</v>
      </c>
      <c r="B1078" t="s">
        <v>657</v>
      </c>
      <c r="C1078" t="s">
        <v>215</v>
      </c>
      <c r="D1078" s="7" t="s">
        <v>1240</v>
      </c>
      <c r="E1078" t="s">
        <v>64</v>
      </c>
      <c r="F1078" t="s">
        <v>33</v>
      </c>
      <c r="G1078" t="s">
        <v>74</v>
      </c>
      <c r="H1078">
        <v>4</v>
      </c>
      <c r="I1078">
        <v>31.45</v>
      </c>
      <c r="J1078">
        <v>0.1</v>
      </c>
      <c r="K1078">
        <v>113.22</v>
      </c>
      <c r="L1078">
        <v>20.329999999999998</v>
      </c>
      <c r="M1078" t="s">
        <v>40</v>
      </c>
    </row>
    <row r="1079" spans="1:13" x14ac:dyDescent="0.3">
      <c r="A1079" t="s">
        <v>2342</v>
      </c>
      <c r="B1079" t="s">
        <v>133</v>
      </c>
      <c r="C1079" t="s">
        <v>863</v>
      </c>
      <c r="D1079" s="7" t="s">
        <v>94</v>
      </c>
      <c r="E1079" t="s">
        <v>32</v>
      </c>
      <c r="F1079" t="s">
        <v>26</v>
      </c>
      <c r="G1079" t="s">
        <v>84</v>
      </c>
      <c r="H1079">
        <v>7</v>
      </c>
      <c r="I1079">
        <v>181.64</v>
      </c>
      <c r="J1079">
        <v>0.1</v>
      </c>
      <c r="K1079">
        <v>1144.33</v>
      </c>
      <c r="L1079">
        <v>107.97</v>
      </c>
      <c r="M1079" t="s">
        <v>35</v>
      </c>
    </row>
    <row r="1080" spans="1:13" x14ac:dyDescent="0.3">
      <c r="A1080" t="s">
        <v>2343</v>
      </c>
      <c r="B1080" t="s">
        <v>885</v>
      </c>
      <c r="C1080" t="s">
        <v>93</v>
      </c>
      <c r="D1080" s="7" t="s">
        <v>1323</v>
      </c>
      <c r="E1080" t="s">
        <v>59</v>
      </c>
      <c r="F1080" t="s">
        <v>89</v>
      </c>
      <c r="G1080" t="s">
        <v>90</v>
      </c>
      <c r="H1080">
        <v>6</v>
      </c>
      <c r="I1080">
        <v>47.69</v>
      </c>
      <c r="J1080">
        <v>0.15</v>
      </c>
      <c r="K1080">
        <v>243.22</v>
      </c>
      <c r="L1080">
        <v>51.42</v>
      </c>
      <c r="M1080" t="s">
        <v>35</v>
      </c>
    </row>
    <row r="1081" spans="1:13" x14ac:dyDescent="0.3">
      <c r="A1081" t="s">
        <v>2344</v>
      </c>
      <c r="B1081" t="s">
        <v>223</v>
      </c>
      <c r="C1081" t="s">
        <v>2345</v>
      </c>
      <c r="D1081" s="7" t="s">
        <v>1269</v>
      </c>
      <c r="E1081" t="s">
        <v>32</v>
      </c>
      <c r="F1081" t="s">
        <v>18</v>
      </c>
      <c r="G1081" t="s">
        <v>19</v>
      </c>
      <c r="H1081">
        <v>7</v>
      </c>
      <c r="I1081">
        <v>129.59</v>
      </c>
      <c r="J1081">
        <v>0.05</v>
      </c>
      <c r="K1081">
        <v>861.77</v>
      </c>
      <c r="L1081">
        <v>109.65</v>
      </c>
      <c r="M1081" t="s">
        <v>20</v>
      </c>
    </row>
    <row r="1082" spans="1:13" x14ac:dyDescent="0.3">
      <c r="A1082" t="s">
        <v>2346</v>
      </c>
      <c r="B1082" t="s">
        <v>1136</v>
      </c>
      <c r="C1082" t="s">
        <v>287</v>
      </c>
      <c r="D1082" s="7" t="s">
        <v>2083</v>
      </c>
      <c r="E1082" t="s">
        <v>64</v>
      </c>
      <c r="F1082" t="s">
        <v>26</v>
      </c>
      <c r="G1082" t="s">
        <v>84</v>
      </c>
      <c r="H1082">
        <v>6</v>
      </c>
      <c r="I1082">
        <v>197.53</v>
      </c>
      <c r="J1082">
        <v>0</v>
      </c>
      <c r="K1082">
        <v>1185.18</v>
      </c>
      <c r="L1082">
        <v>339.82</v>
      </c>
      <c r="M1082" t="s">
        <v>40</v>
      </c>
    </row>
    <row r="1083" spans="1:13" x14ac:dyDescent="0.3">
      <c r="A1083" t="s">
        <v>2347</v>
      </c>
      <c r="B1083" t="s">
        <v>540</v>
      </c>
      <c r="C1083" t="s">
        <v>1119</v>
      </c>
      <c r="D1083" s="7" t="s">
        <v>165</v>
      </c>
      <c r="E1083" t="s">
        <v>59</v>
      </c>
      <c r="F1083" t="s">
        <v>18</v>
      </c>
      <c r="G1083" t="s">
        <v>79</v>
      </c>
      <c r="H1083">
        <v>5</v>
      </c>
      <c r="I1083">
        <v>201.33</v>
      </c>
      <c r="J1083">
        <v>0</v>
      </c>
      <c r="K1083">
        <v>1006.65</v>
      </c>
      <c r="L1083">
        <v>283.76</v>
      </c>
      <c r="M1083" t="s">
        <v>40</v>
      </c>
    </row>
    <row r="1084" spans="1:13" x14ac:dyDescent="0.3">
      <c r="A1084" t="s">
        <v>2348</v>
      </c>
      <c r="B1084" t="s">
        <v>705</v>
      </c>
      <c r="C1084" t="s">
        <v>1532</v>
      </c>
      <c r="D1084" s="7" t="s">
        <v>601</v>
      </c>
      <c r="E1084" t="s">
        <v>25</v>
      </c>
      <c r="F1084" t="s">
        <v>33</v>
      </c>
      <c r="G1084" t="s">
        <v>34</v>
      </c>
      <c r="H1084">
        <v>7</v>
      </c>
      <c r="I1084">
        <v>59.44</v>
      </c>
      <c r="J1084">
        <v>0.15</v>
      </c>
      <c r="K1084">
        <v>353.67</v>
      </c>
      <c r="L1084">
        <v>58.7</v>
      </c>
      <c r="M1084" t="s">
        <v>35</v>
      </c>
    </row>
    <row r="1085" spans="1:13" x14ac:dyDescent="0.3">
      <c r="A1085" t="s">
        <v>2349</v>
      </c>
      <c r="B1085" t="s">
        <v>1925</v>
      </c>
      <c r="C1085" t="s">
        <v>2350</v>
      </c>
      <c r="D1085" s="7" t="s">
        <v>1500</v>
      </c>
      <c r="E1085" t="s">
        <v>59</v>
      </c>
      <c r="F1085" t="s">
        <v>89</v>
      </c>
      <c r="G1085" t="s">
        <v>131</v>
      </c>
      <c r="H1085">
        <v>6</v>
      </c>
      <c r="I1085">
        <v>51.62</v>
      </c>
      <c r="J1085">
        <v>0.05</v>
      </c>
      <c r="K1085">
        <v>294.23</v>
      </c>
      <c r="L1085">
        <v>63.03</v>
      </c>
      <c r="M1085" t="s">
        <v>35</v>
      </c>
    </row>
    <row r="1086" spans="1:13" x14ac:dyDescent="0.3">
      <c r="A1086" t="s">
        <v>2351</v>
      </c>
      <c r="B1086" t="s">
        <v>1242</v>
      </c>
      <c r="C1086" t="s">
        <v>504</v>
      </c>
      <c r="D1086" s="7" t="s">
        <v>1431</v>
      </c>
      <c r="E1086" t="s">
        <v>64</v>
      </c>
      <c r="F1086" t="s">
        <v>33</v>
      </c>
      <c r="G1086" t="s">
        <v>50</v>
      </c>
      <c r="H1086">
        <v>3</v>
      </c>
      <c r="I1086">
        <v>222.34</v>
      </c>
      <c r="J1086">
        <v>0</v>
      </c>
      <c r="K1086">
        <v>667.02</v>
      </c>
      <c r="L1086">
        <v>87.99</v>
      </c>
      <c r="M1086" t="s">
        <v>40</v>
      </c>
    </row>
    <row r="1087" spans="1:13" x14ac:dyDescent="0.3">
      <c r="A1087" t="s">
        <v>2352</v>
      </c>
      <c r="B1087" t="s">
        <v>1011</v>
      </c>
      <c r="C1087" t="s">
        <v>1754</v>
      </c>
      <c r="D1087" s="7" t="s">
        <v>1520</v>
      </c>
      <c r="E1087" t="s">
        <v>59</v>
      </c>
      <c r="F1087" t="s">
        <v>89</v>
      </c>
      <c r="G1087" t="s">
        <v>131</v>
      </c>
      <c r="H1087">
        <v>1</v>
      </c>
      <c r="I1087">
        <v>166.75</v>
      </c>
      <c r="J1087">
        <v>0.05</v>
      </c>
      <c r="K1087">
        <v>158.41</v>
      </c>
      <c r="L1087">
        <v>21.15</v>
      </c>
      <c r="M1087" t="s">
        <v>35</v>
      </c>
    </row>
    <row r="1088" spans="1:13" x14ac:dyDescent="0.3">
      <c r="A1088" t="s">
        <v>2353</v>
      </c>
      <c r="B1088" t="s">
        <v>338</v>
      </c>
      <c r="C1088" t="s">
        <v>160</v>
      </c>
      <c r="D1088" s="7" t="s">
        <v>2354</v>
      </c>
      <c r="E1088" t="s">
        <v>17</v>
      </c>
      <c r="F1088" t="s">
        <v>26</v>
      </c>
      <c r="G1088" t="s">
        <v>118</v>
      </c>
      <c r="H1088">
        <v>2</v>
      </c>
      <c r="I1088">
        <v>23.17</v>
      </c>
      <c r="J1088">
        <v>0.15</v>
      </c>
      <c r="K1088">
        <v>39.39</v>
      </c>
      <c r="L1088">
        <v>3.94</v>
      </c>
      <c r="M1088" t="s">
        <v>35</v>
      </c>
    </row>
    <row r="1089" spans="1:13" x14ac:dyDescent="0.3">
      <c r="A1089" t="s">
        <v>2355</v>
      </c>
      <c r="B1089" t="s">
        <v>124</v>
      </c>
      <c r="C1089" t="s">
        <v>2356</v>
      </c>
      <c r="D1089" s="7" t="s">
        <v>2063</v>
      </c>
      <c r="E1089" t="s">
        <v>64</v>
      </c>
      <c r="F1089" t="s">
        <v>33</v>
      </c>
      <c r="G1089" t="s">
        <v>74</v>
      </c>
      <c r="H1089">
        <v>6</v>
      </c>
      <c r="I1089">
        <v>10.77</v>
      </c>
      <c r="J1089">
        <v>0.15</v>
      </c>
      <c r="K1089">
        <v>54.93</v>
      </c>
      <c r="L1089">
        <v>4.41</v>
      </c>
      <c r="M1089" t="s">
        <v>35</v>
      </c>
    </row>
    <row r="1090" spans="1:13" x14ac:dyDescent="0.3">
      <c r="A1090" t="s">
        <v>2357</v>
      </c>
      <c r="B1090" t="s">
        <v>133</v>
      </c>
      <c r="C1090" t="s">
        <v>204</v>
      </c>
      <c r="D1090" s="7" t="s">
        <v>1822</v>
      </c>
      <c r="E1090" t="s">
        <v>25</v>
      </c>
      <c r="F1090" t="s">
        <v>26</v>
      </c>
      <c r="G1090" t="s">
        <v>27</v>
      </c>
      <c r="H1090">
        <v>3</v>
      </c>
      <c r="I1090">
        <v>161.66</v>
      </c>
      <c r="J1090">
        <v>0.1</v>
      </c>
      <c r="K1090">
        <v>436.48</v>
      </c>
      <c r="L1090">
        <v>56.3</v>
      </c>
      <c r="M1090" t="s">
        <v>20</v>
      </c>
    </row>
    <row r="1091" spans="1:13" x14ac:dyDescent="0.3">
      <c r="A1091" t="s">
        <v>2358</v>
      </c>
      <c r="B1091" t="s">
        <v>100</v>
      </c>
      <c r="C1091" t="s">
        <v>853</v>
      </c>
      <c r="D1091" s="7" t="s">
        <v>568</v>
      </c>
      <c r="E1091" t="s">
        <v>64</v>
      </c>
      <c r="F1091" t="s">
        <v>18</v>
      </c>
      <c r="G1091" t="s">
        <v>19</v>
      </c>
      <c r="H1091">
        <v>2</v>
      </c>
      <c r="I1091">
        <v>166.69</v>
      </c>
      <c r="J1091">
        <v>0.15</v>
      </c>
      <c r="K1091">
        <v>283.37</v>
      </c>
      <c r="L1091">
        <v>71.930000000000007</v>
      </c>
      <c r="M1091" t="s">
        <v>20</v>
      </c>
    </row>
    <row r="1092" spans="1:13" x14ac:dyDescent="0.3">
      <c r="A1092" t="s">
        <v>2359</v>
      </c>
      <c r="B1092" t="s">
        <v>681</v>
      </c>
      <c r="C1092" t="s">
        <v>148</v>
      </c>
      <c r="D1092" s="7" t="s">
        <v>2307</v>
      </c>
      <c r="E1092" t="s">
        <v>25</v>
      </c>
      <c r="F1092" t="s">
        <v>18</v>
      </c>
      <c r="G1092" t="s">
        <v>45</v>
      </c>
      <c r="H1092">
        <v>5</v>
      </c>
      <c r="I1092">
        <v>20.34</v>
      </c>
      <c r="J1092">
        <v>0.1</v>
      </c>
      <c r="K1092">
        <v>91.53</v>
      </c>
      <c r="L1092">
        <v>18.78</v>
      </c>
      <c r="M1092" t="s">
        <v>40</v>
      </c>
    </row>
    <row r="1093" spans="1:13" x14ac:dyDescent="0.3">
      <c r="A1093" t="s">
        <v>2360</v>
      </c>
      <c r="B1093" t="s">
        <v>749</v>
      </c>
      <c r="C1093" t="s">
        <v>105</v>
      </c>
      <c r="D1093" s="7" t="s">
        <v>126</v>
      </c>
      <c r="E1093" t="s">
        <v>17</v>
      </c>
      <c r="F1093" t="s">
        <v>26</v>
      </c>
      <c r="G1093" t="s">
        <v>84</v>
      </c>
      <c r="H1093">
        <v>8</v>
      </c>
      <c r="I1093">
        <v>151.05000000000001</v>
      </c>
      <c r="J1093">
        <v>0.05</v>
      </c>
      <c r="K1093">
        <v>1147.98</v>
      </c>
      <c r="L1093">
        <v>231.72</v>
      </c>
      <c r="M1093" t="s">
        <v>40</v>
      </c>
    </row>
    <row r="1094" spans="1:13" x14ac:dyDescent="0.3">
      <c r="A1094" t="s">
        <v>2361</v>
      </c>
      <c r="B1094" t="s">
        <v>1415</v>
      </c>
      <c r="C1094" t="s">
        <v>2362</v>
      </c>
      <c r="D1094" s="7" t="s">
        <v>2020</v>
      </c>
      <c r="E1094" t="s">
        <v>32</v>
      </c>
      <c r="F1094" t="s">
        <v>26</v>
      </c>
      <c r="G1094" t="s">
        <v>84</v>
      </c>
      <c r="H1094">
        <v>3</v>
      </c>
      <c r="I1094">
        <v>223.15</v>
      </c>
      <c r="J1094">
        <v>0.15</v>
      </c>
      <c r="K1094">
        <v>569.03</v>
      </c>
      <c r="L1094">
        <v>140.37</v>
      </c>
      <c r="M1094" t="s">
        <v>40</v>
      </c>
    </row>
    <row r="1095" spans="1:13" x14ac:dyDescent="0.3">
      <c r="A1095" t="s">
        <v>2363</v>
      </c>
      <c r="B1095" t="s">
        <v>1367</v>
      </c>
      <c r="C1095" t="s">
        <v>1074</v>
      </c>
      <c r="D1095" s="7" t="s">
        <v>723</v>
      </c>
      <c r="E1095" t="s">
        <v>59</v>
      </c>
      <c r="F1095" t="s">
        <v>26</v>
      </c>
      <c r="G1095" t="s">
        <v>118</v>
      </c>
      <c r="H1095">
        <v>5</v>
      </c>
      <c r="I1095">
        <v>178.8</v>
      </c>
      <c r="J1095">
        <v>0.15</v>
      </c>
      <c r="K1095">
        <v>759.9</v>
      </c>
      <c r="L1095">
        <v>67.37</v>
      </c>
      <c r="M1095" t="s">
        <v>40</v>
      </c>
    </row>
    <row r="1096" spans="1:13" x14ac:dyDescent="0.3">
      <c r="A1096" t="s">
        <v>2364</v>
      </c>
      <c r="B1096" t="s">
        <v>1483</v>
      </c>
      <c r="C1096" t="s">
        <v>429</v>
      </c>
      <c r="D1096" s="7" t="s">
        <v>240</v>
      </c>
      <c r="E1096" t="s">
        <v>25</v>
      </c>
      <c r="F1096" t="s">
        <v>89</v>
      </c>
      <c r="G1096" t="s">
        <v>90</v>
      </c>
      <c r="H1096">
        <v>8</v>
      </c>
      <c r="I1096">
        <v>210.95</v>
      </c>
      <c r="J1096">
        <v>0.05</v>
      </c>
      <c r="K1096">
        <v>1603.22</v>
      </c>
      <c r="L1096">
        <v>430.73</v>
      </c>
      <c r="M1096" t="s">
        <v>40</v>
      </c>
    </row>
    <row r="1097" spans="1:13" x14ac:dyDescent="0.3">
      <c r="A1097" t="s">
        <v>2365</v>
      </c>
      <c r="B1097" t="s">
        <v>2022</v>
      </c>
      <c r="C1097" t="s">
        <v>1327</v>
      </c>
      <c r="D1097" s="7" t="s">
        <v>1022</v>
      </c>
      <c r="E1097" t="s">
        <v>32</v>
      </c>
      <c r="F1097" t="s">
        <v>33</v>
      </c>
      <c r="G1097" t="s">
        <v>74</v>
      </c>
      <c r="H1097">
        <v>2</v>
      </c>
      <c r="I1097">
        <v>36.409999999999997</v>
      </c>
      <c r="J1097">
        <v>0.05</v>
      </c>
      <c r="K1097">
        <v>69.180000000000007</v>
      </c>
      <c r="L1097">
        <v>18.899999999999999</v>
      </c>
      <c r="M1097" t="s">
        <v>20</v>
      </c>
    </row>
    <row r="1098" spans="1:13" x14ac:dyDescent="0.3">
      <c r="A1098" t="s">
        <v>2366</v>
      </c>
      <c r="B1098" t="s">
        <v>302</v>
      </c>
      <c r="C1098" t="s">
        <v>1922</v>
      </c>
      <c r="D1098" s="7" t="s">
        <v>175</v>
      </c>
      <c r="E1098" t="s">
        <v>64</v>
      </c>
      <c r="F1098" t="s">
        <v>18</v>
      </c>
      <c r="G1098" t="s">
        <v>19</v>
      </c>
      <c r="H1098">
        <v>4</v>
      </c>
      <c r="I1098">
        <v>230.58</v>
      </c>
      <c r="J1098">
        <v>0</v>
      </c>
      <c r="K1098">
        <v>922.32</v>
      </c>
      <c r="L1098">
        <v>268.83999999999997</v>
      </c>
      <c r="M1098" t="s">
        <v>40</v>
      </c>
    </row>
    <row r="1099" spans="1:13" x14ac:dyDescent="0.3">
      <c r="A1099" t="s">
        <v>2367</v>
      </c>
      <c r="B1099" t="s">
        <v>180</v>
      </c>
      <c r="C1099" t="s">
        <v>1239</v>
      </c>
      <c r="D1099" s="7" t="s">
        <v>1392</v>
      </c>
      <c r="E1099" t="s">
        <v>17</v>
      </c>
      <c r="F1099" t="s">
        <v>18</v>
      </c>
      <c r="G1099" t="s">
        <v>19</v>
      </c>
      <c r="H1099">
        <v>6</v>
      </c>
      <c r="I1099">
        <v>12.45</v>
      </c>
      <c r="J1099">
        <v>0.05</v>
      </c>
      <c r="K1099">
        <v>70.959999999999994</v>
      </c>
      <c r="L1099">
        <v>11</v>
      </c>
      <c r="M1099" t="s">
        <v>40</v>
      </c>
    </row>
    <row r="1100" spans="1:13" x14ac:dyDescent="0.3">
      <c r="A1100" t="s">
        <v>2368</v>
      </c>
      <c r="B1100" t="s">
        <v>1495</v>
      </c>
      <c r="C1100" t="s">
        <v>2369</v>
      </c>
      <c r="D1100" s="7" t="s">
        <v>1856</v>
      </c>
      <c r="E1100" t="s">
        <v>64</v>
      </c>
      <c r="F1100" t="s">
        <v>89</v>
      </c>
      <c r="G1100" t="s">
        <v>150</v>
      </c>
      <c r="H1100">
        <v>2</v>
      </c>
      <c r="I1100">
        <v>15.89</v>
      </c>
      <c r="J1100">
        <v>0.15</v>
      </c>
      <c r="K1100">
        <v>27.01</v>
      </c>
      <c r="L1100">
        <v>3.11</v>
      </c>
      <c r="M1100" t="s">
        <v>20</v>
      </c>
    </row>
    <row r="1101" spans="1:13" x14ac:dyDescent="0.3">
      <c r="A1101" t="s">
        <v>2370</v>
      </c>
      <c r="B1101" t="s">
        <v>371</v>
      </c>
      <c r="C1101" t="s">
        <v>38</v>
      </c>
      <c r="D1101" s="7" t="s">
        <v>1362</v>
      </c>
      <c r="E1101" t="s">
        <v>64</v>
      </c>
      <c r="F1101" t="s">
        <v>26</v>
      </c>
      <c r="G1101" t="s">
        <v>118</v>
      </c>
      <c r="H1101">
        <v>4</v>
      </c>
      <c r="I1101">
        <v>211.76</v>
      </c>
      <c r="J1101">
        <v>0.1</v>
      </c>
      <c r="K1101">
        <v>762.34</v>
      </c>
      <c r="L1101">
        <v>194.41</v>
      </c>
      <c r="M1101" t="s">
        <v>35</v>
      </c>
    </row>
    <row r="1102" spans="1:13" x14ac:dyDescent="0.3">
      <c r="A1102" t="s">
        <v>2371</v>
      </c>
      <c r="B1102" t="s">
        <v>929</v>
      </c>
      <c r="C1102" t="s">
        <v>1888</v>
      </c>
      <c r="D1102" s="7" t="s">
        <v>2372</v>
      </c>
      <c r="E1102" t="s">
        <v>32</v>
      </c>
      <c r="F1102" t="s">
        <v>26</v>
      </c>
      <c r="G1102" t="s">
        <v>27</v>
      </c>
      <c r="H1102">
        <v>5</v>
      </c>
      <c r="I1102">
        <v>191.54</v>
      </c>
      <c r="J1102">
        <v>0.1</v>
      </c>
      <c r="K1102">
        <v>861.93</v>
      </c>
      <c r="L1102">
        <v>184.78</v>
      </c>
      <c r="M1102" t="s">
        <v>20</v>
      </c>
    </row>
    <row r="1103" spans="1:13" x14ac:dyDescent="0.3">
      <c r="A1103" t="s">
        <v>2373</v>
      </c>
      <c r="B1103" t="s">
        <v>1116</v>
      </c>
      <c r="C1103" t="s">
        <v>1888</v>
      </c>
      <c r="D1103" s="7" t="s">
        <v>2374</v>
      </c>
      <c r="E1103" t="s">
        <v>17</v>
      </c>
      <c r="F1103" t="s">
        <v>33</v>
      </c>
      <c r="G1103" t="s">
        <v>50</v>
      </c>
      <c r="H1103">
        <v>4</v>
      </c>
      <c r="I1103">
        <v>71.5</v>
      </c>
      <c r="J1103">
        <v>0.15</v>
      </c>
      <c r="K1103">
        <v>243.1</v>
      </c>
      <c r="L1103">
        <v>25.62</v>
      </c>
      <c r="M1103" t="s">
        <v>35</v>
      </c>
    </row>
    <row r="1104" spans="1:13" x14ac:dyDescent="0.3">
      <c r="A1104" t="s">
        <v>2375</v>
      </c>
      <c r="B1104" t="s">
        <v>252</v>
      </c>
      <c r="C1104" t="s">
        <v>527</v>
      </c>
      <c r="D1104" s="7" t="s">
        <v>1362</v>
      </c>
      <c r="E1104" t="s">
        <v>25</v>
      </c>
      <c r="F1104" t="s">
        <v>18</v>
      </c>
      <c r="G1104" t="s">
        <v>79</v>
      </c>
      <c r="H1104">
        <v>8</v>
      </c>
      <c r="I1104">
        <v>90.74</v>
      </c>
      <c r="J1104">
        <v>0.1</v>
      </c>
      <c r="K1104">
        <v>653.33000000000004</v>
      </c>
      <c r="L1104">
        <v>131.57</v>
      </c>
      <c r="M1104" t="s">
        <v>40</v>
      </c>
    </row>
    <row r="1105" spans="1:13" x14ac:dyDescent="0.3">
      <c r="A1105" t="s">
        <v>2376</v>
      </c>
      <c r="B1105" t="s">
        <v>1108</v>
      </c>
      <c r="C1105" t="s">
        <v>967</v>
      </c>
      <c r="D1105" s="7" t="s">
        <v>661</v>
      </c>
      <c r="E1105" t="s">
        <v>25</v>
      </c>
      <c r="F1105" t="s">
        <v>18</v>
      </c>
      <c r="G1105" t="s">
        <v>45</v>
      </c>
      <c r="H1105">
        <v>4</v>
      </c>
      <c r="I1105">
        <v>32.56</v>
      </c>
      <c r="J1105">
        <v>0.15</v>
      </c>
      <c r="K1105">
        <v>110.7</v>
      </c>
      <c r="L1105">
        <v>25.69</v>
      </c>
      <c r="M1105" t="s">
        <v>40</v>
      </c>
    </row>
    <row r="1106" spans="1:13" x14ac:dyDescent="0.3">
      <c r="A1106" t="s">
        <v>2377</v>
      </c>
      <c r="B1106" t="s">
        <v>643</v>
      </c>
      <c r="C1106" t="s">
        <v>272</v>
      </c>
      <c r="D1106" s="7" t="s">
        <v>237</v>
      </c>
      <c r="E1106" t="s">
        <v>32</v>
      </c>
      <c r="F1106" t="s">
        <v>89</v>
      </c>
      <c r="G1106" t="s">
        <v>150</v>
      </c>
      <c r="H1106">
        <v>7</v>
      </c>
      <c r="I1106">
        <v>55.7</v>
      </c>
      <c r="J1106">
        <v>0.05</v>
      </c>
      <c r="K1106">
        <v>370.41</v>
      </c>
      <c r="L1106">
        <v>52.68</v>
      </c>
      <c r="M1106" t="s">
        <v>20</v>
      </c>
    </row>
    <row r="1107" spans="1:13" x14ac:dyDescent="0.3">
      <c r="A1107" t="s">
        <v>2378</v>
      </c>
      <c r="B1107" t="s">
        <v>516</v>
      </c>
      <c r="C1107" t="s">
        <v>824</v>
      </c>
      <c r="D1107" s="7" t="s">
        <v>1130</v>
      </c>
      <c r="E1107" t="s">
        <v>64</v>
      </c>
      <c r="F1107" t="s">
        <v>33</v>
      </c>
      <c r="G1107" t="s">
        <v>74</v>
      </c>
      <c r="H1107">
        <v>6</v>
      </c>
      <c r="I1107">
        <v>31.84</v>
      </c>
      <c r="J1107">
        <v>0.15</v>
      </c>
      <c r="K1107">
        <v>162.38</v>
      </c>
      <c r="L1107">
        <v>13.15</v>
      </c>
      <c r="M1107" t="s">
        <v>35</v>
      </c>
    </row>
    <row r="1108" spans="1:13" x14ac:dyDescent="0.3">
      <c r="A1108" t="s">
        <v>2379</v>
      </c>
      <c r="B1108" t="s">
        <v>771</v>
      </c>
      <c r="C1108" t="s">
        <v>454</v>
      </c>
      <c r="D1108" s="7" t="s">
        <v>937</v>
      </c>
      <c r="E1108" t="s">
        <v>64</v>
      </c>
      <c r="F1108" t="s">
        <v>18</v>
      </c>
      <c r="G1108" t="s">
        <v>45</v>
      </c>
      <c r="H1108">
        <v>5</v>
      </c>
      <c r="I1108">
        <v>170.19</v>
      </c>
      <c r="J1108">
        <v>0</v>
      </c>
      <c r="K1108">
        <v>850.95</v>
      </c>
      <c r="L1108">
        <v>244.05</v>
      </c>
      <c r="M1108" t="s">
        <v>35</v>
      </c>
    </row>
    <row r="1109" spans="1:13" x14ac:dyDescent="0.3">
      <c r="A1109" t="s">
        <v>2380</v>
      </c>
      <c r="B1109" t="s">
        <v>523</v>
      </c>
      <c r="C1109" t="s">
        <v>1110</v>
      </c>
      <c r="D1109" s="7" t="s">
        <v>2381</v>
      </c>
      <c r="E1109" t="s">
        <v>59</v>
      </c>
      <c r="F1109" t="s">
        <v>89</v>
      </c>
      <c r="G1109" t="s">
        <v>90</v>
      </c>
      <c r="H1109">
        <v>6</v>
      </c>
      <c r="I1109">
        <v>74.180000000000007</v>
      </c>
      <c r="J1109">
        <v>0.1</v>
      </c>
      <c r="K1109">
        <v>400.57</v>
      </c>
      <c r="L1109">
        <v>49.02</v>
      </c>
      <c r="M1109" t="s">
        <v>35</v>
      </c>
    </row>
    <row r="1110" spans="1:13" x14ac:dyDescent="0.3">
      <c r="A1110" t="s">
        <v>2382</v>
      </c>
      <c r="B1110" t="s">
        <v>885</v>
      </c>
      <c r="C1110" t="s">
        <v>567</v>
      </c>
      <c r="D1110" s="7" t="s">
        <v>343</v>
      </c>
      <c r="E1110" t="s">
        <v>64</v>
      </c>
      <c r="F1110" t="s">
        <v>89</v>
      </c>
      <c r="G1110" t="s">
        <v>90</v>
      </c>
      <c r="H1110">
        <v>8</v>
      </c>
      <c r="I1110">
        <v>227.21</v>
      </c>
      <c r="J1110">
        <v>0.1</v>
      </c>
      <c r="K1110">
        <v>1635.91</v>
      </c>
      <c r="L1110">
        <v>339.03</v>
      </c>
      <c r="M1110" t="s">
        <v>20</v>
      </c>
    </row>
    <row r="1111" spans="1:13" x14ac:dyDescent="0.3">
      <c r="A1111" t="s">
        <v>2383</v>
      </c>
      <c r="B1111" t="s">
        <v>108</v>
      </c>
      <c r="C1111" t="s">
        <v>230</v>
      </c>
      <c r="D1111" s="7" t="s">
        <v>1675</v>
      </c>
      <c r="E1111" t="s">
        <v>64</v>
      </c>
      <c r="F1111" t="s">
        <v>89</v>
      </c>
      <c r="G1111" t="s">
        <v>90</v>
      </c>
      <c r="H1111">
        <v>5</v>
      </c>
      <c r="I1111">
        <v>189.68</v>
      </c>
      <c r="J1111">
        <v>0.05</v>
      </c>
      <c r="K1111">
        <v>900.98</v>
      </c>
      <c r="L1111">
        <v>208.73</v>
      </c>
      <c r="M1111" t="s">
        <v>40</v>
      </c>
    </row>
    <row r="1112" spans="1:13" x14ac:dyDescent="0.3">
      <c r="A1112" t="s">
        <v>2384</v>
      </c>
      <c r="B1112" t="s">
        <v>159</v>
      </c>
      <c r="C1112" t="s">
        <v>2048</v>
      </c>
      <c r="D1112" s="7" t="s">
        <v>1687</v>
      </c>
      <c r="E1112" t="s">
        <v>59</v>
      </c>
      <c r="F1112" t="s">
        <v>89</v>
      </c>
      <c r="G1112" t="s">
        <v>90</v>
      </c>
      <c r="H1112">
        <v>4</v>
      </c>
      <c r="I1112">
        <v>129.07</v>
      </c>
      <c r="J1112">
        <v>0.1</v>
      </c>
      <c r="K1112">
        <v>464.65</v>
      </c>
      <c r="L1112">
        <v>70.430000000000007</v>
      </c>
      <c r="M1112" t="s">
        <v>35</v>
      </c>
    </row>
    <row r="1113" spans="1:13" x14ac:dyDescent="0.3">
      <c r="A1113" t="s">
        <v>2385</v>
      </c>
      <c r="B1113" t="s">
        <v>810</v>
      </c>
      <c r="C1113" t="s">
        <v>831</v>
      </c>
      <c r="D1113" s="7" t="s">
        <v>934</v>
      </c>
      <c r="E1113" t="s">
        <v>64</v>
      </c>
      <c r="F1113" t="s">
        <v>26</v>
      </c>
      <c r="G1113" t="s">
        <v>84</v>
      </c>
      <c r="H1113">
        <v>4</v>
      </c>
      <c r="I1113">
        <v>82.64</v>
      </c>
      <c r="J1113">
        <v>0</v>
      </c>
      <c r="K1113">
        <v>330.56</v>
      </c>
      <c r="L1113">
        <v>45.18</v>
      </c>
      <c r="M1113" t="s">
        <v>35</v>
      </c>
    </row>
    <row r="1114" spans="1:13" x14ac:dyDescent="0.3">
      <c r="A1114" t="s">
        <v>2386</v>
      </c>
      <c r="B1114" t="s">
        <v>1428</v>
      </c>
      <c r="C1114" t="s">
        <v>105</v>
      </c>
      <c r="D1114" s="7" t="s">
        <v>655</v>
      </c>
      <c r="E1114" t="s">
        <v>25</v>
      </c>
      <c r="F1114" t="s">
        <v>33</v>
      </c>
      <c r="G1114" t="s">
        <v>69</v>
      </c>
      <c r="H1114">
        <v>8</v>
      </c>
      <c r="I1114">
        <v>240.94</v>
      </c>
      <c r="J1114">
        <v>0.1</v>
      </c>
      <c r="K1114">
        <v>1734.77</v>
      </c>
      <c r="L1114">
        <v>504.12</v>
      </c>
      <c r="M1114" t="s">
        <v>35</v>
      </c>
    </row>
    <row r="1115" spans="1:13" x14ac:dyDescent="0.3">
      <c r="A1115" t="s">
        <v>2387</v>
      </c>
      <c r="B1115" t="s">
        <v>290</v>
      </c>
      <c r="C1115" t="s">
        <v>2388</v>
      </c>
      <c r="D1115" s="7" t="s">
        <v>1596</v>
      </c>
      <c r="E1115" t="s">
        <v>59</v>
      </c>
      <c r="F1115" t="s">
        <v>89</v>
      </c>
      <c r="G1115" t="s">
        <v>131</v>
      </c>
      <c r="H1115">
        <v>3</v>
      </c>
      <c r="I1115">
        <v>183.49</v>
      </c>
      <c r="J1115">
        <v>0</v>
      </c>
      <c r="K1115">
        <v>550.47</v>
      </c>
      <c r="L1115">
        <v>128.37</v>
      </c>
      <c r="M1115" t="s">
        <v>35</v>
      </c>
    </row>
    <row r="1116" spans="1:13" x14ac:dyDescent="0.3">
      <c r="A1116" t="s">
        <v>2389</v>
      </c>
      <c r="B1116" t="s">
        <v>1367</v>
      </c>
      <c r="C1116" t="s">
        <v>249</v>
      </c>
      <c r="D1116" s="7" t="s">
        <v>1077</v>
      </c>
      <c r="E1116" t="s">
        <v>17</v>
      </c>
      <c r="F1116" t="s">
        <v>33</v>
      </c>
      <c r="G1116" t="s">
        <v>34</v>
      </c>
      <c r="H1116">
        <v>7</v>
      </c>
      <c r="I1116">
        <v>46.6</v>
      </c>
      <c r="J1116">
        <v>0.05</v>
      </c>
      <c r="K1116">
        <v>309.89</v>
      </c>
      <c r="L1116">
        <v>56.9</v>
      </c>
      <c r="M1116" t="s">
        <v>20</v>
      </c>
    </row>
    <row r="1117" spans="1:13" x14ac:dyDescent="0.3">
      <c r="A1117" t="s">
        <v>2390</v>
      </c>
      <c r="B1117" t="s">
        <v>2391</v>
      </c>
      <c r="C1117" t="s">
        <v>72</v>
      </c>
      <c r="D1117" s="7" t="s">
        <v>658</v>
      </c>
      <c r="E1117" t="s">
        <v>32</v>
      </c>
      <c r="F1117" t="s">
        <v>26</v>
      </c>
      <c r="G1117" t="s">
        <v>27</v>
      </c>
      <c r="H1117">
        <v>2</v>
      </c>
      <c r="I1117">
        <v>241.71</v>
      </c>
      <c r="J1117">
        <v>0</v>
      </c>
      <c r="K1117">
        <v>483.42</v>
      </c>
      <c r="L1117">
        <v>90.57</v>
      </c>
      <c r="M1117" t="s">
        <v>20</v>
      </c>
    </row>
    <row r="1118" spans="1:13" x14ac:dyDescent="0.3">
      <c r="A1118" t="s">
        <v>2392</v>
      </c>
      <c r="B1118" t="s">
        <v>2393</v>
      </c>
      <c r="C1118" t="s">
        <v>2394</v>
      </c>
      <c r="D1118" s="7" t="s">
        <v>280</v>
      </c>
      <c r="E1118" t="s">
        <v>32</v>
      </c>
      <c r="F1118" t="s">
        <v>33</v>
      </c>
      <c r="G1118" t="s">
        <v>69</v>
      </c>
      <c r="H1118">
        <v>5</v>
      </c>
      <c r="I1118">
        <v>191.07</v>
      </c>
      <c r="J1118">
        <v>0.1</v>
      </c>
      <c r="K1118">
        <v>859.81</v>
      </c>
      <c r="L1118">
        <v>147.41</v>
      </c>
      <c r="M1118" t="s">
        <v>20</v>
      </c>
    </row>
    <row r="1119" spans="1:13" x14ac:dyDescent="0.3">
      <c r="A1119" t="s">
        <v>2395</v>
      </c>
      <c r="B1119" t="s">
        <v>457</v>
      </c>
      <c r="C1119" t="s">
        <v>2396</v>
      </c>
      <c r="D1119" s="7" t="s">
        <v>2156</v>
      </c>
      <c r="E1119" t="s">
        <v>32</v>
      </c>
      <c r="F1119" t="s">
        <v>26</v>
      </c>
      <c r="G1119" t="s">
        <v>27</v>
      </c>
      <c r="H1119">
        <v>8</v>
      </c>
      <c r="I1119">
        <v>40.32</v>
      </c>
      <c r="J1119">
        <v>0.05</v>
      </c>
      <c r="K1119">
        <v>306.43</v>
      </c>
      <c r="L1119">
        <v>52.66</v>
      </c>
      <c r="M1119" t="s">
        <v>40</v>
      </c>
    </row>
    <row r="1120" spans="1:13" x14ac:dyDescent="0.3">
      <c r="A1120" t="s">
        <v>2397</v>
      </c>
      <c r="B1120" t="s">
        <v>392</v>
      </c>
      <c r="C1120" t="s">
        <v>1737</v>
      </c>
      <c r="D1120" s="7" t="s">
        <v>919</v>
      </c>
      <c r="E1120" t="s">
        <v>32</v>
      </c>
      <c r="F1120" t="s">
        <v>26</v>
      </c>
      <c r="G1120" t="s">
        <v>118</v>
      </c>
      <c r="H1120">
        <v>1</v>
      </c>
      <c r="I1120">
        <v>177.06</v>
      </c>
      <c r="J1120">
        <v>0.05</v>
      </c>
      <c r="K1120">
        <v>168.21</v>
      </c>
      <c r="L1120">
        <v>19.14</v>
      </c>
      <c r="M1120" t="s">
        <v>35</v>
      </c>
    </row>
    <row r="1121" spans="1:13" x14ac:dyDescent="0.3">
      <c r="A1121" t="s">
        <v>2398</v>
      </c>
      <c r="B1121" t="s">
        <v>199</v>
      </c>
      <c r="C1121" t="s">
        <v>221</v>
      </c>
      <c r="D1121" s="7" t="s">
        <v>1455</v>
      </c>
      <c r="E1121" t="s">
        <v>64</v>
      </c>
      <c r="F1121" t="s">
        <v>26</v>
      </c>
      <c r="G1121" t="s">
        <v>27</v>
      </c>
      <c r="H1121">
        <v>1</v>
      </c>
      <c r="I1121">
        <v>56.41</v>
      </c>
      <c r="J1121">
        <v>0</v>
      </c>
      <c r="K1121">
        <v>56.41</v>
      </c>
      <c r="L1121">
        <v>16.239999999999998</v>
      </c>
      <c r="M1121" t="s">
        <v>20</v>
      </c>
    </row>
    <row r="1122" spans="1:13" x14ac:dyDescent="0.3">
      <c r="A1122" t="s">
        <v>2399</v>
      </c>
      <c r="B1122" t="s">
        <v>1377</v>
      </c>
      <c r="C1122" t="s">
        <v>1679</v>
      </c>
      <c r="D1122" s="7" t="s">
        <v>919</v>
      </c>
      <c r="E1122" t="s">
        <v>59</v>
      </c>
      <c r="F1122" t="s">
        <v>26</v>
      </c>
      <c r="G1122" t="s">
        <v>27</v>
      </c>
      <c r="H1122">
        <v>3</v>
      </c>
      <c r="I1122">
        <v>114.16</v>
      </c>
      <c r="J1122">
        <v>0.15</v>
      </c>
      <c r="K1122">
        <v>291.11</v>
      </c>
      <c r="L1122">
        <v>83.4</v>
      </c>
      <c r="M1122" t="s">
        <v>35</v>
      </c>
    </row>
    <row r="1123" spans="1:13" x14ac:dyDescent="0.3">
      <c r="A1123" t="s">
        <v>2400</v>
      </c>
      <c r="B1123" t="s">
        <v>180</v>
      </c>
      <c r="C1123" t="s">
        <v>429</v>
      </c>
      <c r="D1123" s="7" t="s">
        <v>1661</v>
      </c>
      <c r="E1123" t="s">
        <v>25</v>
      </c>
      <c r="F1123" t="s">
        <v>26</v>
      </c>
      <c r="G1123" t="s">
        <v>27</v>
      </c>
      <c r="H1123">
        <v>2</v>
      </c>
      <c r="I1123">
        <v>202.97</v>
      </c>
      <c r="J1123">
        <v>0.15</v>
      </c>
      <c r="K1123">
        <v>345.05</v>
      </c>
      <c r="L1123">
        <v>48.61</v>
      </c>
      <c r="M1123" t="s">
        <v>35</v>
      </c>
    </row>
    <row r="1124" spans="1:13" x14ac:dyDescent="0.3">
      <c r="A1124" t="s">
        <v>2401</v>
      </c>
      <c r="B1124" t="s">
        <v>1011</v>
      </c>
      <c r="C1124" t="s">
        <v>2402</v>
      </c>
      <c r="D1124" s="7" t="s">
        <v>2403</v>
      </c>
      <c r="E1124" t="s">
        <v>64</v>
      </c>
      <c r="F1124" t="s">
        <v>89</v>
      </c>
      <c r="G1124" t="s">
        <v>131</v>
      </c>
      <c r="H1124">
        <v>2</v>
      </c>
      <c r="I1124">
        <v>203.47</v>
      </c>
      <c r="J1124">
        <v>0.15</v>
      </c>
      <c r="K1124">
        <v>345.9</v>
      </c>
      <c r="L1124">
        <v>77.040000000000006</v>
      </c>
      <c r="M1124" t="s">
        <v>35</v>
      </c>
    </row>
    <row r="1125" spans="1:13" x14ac:dyDescent="0.3">
      <c r="A1125" t="s">
        <v>2404</v>
      </c>
      <c r="B1125" t="s">
        <v>1883</v>
      </c>
      <c r="C1125" t="s">
        <v>600</v>
      </c>
      <c r="D1125" s="7" t="s">
        <v>157</v>
      </c>
      <c r="E1125" t="s">
        <v>17</v>
      </c>
      <c r="F1125" t="s">
        <v>18</v>
      </c>
      <c r="G1125" t="s">
        <v>79</v>
      </c>
      <c r="H1125">
        <v>2</v>
      </c>
      <c r="I1125">
        <v>213.57</v>
      </c>
      <c r="J1125">
        <v>0.1</v>
      </c>
      <c r="K1125">
        <v>384.43</v>
      </c>
      <c r="L1125">
        <v>95.27</v>
      </c>
      <c r="M1125" t="s">
        <v>35</v>
      </c>
    </row>
    <row r="1126" spans="1:13" x14ac:dyDescent="0.3">
      <c r="A1126" t="s">
        <v>2405</v>
      </c>
      <c r="B1126" t="s">
        <v>2124</v>
      </c>
      <c r="C1126" t="s">
        <v>1567</v>
      </c>
      <c r="D1126" s="7" t="s">
        <v>851</v>
      </c>
      <c r="E1126" t="s">
        <v>64</v>
      </c>
      <c r="F1126" t="s">
        <v>89</v>
      </c>
      <c r="G1126" t="s">
        <v>90</v>
      </c>
      <c r="H1126">
        <v>5</v>
      </c>
      <c r="I1126">
        <v>237.5</v>
      </c>
      <c r="J1126">
        <v>0.15</v>
      </c>
      <c r="K1126">
        <v>1009.38</v>
      </c>
      <c r="L1126">
        <v>238.84</v>
      </c>
      <c r="M1126" t="s">
        <v>20</v>
      </c>
    </row>
    <row r="1127" spans="1:13" x14ac:dyDescent="0.3">
      <c r="A1127" t="s">
        <v>2406</v>
      </c>
      <c r="B1127" t="s">
        <v>1684</v>
      </c>
      <c r="C1127" t="s">
        <v>148</v>
      </c>
      <c r="D1127" s="7" t="s">
        <v>1859</v>
      </c>
      <c r="E1127" t="s">
        <v>32</v>
      </c>
      <c r="F1127" t="s">
        <v>89</v>
      </c>
      <c r="G1127" t="s">
        <v>131</v>
      </c>
      <c r="H1127">
        <v>1</v>
      </c>
      <c r="I1127">
        <v>39.64</v>
      </c>
      <c r="J1127">
        <v>0</v>
      </c>
      <c r="K1127">
        <v>39.64</v>
      </c>
      <c r="L1127">
        <v>7.11</v>
      </c>
      <c r="M1127" t="s">
        <v>35</v>
      </c>
    </row>
    <row r="1128" spans="1:13" x14ac:dyDescent="0.3">
      <c r="A1128" t="s">
        <v>2407</v>
      </c>
      <c r="B1128" t="s">
        <v>290</v>
      </c>
      <c r="C1128" t="s">
        <v>48</v>
      </c>
      <c r="D1128" s="7" t="s">
        <v>2408</v>
      </c>
      <c r="E1128" t="s">
        <v>64</v>
      </c>
      <c r="F1128" t="s">
        <v>18</v>
      </c>
      <c r="G1128" t="s">
        <v>45</v>
      </c>
      <c r="H1128">
        <v>6</v>
      </c>
      <c r="I1128">
        <v>183.97</v>
      </c>
      <c r="J1128">
        <v>0.1</v>
      </c>
      <c r="K1128">
        <v>993.44</v>
      </c>
      <c r="L1128">
        <v>101.38</v>
      </c>
      <c r="M1128" t="s">
        <v>35</v>
      </c>
    </row>
    <row r="1129" spans="1:13" x14ac:dyDescent="0.3">
      <c r="A1129" t="s">
        <v>2409</v>
      </c>
      <c r="B1129" t="s">
        <v>120</v>
      </c>
      <c r="C1129" t="s">
        <v>386</v>
      </c>
      <c r="D1129" s="7" t="s">
        <v>813</v>
      </c>
      <c r="E1129" t="s">
        <v>64</v>
      </c>
      <c r="F1129" t="s">
        <v>33</v>
      </c>
      <c r="G1129" t="s">
        <v>34</v>
      </c>
      <c r="H1129">
        <v>2</v>
      </c>
      <c r="I1129">
        <v>91.2</v>
      </c>
      <c r="J1129">
        <v>0</v>
      </c>
      <c r="K1129">
        <v>182.4</v>
      </c>
      <c r="L1129">
        <v>21.4</v>
      </c>
      <c r="M1129" t="s">
        <v>35</v>
      </c>
    </row>
    <row r="1130" spans="1:13" x14ac:dyDescent="0.3">
      <c r="A1130" t="s">
        <v>2410</v>
      </c>
      <c r="B1130" t="s">
        <v>1465</v>
      </c>
      <c r="C1130" t="s">
        <v>717</v>
      </c>
      <c r="D1130" s="7" t="s">
        <v>1320</v>
      </c>
      <c r="E1130" t="s">
        <v>17</v>
      </c>
      <c r="F1130" t="s">
        <v>26</v>
      </c>
      <c r="G1130" t="s">
        <v>27</v>
      </c>
      <c r="H1130">
        <v>6</v>
      </c>
      <c r="I1130">
        <v>27.41</v>
      </c>
      <c r="J1130">
        <v>0.05</v>
      </c>
      <c r="K1130">
        <v>156.24</v>
      </c>
      <c r="L1130">
        <v>13.25</v>
      </c>
      <c r="M1130" t="s">
        <v>40</v>
      </c>
    </row>
    <row r="1131" spans="1:13" x14ac:dyDescent="0.3">
      <c r="A1131" t="s">
        <v>2411</v>
      </c>
      <c r="B1131" t="s">
        <v>639</v>
      </c>
      <c r="C1131" t="s">
        <v>276</v>
      </c>
      <c r="D1131" s="7" t="s">
        <v>1934</v>
      </c>
      <c r="E1131" t="s">
        <v>64</v>
      </c>
      <c r="F1131" t="s">
        <v>89</v>
      </c>
      <c r="G1131" t="s">
        <v>131</v>
      </c>
      <c r="H1131">
        <v>6</v>
      </c>
      <c r="I1131">
        <v>21.02</v>
      </c>
      <c r="J1131">
        <v>0</v>
      </c>
      <c r="K1131">
        <v>126.12</v>
      </c>
      <c r="L1131">
        <v>18.989999999999998</v>
      </c>
      <c r="M1131" t="s">
        <v>35</v>
      </c>
    </row>
    <row r="1132" spans="1:13" x14ac:dyDescent="0.3">
      <c r="A1132" t="s">
        <v>2412</v>
      </c>
      <c r="B1132" t="s">
        <v>731</v>
      </c>
      <c r="C1132" t="s">
        <v>890</v>
      </c>
      <c r="D1132" s="7" t="s">
        <v>2413</v>
      </c>
      <c r="E1132" t="s">
        <v>25</v>
      </c>
      <c r="F1132" t="s">
        <v>26</v>
      </c>
      <c r="G1132" t="s">
        <v>27</v>
      </c>
      <c r="H1132">
        <v>7</v>
      </c>
      <c r="I1132">
        <v>196.08</v>
      </c>
      <c r="J1132">
        <v>0.15</v>
      </c>
      <c r="K1132">
        <v>1166.68</v>
      </c>
      <c r="L1132">
        <v>243.11</v>
      </c>
      <c r="M1132" t="s">
        <v>20</v>
      </c>
    </row>
    <row r="1133" spans="1:13" x14ac:dyDescent="0.3">
      <c r="A1133" t="s">
        <v>2414</v>
      </c>
      <c r="B1133" t="s">
        <v>596</v>
      </c>
      <c r="C1133" t="s">
        <v>725</v>
      </c>
      <c r="D1133" s="7" t="s">
        <v>2068</v>
      </c>
      <c r="E1133" t="s">
        <v>17</v>
      </c>
      <c r="F1133" t="s">
        <v>18</v>
      </c>
      <c r="G1133" t="s">
        <v>19</v>
      </c>
      <c r="H1133">
        <v>6</v>
      </c>
      <c r="I1133">
        <v>174.62</v>
      </c>
      <c r="J1133">
        <v>0.05</v>
      </c>
      <c r="K1133">
        <v>995.33</v>
      </c>
      <c r="L1133">
        <v>167.83</v>
      </c>
      <c r="M1133" t="s">
        <v>40</v>
      </c>
    </row>
    <row r="1134" spans="1:13" x14ac:dyDescent="0.3">
      <c r="A1134" t="s">
        <v>2415</v>
      </c>
      <c r="B1134" t="s">
        <v>104</v>
      </c>
      <c r="C1134" t="s">
        <v>2416</v>
      </c>
      <c r="D1134" s="7" t="s">
        <v>141</v>
      </c>
      <c r="E1134" t="s">
        <v>64</v>
      </c>
      <c r="F1134" t="s">
        <v>33</v>
      </c>
      <c r="G1134" t="s">
        <v>69</v>
      </c>
      <c r="H1134">
        <v>3</v>
      </c>
      <c r="I1134">
        <v>192.09</v>
      </c>
      <c r="J1134">
        <v>0.05</v>
      </c>
      <c r="K1134">
        <v>547.46</v>
      </c>
      <c r="L1134">
        <v>100.82</v>
      </c>
      <c r="M1134" t="s">
        <v>20</v>
      </c>
    </row>
    <row r="1135" spans="1:13" x14ac:dyDescent="0.3">
      <c r="A1135" t="s">
        <v>2417</v>
      </c>
      <c r="B1135" t="s">
        <v>450</v>
      </c>
      <c r="C1135" t="s">
        <v>226</v>
      </c>
      <c r="D1135" s="7" t="s">
        <v>2418</v>
      </c>
      <c r="E1135" t="s">
        <v>32</v>
      </c>
      <c r="F1135" t="s">
        <v>18</v>
      </c>
      <c r="G1135" t="s">
        <v>19</v>
      </c>
      <c r="H1135">
        <v>6</v>
      </c>
      <c r="I1135">
        <v>20.65</v>
      </c>
      <c r="J1135">
        <v>0.05</v>
      </c>
      <c r="K1135">
        <v>117.7</v>
      </c>
      <c r="L1135">
        <v>31.68</v>
      </c>
      <c r="M1135" t="s">
        <v>40</v>
      </c>
    </row>
    <row r="1136" spans="1:13" x14ac:dyDescent="0.3">
      <c r="A1136" t="s">
        <v>2419</v>
      </c>
      <c r="B1136" t="s">
        <v>317</v>
      </c>
      <c r="C1136" t="s">
        <v>1178</v>
      </c>
      <c r="D1136" s="7" t="s">
        <v>1027</v>
      </c>
      <c r="E1136" t="s">
        <v>59</v>
      </c>
      <c r="F1136" t="s">
        <v>33</v>
      </c>
      <c r="G1136" t="s">
        <v>50</v>
      </c>
      <c r="H1136">
        <v>3</v>
      </c>
      <c r="I1136">
        <v>219.67</v>
      </c>
      <c r="J1136">
        <v>0.15</v>
      </c>
      <c r="K1136">
        <v>560.16</v>
      </c>
      <c r="L1136">
        <v>153.93</v>
      </c>
      <c r="M1136" t="s">
        <v>40</v>
      </c>
    </row>
    <row r="1137" spans="1:13" x14ac:dyDescent="0.3">
      <c r="A1137" t="s">
        <v>2420</v>
      </c>
      <c r="B1137" t="s">
        <v>1578</v>
      </c>
      <c r="C1137" t="s">
        <v>1411</v>
      </c>
      <c r="D1137" s="7" t="s">
        <v>410</v>
      </c>
      <c r="E1137" t="s">
        <v>32</v>
      </c>
      <c r="F1137" t="s">
        <v>26</v>
      </c>
      <c r="G1137" t="s">
        <v>27</v>
      </c>
      <c r="H1137">
        <v>8</v>
      </c>
      <c r="I1137">
        <v>159.91</v>
      </c>
      <c r="J1137">
        <v>0</v>
      </c>
      <c r="K1137">
        <v>1279.28</v>
      </c>
      <c r="L1137">
        <v>306.36</v>
      </c>
      <c r="M1137" t="s">
        <v>20</v>
      </c>
    </row>
    <row r="1138" spans="1:13" x14ac:dyDescent="0.3">
      <c r="A1138" t="s">
        <v>2421</v>
      </c>
      <c r="B1138" t="s">
        <v>743</v>
      </c>
      <c r="C1138" t="s">
        <v>1978</v>
      </c>
      <c r="D1138" s="7" t="s">
        <v>1575</v>
      </c>
      <c r="E1138" t="s">
        <v>59</v>
      </c>
      <c r="F1138" t="s">
        <v>26</v>
      </c>
      <c r="G1138" t="s">
        <v>84</v>
      </c>
      <c r="H1138">
        <v>4</v>
      </c>
      <c r="I1138">
        <v>77.849999999999994</v>
      </c>
      <c r="J1138">
        <v>0.05</v>
      </c>
      <c r="K1138">
        <v>295.83</v>
      </c>
      <c r="L1138">
        <v>84.63</v>
      </c>
      <c r="M1138" t="s">
        <v>35</v>
      </c>
    </row>
    <row r="1139" spans="1:13" x14ac:dyDescent="0.3">
      <c r="A1139" t="s">
        <v>2422</v>
      </c>
      <c r="B1139" t="s">
        <v>554</v>
      </c>
      <c r="C1139" t="s">
        <v>1679</v>
      </c>
      <c r="D1139" s="7" t="s">
        <v>1560</v>
      </c>
      <c r="E1139" t="s">
        <v>25</v>
      </c>
      <c r="F1139" t="s">
        <v>89</v>
      </c>
      <c r="G1139" t="s">
        <v>90</v>
      </c>
      <c r="H1139">
        <v>3</v>
      </c>
      <c r="I1139">
        <v>219.08</v>
      </c>
      <c r="J1139">
        <v>0</v>
      </c>
      <c r="K1139">
        <v>657.24</v>
      </c>
      <c r="L1139">
        <v>131.86000000000001</v>
      </c>
      <c r="M1139" t="s">
        <v>35</v>
      </c>
    </row>
    <row r="1140" spans="1:13" x14ac:dyDescent="0.3">
      <c r="A1140" t="s">
        <v>2423</v>
      </c>
      <c r="B1140" t="s">
        <v>1013</v>
      </c>
      <c r="C1140" t="s">
        <v>1404</v>
      </c>
      <c r="D1140" s="7" t="s">
        <v>648</v>
      </c>
      <c r="E1140" t="s">
        <v>17</v>
      </c>
      <c r="F1140" t="s">
        <v>33</v>
      </c>
      <c r="G1140" t="s">
        <v>34</v>
      </c>
      <c r="H1140">
        <v>3</v>
      </c>
      <c r="I1140">
        <v>221.6</v>
      </c>
      <c r="J1140">
        <v>0.05</v>
      </c>
      <c r="K1140">
        <v>631.55999999999995</v>
      </c>
      <c r="L1140">
        <v>163.44999999999999</v>
      </c>
      <c r="M1140" t="s">
        <v>20</v>
      </c>
    </row>
    <row r="1141" spans="1:13" x14ac:dyDescent="0.3">
      <c r="A1141" t="s">
        <v>2424</v>
      </c>
      <c r="B1141" t="s">
        <v>2425</v>
      </c>
      <c r="C1141" t="s">
        <v>1239</v>
      </c>
      <c r="D1141" s="7" t="s">
        <v>2032</v>
      </c>
      <c r="E1141" t="s">
        <v>25</v>
      </c>
      <c r="F1141" t="s">
        <v>18</v>
      </c>
      <c r="G1141" t="s">
        <v>79</v>
      </c>
      <c r="H1141">
        <v>4</v>
      </c>
      <c r="I1141">
        <v>148.25</v>
      </c>
      <c r="J1141">
        <v>0</v>
      </c>
      <c r="K1141">
        <v>593</v>
      </c>
      <c r="L1141">
        <v>131.49</v>
      </c>
      <c r="M1141" t="s">
        <v>40</v>
      </c>
    </row>
    <row r="1142" spans="1:13" x14ac:dyDescent="0.3">
      <c r="A1142" t="s">
        <v>2426</v>
      </c>
      <c r="B1142" t="s">
        <v>540</v>
      </c>
      <c r="C1142" t="s">
        <v>876</v>
      </c>
      <c r="D1142" s="7" t="s">
        <v>1320</v>
      </c>
      <c r="E1142" t="s">
        <v>25</v>
      </c>
      <c r="F1142" t="s">
        <v>33</v>
      </c>
      <c r="G1142" t="s">
        <v>69</v>
      </c>
      <c r="H1142">
        <v>4</v>
      </c>
      <c r="I1142">
        <v>145.16</v>
      </c>
      <c r="J1142">
        <v>0</v>
      </c>
      <c r="K1142">
        <v>580.64</v>
      </c>
      <c r="L1142">
        <v>168.05</v>
      </c>
      <c r="M1142" t="s">
        <v>35</v>
      </c>
    </row>
    <row r="1143" spans="1:13" x14ac:dyDescent="0.3">
      <c r="A1143" t="s">
        <v>2427</v>
      </c>
      <c r="B1143" t="s">
        <v>793</v>
      </c>
      <c r="C1143" t="s">
        <v>717</v>
      </c>
      <c r="D1143" s="7" t="s">
        <v>491</v>
      </c>
      <c r="E1143" t="s">
        <v>64</v>
      </c>
      <c r="F1143" t="s">
        <v>26</v>
      </c>
      <c r="G1143" t="s">
        <v>118</v>
      </c>
      <c r="H1143">
        <v>3</v>
      </c>
      <c r="I1143">
        <v>91.88</v>
      </c>
      <c r="J1143">
        <v>0.05</v>
      </c>
      <c r="K1143">
        <v>261.86</v>
      </c>
      <c r="L1143">
        <v>33.22</v>
      </c>
      <c r="M1143" t="s">
        <v>40</v>
      </c>
    </row>
    <row r="1144" spans="1:13" x14ac:dyDescent="0.3">
      <c r="A1144" t="s">
        <v>2428</v>
      </c>
      <c r="B1144" t="s">
        <v>1055</v>
      </c>
      <c r="C1144" t="s">
        <v>57</v>
      </c>
      <c r="D1144" s="7" t="s">
        <v>360</v>
      </c>
      <c r="E1144" t="s">
        <v>25</v>
      </c>
      <c r="F1144" t="s">
        <v>33</v>
      </c>
      <c r="G1144" t="s">
        <v>69</v>
      </c>
      <c r="H1144">
        <v>7</v>
      </c>
      <c r="I1144">
        <v>240.18</v>
      </c>
      <c r="J1144">
        <v>0.1</v>
      </c>
      <c r="K1144">
        <v>1513.13</v>
      </c>
      <c r="L1144">
        <v>417.77</v>
      </c>
      <c r="M1144" t="s">
        <v>35</v>
      </c>
    </row>
    <row r="1145" spans="1:13" x14ac:dyDescent="0.3">
      <c r="A1145" t="s">
        <v>2429</v>
      </c>
      <c r="B1145" t="s">
        <v>111</v>
      </c>
      <c r="C1145" t="s">
        <v>318</v>
      </c>
      <c r="D1145" s="7" t="s">
        <v>1475</v>
      </c>
      <c r="E1145" t="s">
        <v>25</v>
      </c>
      <c r="F1145" t="s">
        <v>26</v>
      </c>
      <c r="G1145" t="s">
        <v>84</v>
      </c>
      <c r="H1145">
        <v>3</v>
      </c>
      <c r="I1145">
        <v>137.19999999999999</v>
      </c>
      <c r="J1145">
        <v>0.05</v>
      </c>
      <c r="K1145">
        <v>391.02</v>
      </c>
      <c r="L1145">
        <v>59.93</v>
      </c>
      <c r="M1145" t="s">
        <v>35</v>
      </c>
    </row>
    <row r="1146" spans="1:13" x14ac:dyDescent="0.3">
      <c r="A1146" t="s">
        <v>2430</v>
      </c>
      <c r="B1146" t="s">
        <v>133</v>
      </c>
      <c r="C1146" t="s">
        <v>1411</v>
      </c>
      <c r="D1146" s="7" t="s">
        <v>231</v>
      </c>
      <c r="E1146" t="s">
        <v>64</v>
      </c>
      <c r="F1146" t="s">
        <v>89</v>
      </c>
      <c r="G1146" t="s">
        <v>150</v>
      </c>
      <c r="H1146">
        <v>6</v>
      </c>
      <c r="I1146">
        <v>236.4</v>
      </c>
      <c r="J1146">
        <v>0.15</v>
      </c>
      <c r="K1146">
        <v>1205.6400000000001</v>
      </c>
      <c r="L1146">
        <v>299.10000000000002</v>
      </c>
      <c r="M1146" t="s">
        <v>35</v>
      </c>
    </row>
    <row r="1147" spans="1:13" x14ac:dyDescent="0.3">
      <c r="A1147" t="s">
        <v>2431</v>
      </c>
      <c r="B1147" t="s">
        <v>1207</v>
      </c>
      <c r="C1147" t="s">
        <v>1802</v>
      </c>
      <c r="D1147" s="7" t="s">
        <v>1224</v>
      </c>
      <c r="E1147" t="s">
        <v>32</v>
      </c>
      <c r="F1147" t="s">
        <v>18</v>
      </c>
      <c r="G1147" t="s">
        <v>45</v>
      </c>
      <c r="H1147">
        <v>3</v>
      </c>
      <c r="I1147">
        <v>85.87</v>
      </c>
      <c r="J1147">
        <v>0</v>
      </c>
      <c r="K1147">
        <v>257.61</v>
      </c>
      <c r="L1147">
        <v>46.1</v>
      </c>
      <c r="M1147" t="s">
        <v>40</v>
      </c>
    </row>
    <row r="1148" spans="1:13" x14ac:dyDescent="0.3">
      <c r="A1148" t="s">
        <v>2432</v>
      </c>
      <c r="B1148" t="s">
        <v>2043</v>
      </c>
      <c r="C1148" t="s">
        <v>926</v>
      </c>
      <c r="D1148" s="7" t="s">
        <v>1959</v>
      </c>
      <c r="E1148" t="s">
        <v>59</v>
      </c>
      <c r="F1148" t="s">
        <v>89</v>
      </c>
      <c r="G1148" t="s">
        <v>131</v>
      </c>
      <c r="H1148">
        <v>5</v>
      </c>
      <c r="I1148">
        <v>71</v>
      </c>
      <c r="J1148">
        <v>0</v>
      </c>
      <c r="K1148">
        <v>355</v>
      </c>
      <c r="L1148">
        <v>105.92</v>
      </c>
      <c r="M1148" t="s">
        <v>20</v>
      </c>
    </row>
    <row r="1149" spans="1:13" x14ac:dyDescent="0.3">
      <c r="A1149" t="s">
        <v>2433</v>
      </c>
      <c r="B1149" t="s">
        <v>242</v>
      </c>
      <c r="C1149" t="s">
        <v>783</v>
      </c>
      <c r="D1149" s="7" t="s">
        <v>1865</v>
      </c>
      <c r="E1149" t="s">
        <v>59</v>
      </c>
      <c r="F1149" t="s">
        <v>33</v>
      </c>
      <c r="G1149" t="s">
        <v>69</v>
      </c>
      <c r="H1149">
        <v>7</v>
      </c>
      <c r="I1149">
        <v>66.84</v>
      </c>
      <c r="J1149">
        <v>0.1</v>
      </c>
      <c r="K1149">
        <v>421.09</v>
      </c>
      <c r="L1149">
        <v>60.07</v>
      </c>
      <c r="M1149" t="s">
        <v>35</v>
      </c>
    </row>
    <row r="1150" spans="1:13" x14ac:dyDescent="0.3">
      <c r="A1150" t="s">
        <v>2434</v>
      </c>
      <c r="B1150" t="s">
        <v>2435</v>
      </c>
      <c r="C1150" t="s">
        <v>1257</v>
      </c>
      <c r="D1150" s="7" t="s">
        <v>628</v>
      </c>
      <c r="E1150" t="s">
        <v>64</v>
      </c>
      <c r="F1150" t="s">
        <v>18</v>
      </c>
      <c r="G1150" t="s">
        <v>79</v>
      </c>
      <c r="H1150">
        <v>2</v>
      </c>
      <c r="I1150">
        <v>195.83</v>
      </c>
      <c r="J1150">
        <v>0.15</v>
      </c>
      <c r="K1150">
        <v>332.91</v>
      </c>
      <c r="L1150">
        <v>52.57</v>
      </c>
      <c r="M1150" t="s">
        <v>35</v>
      </c>
    </row>
    <row r="1151" spans="1:13" x14ac:dyDescent="0.3">
      <c r="A1151" t="s">
        <v>2436</v>
      </c>
      <c r="B1151" t="s">
        <v>143</v>
      </c>
      <c r="C1151" t="s">
        <v>991</v>
      </c>
      <c r="D1151" s="7" t="s">
        <v>2437</v>
      </c>
      <c r="E1151" t="s">
        <v>25</v>
      </c>
      <c r="F1151" t="s">
        <v>89</v>
      </c>
      <c r="G1151" t="s">
        <v>150</v>
      </c>
      <c r="H1151">
        <v>1</v>
      </c>
      <c r="I1151">
        <v>77.17</v>
      </c>
      <c r="J1151">
        <v>0.15</v>
      </c>
      <c r="K1151">
        <v>65.59</v>
      </c>
      <c r="L1151">
        <v>19.32</v>
      </c>
      <c r="M1151" t="s">
        <v>35</v>
      </c>
    </row>
    <row r="1152" spans="1:13" x14ac:dyDescent="0.3">
      <c r="A1152" t="s">
        <v>2438</v>
      </c>
      <c r="B1152" t="s">
        <v>184</v>
      </c>
      <c r="C1152" t="s">
        <v>1346</v>
      </c>
      <c r="D1152" s="7" t="s">
        <v>556</v>
      </c>
      <c r="E1152" t="s">
        <v>59</v>
      </c>
      <c r="F1152" t="s">
        <v>89</v>
      </c>
      <c r="G1152" t="s">
        <v>90</v>
      </c>
      <c r="H1152">
        <v>8</v>
      </c>
      <c r="I1152">
        <v>226.22</v>
      </c>
      <c r="J1152">
        <v>0.15</v>
      </c>
      <c r="K1152">
        <v>1538.3</v>
      </c>
      <c r="L1152">
        <v>157</v>
      </c>
      <c r="M1152" t="s">
        <v>40</v>
      </c>
    </row>
    <row r="1153" spans="1:13" x14ac:dyDescent="0.3">
      <c r="A1153" t="s">
        <v>2439</v>
      </c>
      <c r="B1153" t="s">
        <v>760</v>
      </c>
      <c r="C1153" t="s">
        <v>2440</v>
      </c>
      <c r="D1153" s="7" t="s">
        <v>31</v>
      </c>
      <c r="E1153" t="s">
        <v>25</v>
      </c>
      <c r="F1153" t="s">
        <v>33</v>
      </c>
      <c r="G1153" t="s">
        <v>50</v>
      </c>
      <c r="H1153">
        <v>2</v>
      </c>
      <c r="I1153">
        <v>136.44999999999999</v>
      </c>
      <c r="J1153">
        <v>0.15</v>
      </c>
      <c r="K1153">
        <v>231.96</v>
      </c>
      <c r="L1153">
        <v>51.53</v>
      </c>
      <c r="M1153" t="s">
        <v>20</v>
      </c>
    </row>
    <row r="1154" spans="1:13" x14ac:dyDescent="0.3">
      <c r="A1154" t="s">
        <v>2441</v>
      </c>
      <c r="B1154" t="s">
        <v>1573</v>
      </c>
      <c r="C1154" t="s">
        <v>1389</v>
      </c>
      <c r="D1154" s="7" t="s">
        <v>1463</v>
      </c>
      <c r="E1154" t="s">
        <v>17</v>
      </c>
      <c r="F1154" t="s">
        <v>89</v>
      </c>
      <c r="G1154" t="s">
        <v>150</v>
      </c>
      <c r="H1154">
        <v>7</v>
      </c>
      <c r="I1154">
        <v>174.92</v>
      </c>
      <c r="J1154">
        <v>0</v>
      </c>
      <c r="K1154">
        <v>1224.44</v>
      </c>
      <c r="L1154">
        <v>295.16000000000003</v>
      </c>
      <c r="M1154" t="s">
        <v>20</v>
      </c>
    </row>
    <row r="1155" spans="1:13" x14ac:dyDescent="0.3">
      <c r="A1155" t="s">
        <v>2442</v>
      </c>
      <c r="B1155" t="s">
        <v>217</v>
      </c>
      <c r="C1155" t="s">
        <v>950</v>
      </c>
      <c r="D1155" s="7" t="s">
        <v>1655</v>
      </c>
      <c r="E1155" t="s">
        <v>25</v>
      </c>
      <c r="F1155" t="s">
        <v>89</v>
      </c>
      <c r="G1155" t="s">
        <v>150</v>
      </c>
      <c r="H1155">
        <v>3</v>
      </c>
      <c r="I1155">
        <v>228.68</v>
      </c>
      <c r="J1155">
        <v>0.15</v>
      </c>
      <c r="K1155">
        <v>583.13</v>
      </c>
      <c r="L1155">
        <v>58.1</v>
      </c>
      <c r="M1155" t="s">
        <v>35</v>
      </c>
    </row>
    <row r="1156" spans="1:13" x14ac:dyDescent="0.3">
      <c r="A1156" t="s">
        <v>2443</v>
      </c>
      <c r="B1156" t="s">
        <v>705</v>
      </c>
      <c r="C1156" t="s">
        <v>397</v>
      </c>
      <c r="D1156" s="7" t="s">
        <v>2010</v>
      </c>
      <c r="E1156" t="s">
        <v>64</v>
      </c>
      <c r="F1156" t="s">
        <v>26</v>
      </c>
      <c r="G1156" t="s">
        <v>84</v>
      </c>
      <c r="H1156">
        <v>4</v>
      </c>
      <c r="I1156">
        <v>212.33</v>
      </c>
      <c r="J1156">
        <v>0.05</v>
      </c>
      <c r="K1156">
        <v>806.85</v>
      </c>
      <c r="L1156">
        <v>167</v>
      </c>
      <c r="M1156" t="s">
        <v>40</v>
      </c>
    </row>
    <row r="1157" spans="1:13" x14ac:dyDescent="0.3">
      <c r="A1157" t="s">
        <v>2444</v>
      </c>
      <c r="B1157" t="s">
        <v>464</v>
      </c>
      <c r="C1157" t="s">
        <v>2445</v>
      </c>
      <c r="D1157" s="7" t="s">
        <v>2381</v>
      </c>
      <c r="E1157" t="s">
        <v>59</v>
      </c>
      <c r="F1157" t="s">
        <v>33</v>
      </c>
      <c r="G1157" t="s">
        <v>74</v>
      </c>
      <c r="H1157">
        <v>7</v>
      </c>
      <c r="I1157">
        <v>203.62</v>
      </c>
      <c r="J1157">
        <v>0.15</v>
      </c>
      <c r="K1157">
        <v>1211.54</v>
      </c>
      <c r="L1157">
        <v>346.87</v>
      </c>
      <c r="M1157" t="s">
        <v>35</v>
      </c>
    </row>
    <row r="1158" spans="1:13" x14ac:dyDescent="0.3">
      <c r="A1158" t="s">
        <v>2446</v>
      </c>
      <c r="B1158" t="s">
        <v>2043</v>
      </c>
      <c r="C1158" t="s">
        <v>299</v>
      </c>
      <c r="D1158" s="7" t="s">
        <v>44</v>
      </c>
      <c r="E1158" t="s">
        <v>17</v>
      </c>
      <c r="F1158" t="s">
        <v>18</v>
      </c>
      <c r="G1158" t="s">
        <v>19</v>
      </c>
      <c r="H1158">
        <v>8</v>
      </c>
      <c r="I1158">
        <v>66.709999999999994</v>
      </c>
      <c r="J1158">
        <v>0.15</v>
      </c>
      <c r="K1158">
        <v>453.63</v>
      </c>
      <c r="L1158">
        <v>79.61</v>
      </c>
      <c r="M1158" t="s">
        <v>35</v>
      </c>
    </row>
    <row r="1159" spans="1:13" x14ac:dyDescent="0.3">
      <c r="A1159" t="s">
        <v>2447</v>
      </c>
      <c r="B1159" t="s">
        <v>1620</v>
      </c>
      <c r="C1159" t="s">
        <v>67</v>
      </c>
      <c r="D1159" s="7" t="s">
        <v>2372</v>
      </c>
      <c r="E1159" t="s">
        <v>59</v>
      </c>
      <c r="F1159" t="s">
        <v>33</v>
      </c>
      <c r="G1159" t="s">
        <v>34</v>
      </c>
      <c r="H1159">
        <v>2</v>
      </c>
      <c r="I1159">
        <v>39.5</v>
      </c>
      <c r="J1159">
        <v>0</v>
      </c>
      <c r="K1159">
        <v>79</v>
      </c>
      <c r="L1159">
        <v>13.1</v>
      </c>
      <c r="M1159" t="s">
        <v>40</v>
      </c>
    </row>
    <row r="1160" spans="1:13" x14ac:dyDescent="0.3">
      <c r="A1160" t="s">
        <v>2448</v>
      </c>
      <c r="B1160" t="s">
        <v>1465</v>
      </c>
      <c r="C1160" t="s">
        <v>1132</v>
      </c>
      <c r="D1160" s="7" t="s">
        <v>1481</v>
      </c>
      <c r="E1160" t="s">
        <v>64</v>
      </c>
      <c r="F1160" t="s">
        <v>89</v>
      </c>
      <c r="G1160" t="s">
        <v>131</v>
      </c>
      <c r="H1160">
        <v>5</v>
      </c>
      <c r="I1160">
        <v>90.08</v>
      </c>
      <c r="J1160">
        <v>0</v>
      </c>
      <c r="K1160">
        <v>450.4</v>
      </c>
      <c r="L1160">
        <v>74.53</v>
      </c>
      <c r="M1160" t="s">
        <v>35</v>
      </c>
    </row>
    <row r="1161" spans="1:13" x14ac:dyDescent="0.3">
      <c r="A1161" t="s">
        <v>2449</v>
      </c>
      <c r="B1161" t="s">
        <v>943</v>
      </c>
      <c r="C1161" t="s">
        <v>1968</v>
      </c>
      <c r="D1161" s="7" t="s">
        <v>376</v>
      </c>
      <c r="E1161" t="s">
        <v>59</v>
      </c>
      <c r="F1161" t="s">
        <v>26</v>
      </c>
      <c r="G1161" t="s">
        <v>84</v>
      </c>
      <c r="H1161">
        <v>5</v>
      </c>
      <c r="I1161">
        <v>188.09</v>
      </c>
      <c r="J1161">
        <v>0</v>
      </c>
      <c r="K1161">
        <v>940.45</v>
      </c>
      <c r="L1161">
        <v>268.88</v>
      </c>
      <c r="M1161" t="s">
        <v>40</v>
      </c>
    </row>
    <row r="1162" spans="1:13" x14ac:dyDescent="0.3">
      <c r="A1162" t="s">
        <v>2450</v>
      </c>
      <c r="B1162" t="s">
        <v>359</v>
      </c>
      <c r="C1162" t="s">
        <v>1679</v>
      </c>
      <c r="D1162" s="7" t="s">
        <v>1475</v>
      </c>
      <c r="E1162" t="s">
        <v>25</v>
      </c>
      <c r="F1162" t="s">
        <v>26</v>
      </c>
      <c r="G1162" t="s">
        <v>118</v>
      </c>
      <c r="H1162">
        <v>1</v>
      </c>
      <c r="I1162">
        <v>109.66</v>
      </c>
      <c r="J1162">
        <v>0</v>
      </c>
      <c r="K1162">
        <v>109.66</v>
      </c>
      <c r="L1162">
        <v>32.14</v>
      </c>
      <c r="M1162" t="s">
        <v>35</v>
      </c>
    </row>
    <row r="1163" spans="1:13" x14ac:dyDescent="0.3">
      <c r="A1163" t="s">
        <v>2451</v>
      </c>
      <c r="B1163" t="s">
        <v>81</v>
      </c>
      <c r="C1163" t="s">
        <v>2183</v>
      </c>
      <c r="D1163" s="7" t="s">
        <v>628</v>
      </c>
      <c r="E1163" t="s">
        <v>17</v>
      </c>
      <c r="F1163" t="s">
        <v>89</v>
      </c>
      <c r="G1163" t="s">
        <v>150</v>
      </c>
      <c r="H1163">
        <v>6</v>
      </c>
      <c r="I1163">
        <v>22.39</v>
      </c>
      <c r="J1163">
        <v>0.05</v>
      </c>
      <c r="K1163">
        <v>127.62</v>
      </c>
      <c r="L1163">
        <v>35.880000000000003</v>
      </c>
      <c r="M1163" t="s">
        <v>20</v>
      </c>
    </row>
    <row r="1164" spans="1:13" x14ac:dyDescent="0.3">
      <c r="A1164" t="s">
        <v>2452</v>
      </c>
      <c r="B1164" t="s">
        <v>450</v>
      </c>
      <c r="C1164" t="s">
        <v>1268</v>
      </c>
      <c r="D1164" s="7" t="s">
        <v>1594</v>
      </c>
      <c r="E1164" t="s">
        <v>59</v>
      </c>
      <c r="F1164" t="s">
        <v>33</v>
      </c>
      <c r="G1164" t="s">
        <v>50</v>
      </c>
      <c r="H1164">
        <v>8</v>
      </c>
      <c r="I1164">
        <v>33.4</v>
      </c>
      <c r="J1164">
        <v>0.05</v>
      </c>
      <c r="K1164">
        <v>253.84</v>
      </c>
      <c r="L1164">
        <v>40.869999999999997</v>
      </c>
      <c r="M1164" t="s">
        <v>40</v>
      </c>
    </row>
    <row r="1165" spans="1:13" x14ac:dyDescent="0.3">
      <c r="A1165" t="s">
        <v>2453</v>
      </c>
      <c r="B1165" t="s">
        <v>1418</v>
      </c>
      <c r="C1165" t="s">
        <v>961</v>
      </c>
      <c r="D1165" s="7" t="s">
        <v>2454</v>
      </c>
      <c r="E1165" t="s">
        <v>59</v>
      </c>
      <c r="F1165" t="s">
        <v>33</v>
      </c>
      <c r="G1165" t="s">
        <v>34</v>
      </c>
      <c r="H1165">
        <v>5</v>
      </c>
      <c r="I1165">
        <v>79.98</v>
      </c>
      <c r="J1165">
        <v>0.1</v>
      </c>
      <c r="K1165">
        <v>359.91</v>
      </c>
      <c r="L1165">
        <v>78.77</v>
      </c>
      <c r="M1165" t="s">
        <v>35</v>
      </c>
    </row>
    <row r="1166" spans="1:13" x14ac:dyDescent="0.3">
      <c r="A1166" t="s">
        <v>2455</v>
      </c>
      <c r="B1166" t="s">
        <v>1254</v>
      </c>
      <c r="C1166" t="s">
        <v>226</v>
      </c>
      <c r="D1166" s="7" t="s">
        <v>1022</v>
      </c>
      <c r="E1166" t="s">
        <v>32</v>
      </c>
      <c r="F1166" t="s">
        <v>33</v>
      </c>
      <c r="G1166" t="s">
        <v>69</v>
      </c>
      <c r="H1166">
        <v>6</v>
      </c>
      <c r="I1166">
        <v>125.85</v>
      </c>
      <c r="J1166">
        <v>0.1</v>
      </c>
      <c r="K1166">
        <v>679.59</v>
      </c>
      <c r="L1166">
        <v>106.87</v>
      </c>
      <c r="M1166" t="s">
        <v>35</v>
      </c>
    </row>
    <row r="1167" spans="1:13" x14ac:dyDescent="0.3">
      <c r="A1167" t="s">
        <v>2456</v>
      </c>
      <c r="B1167" t="s">
        <v>489</v>
      </c>
      <c r="C1167" t="s">
        <v>853</v>
      </c>
      <c r="D1167" s="7" t="s">
        <v>669</v>
      </c>
      <c r="E1167" t="s">
        <v>59</v>
      </c>
      <c r="F1167" t="s">
        <v>89</v>
      </c>
      <c r="G1167" t="s">
        <v>90</v>
      </c>
      <c r="H1167">
        <v>1</v>
      </c>
      <c r="I1167">
        <v>27.96</v>
      </c>
      <c r="J1167">
        <v>0.15</v>
      </c>
      <c r="K1167">
        <v>23.77</v>
      </c>
      <c r="L1167">
        <v>2.41</v>
      </c>
      <c r="M1167" t="s">
        <v>20</v>
      </c>
    </row>
    <row r="1168" spans="1:13" x14ac:dyDescent="0.3">
      <c r="A1168" t="s">
        <v>2457</v>
      </c>
      <c r="B1168" t="s">
        <v>2458</v>
      </c>
      <c r="C1168" t="s">
        <v>480</v>
      </c>
      <c r="D1168" s="7" t="s">
        <v>1479</v>
      </c>
      <c r="E1168" t="s">
        <v>17</v>
      </c>
      <c r="F1168" t="s">
        <v>26</v>
      </c>
      <c r="G1168" t="s">
        <v>118</v>
      </c>
      <c r="H1168">
        <v>3</v>
      </c>
      <c r="I1168">
        <v>200.11</v>
      </c>
      <c r="J1168">
        <v>0</v>
      </c>
      <c r="K1168">
        <v>600.33000000000004</v>
      </c>
      <c r="L1168">
        <v>116.06</v>
      </c>
      <c r="M1168" t="s">
        <v>35</v>
      </c>
    </row>
    <row r="1169" spans="1:13" x14ac:dyDescent="0.3">
      <c r="A1169" t="s">
        <v>2459</v>
      </c>
      <c r="B1169" t="s">
        <v>345</v>
      </c>
      <c r="C1169" t="s">
        <v>1092</v>
      </c>
      <c r="D1169" s="7" t="s">
        <v>157</v>
      </c>
      <c r="E1169" t="s">
        <v>64</v>
      </c>
      <c r="F1169" t="s">
        <v>26</v>
      </c>
      <c r="G1169" t="s">
        <v>27</v>
      </c>
      <c r="H1169">
        <v>6</v>
      </c>
      <c r="I1169">
        <v>212.4</v>
      </c>
      <c r="J1169">
        <v>0.15</v>
      </c>
      <c r="K1169">
        <v>1083.24</v>
      </c>
      <c r="L1169">
        <v>247.87</v>
      </c>
      <c r="M1169" t="s">
        <v>40</v>
      </c>
    </row>
    <row r="1170" spans="1:13" x14ac:dyDescent="0.3">
      <c r="A1170" t="s">
        <v>2460</v>
      </c>
      <c r="B1170" t="s">
        <v>523</v>
      </c>
      <c r="C1170" t="s">
        <v>1974</v>
      </c>
      <c r="D1170" s="7" t="s">
        <v>16</v>
      </c>
      <c r="E1170" t="s">
        <v>64</v>
      </c>
      <c r="F1170" t="s">
        <v>89</v>
      </c>
      <c r="G1170" t="s">
        <v>150</v>
      </c>
      <c r="H1170">
        <v>7</v>
      </c>
      <c r="I1170">
        <v>79.540000000000006</v>
      </c>
      <c r="J1170">
        <v>0</v>
      </c>
      <c r="K1170">
        <v>556.78</v>
      </c>
      <c r="L1170">
        <v>164</v>
      </c>
      <c r="M1170" t="s">
        <v>20</v>
      </c>
    </row>
    <row r="1171" spans="1:13" x14ac:dyDescent="0.3">
      <c r="A1171" t="s">
        <v>2461</v>
      </c>
      <c r="B1171" t="s">
        <v>86</v>
      </c>
      <c r="C1171" t="s">
        <v>152</v>
      </c>
      <c r="D1171" s="7" t="s">
        <v>2462</v>
      </c>
      <c r="E1171" t="s">
        <v>17</v>
      </c>
      <c r="F1171" t="s">
        <v>89</v>
      </c>
      <c r="G1171" t="s">
        <v>131</v>
      </c>
      <c r="H1171">
        <v>4</v>
      </c>
      <c r="I1171">
        <v>222.51</v>
      </c>
      <c r="J1171">
        <v>0</v>
      </c>
      <c r="K1171">
        <v>890.04</v>
      </c>
      <c r="L1171">
        <v>94.92</v>
      </c>
      <c r="M1171" t="s">
        <v>40</v>
      </c>
    </row>
    <row r="1172" spans="1:13" x14ac:dyDescent="0.3">
      <c r="A1172" t="s">
        <v>2463</v>
      </c>
      <c r="B1172" t="s">
        <v>203</v>
      </c>
      <c r="C1172" t="s">
        <v>1283</v>
      </c>
      <c r="D1172" s="7" t="s">
        <v>2002</v>
      </c>
      <c r="E1172" t="s">
        <v>32</v>
      </c>
      <c r="F1172" t="s">
        <v>33</v>
      </c>
      <c r="G1172" t="s">
        <v>34</v>
      </c>
      <c r="H1172">
        <v>2</v>
      </c>
      <c r="I1172">
        <v>164.54</v>
      </c>
      <c r="J1172">
        <v>0.15</v>
      </c>
      <c r="K1172">
        <v>279.72000000000003</v>
      </c>
      <c r="L1172">
        <v>81.25</v>
      </c>
      <c r="M1172" t="s">
        <v>35</v>
      </c>
    </row>
    <row r="1173" spans="1:13" x14ac:dyDescent="0.3">
      <c r="A1173" t="s">
        <v>2464</v>
      </c>
      <c r="B1173" t="s">
        <v>203</v>
      </c>
      <c r="C1173" t="s">
        <v>1646</v>
      </c>
      <c r="D1173" s="7" t="s">
        <v>816</v>
      </c>
      <c r="E1173" t="s">
        <v>59</v>
      </c>
      <c r="F1173" t="s">
        <v>89</v>
      </c>
      <c r="G1173" t="s">
        <v>90</v>
      </c>
      <c r="H1173">
        <v>4</v>
      </c>
      <c r="I1173">
        <v>155.63</v>
      </c>
      <c r="J1173">
        <v>0.1</v>
      </c>
      <c r="K1173">
        <v>560.27</v>
      </c>
      <c r="L1173">
        <v>53.76</v>
      </c>
      <c r="M1173" t="s">
        <v>35</v>
      </c>
    </row>
    <row r="1174" spans="1:13" x14ac:dyDescent="0.3">
      <c r="A1174" t="s">
        <v>2465</v>
      </c>
      <c r="B1174" t="s">
        <v>510</v>
      </c>
      <c r="C1174" t="s">
        <v>474</v>
      </c>
      <c r="D1174" s="7" t="s">
        <v>944</v>
      </c>
      <c r="E1174" t="s">
        <v>59</v>
      </c>
      <c r="F1174" t="s">
        <v>89</v>
      </c>
      <c r="G1174" t="s">
        <v>150</v>
      </c>
      <c r="H1174">
        <v>8</v>
      </c>
      <c r="I1174">
        <v>126.56</v>
      </c>
      <c r="J1174">
        <v>0</v>
      </c>
      <c r="K1174">
        <v>1012.48</v>
      </c>
      <c r="L1174">
        <v>245.1</v>
      </c>
      <c r="M1174" t="s">
        <v>35</v>
      </c>
    </row>
    <row r="1175" spans="1:13" x14ac:dyDescent="0.3">
      <c r="A1175" t="s">
        <v>2466</v>
      </c>
      <c r="B1175" t="s">
        <v>1358</v>
      </c>
      <c r="C1175" t="s">
        <v>1635</v>
      </c>
      <c r="D1175" s="7" t="s">
        <v>699</v>
      </c>
      <c r="E1175" t="s">
        <v>25</v>
      </c>
      <c r="F1175" t="s">
        <v>89</v>
      </c>
      <c r="G1175" t="s">
        <v>90</v>
      </c>
      <c r="H1175">
        <v>3</v>
      </c>
      <c r="I1175">
        <v>98.59</v>
      </c>
      <c r="J1175">
        <v>0.15</v>
      </c>
      <c r="K1175">
        <v>251.4</v>
      </c>
      <c r="L1175">
        <v>26.95</v>
      </c>
      <c r="M1175" t="s">
        <v>40</v>
      </c>
    </row>
    <row r="1176" spans="1:13" x14ac:dyDescent="0.3">
      <c r="A1176" t="s">
        <v>2467</v>
      </c>
      <c r="B1176" t="s">
        <v>793</v>
      </c>
      <c r="C1176" t="s">
        <v>2402</v>
      </c>
      <c r="D1176" s="7" t="s">
        <v>674</v>
      </c>
      <c r="E1176" t="s">
        <v>59</v>
      </c>
      <c r="F1176" t="s">
        <v>26</v>
      </c>
      <c r="G1176" t="s">
        <v>84</v>
      </c>
      <c r="H1176">
        <v>7</v>
      </c>
      <c r="I1176">
        <v>25.14</v>
      </c>
      <c r="J1176">
        <v>0.05</v>
      </c>
      <c r="K1176">
        <v>167.18</v>
      </c>
      <c r="L1176">
        <v>43.07</v>
      </c>
      <c r="M1176" t="s">
        <v>40</v>
      </c>
    </row>
    <row r="1177" spans="1:13" x14ac:dyDescent="0.3">
      <c r="A1177" t="s">
        <v>2468</v>
      </c>
      <c r="B1177" t="s">
        <v>1715</v>
      </c>
      <c r="C1177" t="s">
        <v>800</v>
      </c>
      <c r="D1177" s="7" t="s">
        <v>1718</v>
      </c>
      <c r="E1177" t="s">
        <v>64</v>
      </c>
      <c r="F1177" t="s">
        <v>89</v>
      </c>
      <c r="G1177" t="s">
        <v>150</v>
      </c>
      <c r="H1177">
        <v>1</v>
      </c>
      <c r="I1177">
        <v>246.12</v>
      </c>
      <c r="J1177">
        <v>0.15</v>
      </c>
      <c r="K1177">
        <v>209.2</v>
      </c>
      <c r="L1177">
        <v>49.11</v>
      </c>
      <c r="M1177" t="s">
        <v>35</v>
      </c>
    </row>
    <row r="1178" spans="1:13" x14ac:dyDescent="0.3">
      <c r="A1178" t="s">
        <v>2469</v>
      </c>
      <c r="B1178" t="s">
        <v>229</v>
      </c>
      <c r="C1178" t="s">
        <v>1094</v>
      </c>
      <c r="D1178" s="7" t="s">
        <v>1423</v>
      </c>
      <c r="E1178" t="s">
        <v>25</v>
      </c>
      <c r="F1178" t="s">
        <v>89</v>
      </c>
      <c r="G1178" t="s">
        <v>131</v>
      </c>
      <c r="H1178">
        <v>7</v>
      </c>
      <c r="I1178">
        <v>41.69</v>
      </c>
      <c r="J1178">
        <v>0.15</v>
      </c>
      <c r="K1178">
        <v>248.06</v>
      </c>
      <c r="L1178">
        <v>33.19</v>
      </c>
      <c r="M1178" t="s">
        <v>20</v>
      </c>
    </row>
    <row r="1179" spans="1:13" x14ac:dyDescent="0.3">
      <c r="A1179" t="s">
        <v>2470</v>
      </c>
      <c r="B1179" t="s">
        <v>1159</v>
      </c>
      <c r="C1179" t="s">
        <v>1978</v>
      </c>
      <c r="D1179" s="7" t="s">
        <v>373</v>
      </c>
      <c r="E1179" t="s">
        <v>59</v>
      </c>
      <c r="F1179" t="s">
        <v>26</v>
      </c>
      <c r="G1179" t="s">
        <v>27</v>
      </c>
      <c r="H1179">
        <v>8</v>
      </c>
      <c r="I1179">
        <v>205.56</v>
      </c>
      <c r="J1179">
        <v>0.05</v>
      </c>
      <c r="K1179">
        <v>1562.26</v>
      </c>
      <c r="L1179">
        <v>179.8</v>
      </c>
      <c r="M1179" t="s">
        <v>20</v>
      </c>
    </row>
    <row r="1180" spans="1:13" x14ac:dyDescent="0.3">
      <c r="A1180" t="s">
        <v>2471</v>
      </c>
      <c r="B1180" t="s">
        <v>1536</v>
      </c>
      <c r="C1180" t="s">
        <v>1971</v>
      </c>
      <c r="D1180" s="7" t="s">
        <v>2085</v>
      </c>
      <c r="E1180" t="s">
        <v>59</v>
      </c>
      <c r="F1180" t="s">
        <v>26</v>
      </c>
      <c r="G1180" t="s">
        <v>27</v>
      </c>
      <c r="H1180">
        <v>4</v>
      </c>
      <c r="I1180">
        <v>167.32</v>
      </c>
      <c r="J1180">
        <v>0.05</v>
      </c>
      <c r="K1180">
        <v>635.82000000000005</v>
      </c>
      <c r="L1180">
        <v>153.31</v>
      </c>
      <c r="M1180" t="s">
        <v>20</v>
      </c>
    </row>
    <row r="1181" spans="1:13" x14ac:dyDescent="0.3">
      <c r="A1181" t="s">
        <v>2472</v>
      </c>
      <c r="B1181" t="s">
        <v>1358</v>
      </c>
      <c r="C1181" t="s">
        <v>2473</v>
      </c>
      <c r="D1181" s="7" t="s">
        <v>1481</v>
      </c>
      <c r="E1181" t="s">
        <v>32</v>
      </c>
      <c r="F1181" t="s">
        <v>18</v>
      </c>
      <c r="G1181" t="s">
        <v>19</v>
      </c>
      <c r="H1181">
        <v>8</v>
      </c>
      <c r="I1181">
        <v>237.84</v>
      </c>
      <c r="J1181">
        <v>0</v>
      </c>
      <c r="K1181">
        <v>1902.72</v>
      </c>
      <c r="L1181">
        <v>419.69</v>
      </c>
      <c r="M1181" t="s">
        <v>20</v>
      </c>
    </row>
    <row r="1182" spans="1:13" x14ac:dyDescent="0.3">
      <c r="A1182" t="s">
        <v>2474</v>
      </c>
      <c r="B1182" t="s">
        <v>167</v>
      </c>
      <c r="C1182" t="s">
        <v>1003</v>
      </c>
      <c r="D1182" s="7" t="s">
        <v>113</v>
      </c>
      <c r="E1182" t="s">
        <v>59</v>
      </c>
      <c r="F1182" t="s">
        <v>89</v>
      </c>
      <c r="G1182" t="s">
        <v>150</v>
      </c>
      <c r="H1182">
        <v>8</v>
      </c>
      <c r="I1182">
        <v>198.98</v>
      </c>
      <c r="J1182">
        <v>0.1</v>
      </c>
      <c r="K1182">
        <v>1432.66</v>
      </c>
      <c r="L1182">
        <v>121.59</v>
      </c>
      <c r="M1182" t="s">
        <v>35</v>
      </c>
    </row>
    <row r="1183" spans="1:13" x14ac:dyDescent="0.3">
      <c r="A1183" t="s">
        <v>2475</v>
      </c>
      <c r="B1183" t="s">
        <v>432</v>
      </c>
      <c r="C1183" t="s">
        <v>2000</v>
      </c>
      <c r="D1183" s="7" t="s">
        <v>588</v>
      </c>
      <c r="E1183" t="s">
        <v>64</v>
      </c>
      <c r="F1183" t="s">
        <v>26</v>
      </c>
      <c r="G1183" t="s">
        <v>27</v>
      </c>
      <c r="H1183">
        <v>3</v>
      </c>
      <c r="I1183">
        <v>111.04</v>
      </c>
      <c r="J1183">
        <v>0.05</v>
      </c>
      <c r="K1183">
        <v>316.45999999999998</v>
      </c>
      <c r="L1183">
        <v>58.12</v>
      </c>
      <c r="M1183" t="s">
        <v>20</v>
      </c>
    </row>
    <row r="1184" spans="1:13" x14ac:dyDescent="0.3">
      <c r="A1184" t="s">
        <v>2476</v>
      </c>
      <c r="B1184" t="s">
        <v>701</v>
      </c>
      <c r="C1184" t="s">
        <v>2026</v>
      </c>
      <c r="D1184" s="7" t="s">
        <v>985</v>
      </c>
      <c r="E1184" t="s">
        <v>64</v>
      </c>
      <c r="F1184" t="s">
        <v>18</v>
      </c>
      <c r="G1184" t="s">
        <v>19</v>
      </c>
      <c r="H1184">
        <v>1</v>
      </c>
      <c r="I1184">
        <v>234.55</v>
      </c>
      <c r="J1184">
        <v>0.05</v>
      </c>
      <c r="K1184">
        <v>222.82</v>
      </c>
      <c r="L1184">
        <v>35.72</v>
      </c>
      <c r="M1184" t="s">
        <v>35</v>
      </c>
    </row>
    <row r="1185" spans="1:13" x14ac:dyDescent="0.3">
      <c r="A1185" t="s">
        <v>2477</v>
      </c>
      <c r="B1185" t="s">
        <v>2478</v>
      </c>
      <c r="C1185" t="s">
        <v>535</v>
      </c>
      <c r="D1185" s="7" t="s">
        <v>1553</v>
      </c>
      <c r="E1185" t="s">
        <v>64</v>
      </c>
      <c r="F1185" t="s">
        <v>26</v>
      </c>
      <c r="G1185" t="s">
        <v>84</v>
      </c>
      <c r="H1185">
        <v>4</v>
      </c>
      <c r="I1185">
        <v>140.04</v>
      </c>
      <c r="J1185">
        <v>0.15</v>
      </c>
      <c r="K1185">
        <v>476.14</v>
      </c>
      <c r="L1185">
        <v>106.34</v>
      </c>
      <c r="M1185" t="s">
        <v>35</v>
      </c>
    </row>
    <row r="1186" spans="1:13" x14ac:dyDescent="0.3">
      <c r="A1186" t="s">
        <v>2479</v>
      </c>
      <c r="B1186" t="s">
        <v>1418</v>
      </c>
      <c r="C1186" t="s">
        <v>1213</v>
      </c>
      <c r="D1186" s="7" t="s">
        <v>1067</v>
      </c>
      <c r="E1186" t="s">
        <v>32</v>
      </c>
      <c r="F1186" t="s">
        <v>18</v>
      </c>
      <c r="G1186" t="s">
        <v>45</v>
      </c>
      <c r="H1186">
        <v>3</v>
      </c>
      <c r="I1186">
        <v>47.78</v>
      </c>
      <c r="J1186">
        <v>0.1</v>
      </c>
      <c r="K1186">
        <v>129.01</v>
      </c>
      <c r="L1186">
        <v>32.83</v>
      </c>
      <c r="M1186" t="s">
        <v>35</v>
      </c>
    </row>
    <row r="1187" spans="1:13" x14ac:dyDescent="0.3">
      <c r="A1187" t="s">
        <v>2480</v>
      </c>
      <c r="B1187" t="s">
        <v>1956</v>
      </c>
      <c r="C1187" t="s">
        <v>863</v>
      </c>
      <c r="D1187" s="7" t="s">
        <v>1701</v>
      </c>
      <c r="E1187" t="s">
        <v>32</v>
      </c>
      <c r="F1187" t="s">
        <v>18</v>
      </c>
      <c r="G1187" t="s">
        <v>19</v>
      </c>
      <c r="H1187">
        <v>4</v>
      </c>
      <c r="I1187">
        <v>178.08</v>
      </c>
      <c r="J1187">
        <v>0.15</v>
      </c>
      <c r="K1187">
        <v>605.47</v>
      </c>
      <c r="L1187">
        <v>145.03</v>
      </c>
      <c r="M1187" t="s">
        <v>35</v>
      </c>
    </row>
    <row r="1188" spans="1:13" x14ac:dyDescent="0.3">
      <c r="A1188" t="s">
        <v>2481</v>
      </c>
      <c r="B1188" t="s">
        <v>1846</v>
      </c>
      <c r="C1188" t="s">
        <v>2482</v>
      </c>
      <c r="D1188" s="7" t="s">
        <v>1084</v>
      </c>
      <c r="E1188" t="s">
        <v>32</v>
      </c>
      <c r="F1188" t="s">
        <v>33</v>
      </c>
      <c r="G1188" t="s">
        <v>50</v>
      </c>
      <c r="H1188">
        <v>2</v>
      </c>
      <c r="I1188">
        <v>66.08</v>
      </c>
      <c r="J1188">
        <v>0.15</v>
      </c>
      <c r="K1188">
        <v>112.34</v>
      </c>
      <c r="L1188">
        <v>25.44</v>
      </c>
      <c r="M1188" t="s">
        <v>35</v>
      </c>
    </row>
    <row r="1189" spans="1:13" x14ac:dyDescent="0.3">
      <c r="A1189" t="s">
        <v>2483</v>
      </c>
      <c r="B1189" t="s">
        <v>1025</v>
      </c>
      <c r="C1189" t="s">
        <v>105</v>
      </c>
      <c r="D1189" s="7" t="s">
        <v>227</v>
      </c>
      <c r="E1189" t="s">
        <v>59</v>
      </c>
      <c r="F1189" t="s">
        <v>26</v>
      </c>
      <c r="G1189" t="s">
        <v>84</v>
      </c>
      <c r="H1189">
        <v>6</v>
      </c>
      <c r="I1189">
        <v>134.43</v>
      </c>
      <c r="J1189">
        <v>0.15</v>
      </c>
      <c r="K1189">
        <v>685.59</v>
      </c>
      <c r="L1189">
        <v>143.16999999999999</v>
      </c>
      <c r="M1189" t="s">
        <v>35</v>
      </c>
    </row>
    <row r="1190" spans="1:13" x14ac:dyDescent="0.3">
      <c r="A1190" t="s">
        <v>2484</v>
      </c>
      <c r="B1190" t="s">
        <v>1108</v>
      </c>
      <c r="C1190" t="s">
        <v>1305</v>
      </c>
      <c r="D1190" s="7" t="s">
        <v>1725</v>
      </c>
      <c r="E1190" t="s">
        <v>25</v>
      </c>
      <c r="F1190" t="s">
        <v>26</v>
      </c>
      <c r="G1190" t="s">
        <v>84</v>
      </c>
      <c r="H1190">
        <v>6</v>
      </c>
      <c r="I1190">
        <v>69.95</v>
      </c>
      <c r="J1190">
        <v>0.15</v>
      </c>
      <c r="K1190">
        <v>356.75</v>
      </c>
      <c r="L1190">
        <v>35.299999999999997</v>
      </c>
      <c r="M1190" t="s">
        <v>40</v>
      </c>
    </row>
    <row r="1191" spans="1:13" x14ac:dyDescent="0.3">
      <c r="A1191" t="s">
        <v>2485</v>
      </c>
      <c r="B1191" t="s">
        <v>1276</v>
      </c>
      <c r="C1191" t="s">
        <v>1411</v>
      </c>
      <c r="D1191" s="7" t="s">
        <v>927</v>
      </c>
      <c r="E1191" t="s">
        <v>17</v>
      </c>
      <c r="F1191" t="s">
        <v>89</v>
      </c>
      <c r="G1191" t="s">
        <v>131</v>
      </c>
      <c r="H1191">
        <v>2</v>
      </c>
      <c r="I1191">
        <v>98.26</v>
      </c>
      <c r="J1191">
        <v>0.05</v>
      </c>
      <c r="K1191">
        <v>186.69</v>
      </c>
      <c r="L1191">
        <v>28.04</v>
      </c>
      <c r="M1191" t="s">
        <v>20</v>
      </c>
    </row>
    <row r="1192" spans="1:13" x14ac:dyDescent="0.3">
      <c r="A1192" t="s">
        <v>2486</v>
      </c>
      <c r="B1192" t="s">
        <v>1124</v>
      </c>
      <c r="C1192" t="s">
        <v>838</v>
      </c>
      <c r="D1192" s="7" t="s">
        <v>1959</v>
      </c>
      <c r="E1192" t="s">
        <v>64</v>
      </c>
      <c r="F1192" t="s">
        <v>89</v>
      </c>
      <c r="G1192" t="s">
        <v>131</v>
      </c>
      <c r="H1192">
        <v>7</v>
      </c>
      <c r="I1192">
        <v>206.11</v>
      </c>
      <c r="J1192">
        <v>0</v>
      </c>
      <c r="K1192">
        <v>1442.77</v>
      </c>
      <c r="L1192">
        <v>365.07</v>
      </c>
      <c r="M1192" t="s">
        <v>35</v>
      </c>
    </row>
    <row r="1193" spans="1:13" x14ac:dyDescent="0.3">
      <c r="A1193" t="s">
        <v>2487</v>
      </c>
      <c r="B1193" t="s">
        <v>404</v>
      </c>
      <c r="C1193" t="s">
        <v>1523</v>
      </c>
      <c r="D1193" s="7" t="s">
        <v>2100</v>
      </c>
      <c r="E1193" t="s">
        <v>32</v>
      </c>
      <c r="F1193" t="s">
        <v>26</v>
      </c>
      <c r="G1193" t="s">
        <v>118</v>
      </c>
      <c r="H1193">
        <v>5</v>
      </c>
      <c r="I1193">
        <v>19.02</v>
      </c>
      <c r="J1193">
        <v>0.15</v>
      </c>
      <c r="K1193">
        <v>80.83</v>
      </c>
      <c r="L1193">
        <v>14.23</v>
      </c>
      <c r="M1193" t="s">
        <v>20</v>
      </c>
    </row>
    <row r="1194" spans="1:13" x14ac:dyDescent="0.3">
      <c r="A1194" t="s">
        <v>2488</v>
      </c>
      <c r="B1194" t="s">
        <v>810</v>
      </c>
      <c r="C1194" t="s">
        <v>831</v>
      </c>
      <c r="D1194" s="7" t="s">
        <v>68</v>
      </c>
      <c r="E1194" t="s">
        <v>17</v>
      </c>
      <c r="F1194" t="s">
        <v>26</v>
      </c>
      <c r="G1194" t="s">
        <v>84</v>
      </c>
      <c r="H1194">
        <v>7</v>
      </c>
      <c r="I1194">
        <v>79.52</v>
      </c>
      <c r="J1194">
        <v>0.1</v>
      </c>
      <c r="K1194">
        <v>500.98</v>
      </c>
      <c r="L1194">
        <v>139.88</v>
      </c>
      <c r="M1194" t="s">
        <v>20</v>
      </c>
    </row>
    <row r="1195" spans="1:13" x14ac:dyDescent="0.3">
      <c r="A1195" t="s">
        <v>2489</v>
      </c>
      <c r="B1195" t="s">
        <v>2490</v>
      </c>
      <c r="C1195" t="s">
        <v>224</v>
      </c>
      <c r="D1195" s="7" t="s">
        <v>2491</v>
      </c>
      <c r="E1195" t="s">
        <v>25</v>
      </c>
      <c r="F1195" t="s">
        <v>18</v>
      </c>
      <c r="G1195" t="s">
        <v>19</v>
      </c>
      <c r="H1195">
        <v>3</v>
      </c>
      <c r="I1195">
        <v>134.01</v>
      </c>
      <c r="J1195">
        <v>0.1</v>
      </c>
      <c r="K1195">
        <v>361.83</v>
      </c>
      <c r="L1195">
        <v>76.819999999999993</v>
      </c>
      <c r="M1195" t="s">
        <v>20</v>
      </c>
    </row>
    <row r="1196" spans="1:13" x14ac:dyDescent="0.3">
      <c r="A1196" t="s">
        <v>2492</v>
      </c>
      <c r="B1196" t="s">
        <v>915</v>
      </c>
      <c r="C1196" t="s">
        <v>160</v>
      </c>
      <c r="D1196" s="7" t="s">
        <v>1687</v>
      </c>
      <c r="E1196" t="s">
        <v>59</v>
      </c>
      <c r="F1196" t="s">
        <v>18</v>
      </c>
      <c r="G1196" t="s">
        <v>19</v>
      </c>
      <c r="H1196">
        <v>5</v>
      </c>
      <c r="I1196">
        <v>69.209999999999994</v>
      </c>
      <c r="J1196">
        <v>0</v>
      </c>
      <c r="K1196">
        <v>346.05</v>
      </c>
      <c r="L1196">
        <v>98.29</v>
      </c>
      <c r="M1196" t="s">
        <v>20</v>
      </c>
    </row>
    <row r="1197" spans="1:13" x14ac:dyDescent="0.3">
      <c r="A1197" t="s">
        <v>2493</v>
      </c>
      <c r="B1197" t="s">
        <v>1144</v>
      </c>
      <c r="C1197" t="s">
        <v>67</v>
      </c>
      <c r="D1197" s="7" t="s">
        <v>398</v>
      </c>
      <c r="E1197" t="s">
        <v>17</v>
      </c>
      <c r="F1197" t="s">
        <v>89</v>
      </c>
      <c r="G1197" t="s">
        <v>90</v>
      </c>
      <c r="H1197">
        <v>8</v>
      </c>
      <c r="I1197">
        <v>184.84</v>
      </c>
      <c r="J1197">
        <v>0.1</v>
      </c>
      <c r="K1197">
        <v>1330.85</v>
      </c>
      <c r="L1197">
        <v>398.67</v>
      </c>
      <c r="M1197" t="s">
        <v>40</v>
      </c>
    </row>
    <row r="1198" spans="1:13" x14ac:dyDescent="0.3">
      <c r="A1198" t="s">
        <v>2494</v>
      </c>
      <c r="B1198" t="s">
        <v>1657</v>
      </c>
      <c r="C1198" t="s">
        <v>1836</v>
      </c>
      <c r="D1198" s="7" t="s">
        <v>1053</v>
      </c>
      <c r="E1198" t="s">
        <v>25</v>
      </c>
      <c r="F1198" t="s">
        <v>33</v>
      </c>
      <c r="G1198" t="s">
        <v>34</v>
      </c>
      <c r="H1198">
        <v>5</v>
      </c>
      <c r="I1198">
        <v>148.81</v>
      </c>
      <c r="J1198">
        <v>0</v>
      </c>
      <c r="K1198">
        <v>744.05</v>
      </c>
      <c r="L1198">
        <v>216.1</v>
      </c>
      <c r="M1198" t="s">
        <v>35</v>
      </c>
    </row>
    <row r="1199" spans="1:13" x14ac:dyDescent="0.3">
      <c r="A1199" t="s">
        <v>2495</v>
      </c>
      <c r="B1199" t="s">
        <v>1267</v>
      </c>
      <c r="C1199" t="s">
        <v>1087</v>
      </c>
      <c r="D1199" s="7" t="s">
        <v>661</v>
      </c>
      <c r="E1199" t="s">
        <v>59</v>
      </c>
      <c r="F1199" t="s">
        <v>26</v>
      </c>
      <c r="G1199" t="s">
        <v>84</v>
      </c>
      <c r="H1199">
        <v>5</v>
      </c>
      <c r="I1199">
        <v>48.08</v>
      </c>
      <c r="J1199">
        <v>0.1</v>
      </c>
      <c r="K1199">
        <v>216.36</v>
      </c>
      <c r="L1199">
        <v>59.58</v>
      </c>
      <c r="M1199" t="s">
        <v>20</v>
      </c>
    </row>
    <row r="1200" spans="1:13" x14ac:dyDescent="0.3">
      <c r="A1200" t="s">
        <v>2496</v>
      </c>
      <c r="B1200" t="s">
        <v>523</v>
      </c>
      <c r="C1200" t="s">
        <v>1069</v>
      </c>
      <c r="D1200" s="7" t="s">
        <v>2068</v>
      </c>
      <c r="E1200" t="s">
        <v>32</v>
      </c>
      <c r="F1200" t="s">
        <v>18</v>
      </c>
      <c r="G1200" t="s">
        <v>19</v>
      </c>
      <c r="H1200">
        <v>3</v>
      </c>
      <c r="I1200">
        <v>184.56</v>
      </c>
      <c r="J1200">
        <v>0</v>
      </c>
      <c r="K1200">
        <v>553.67999999999995</v>
      </c>
      <c r="L1200">
        <v>111.43</v>
      </c>
      <c r="M1200" t="s">
        <v>40</v>
      </c>
    </row>
    <row r="1201" spans="1:13" x14ac:dyDescent="0.3">
      <c r="A1201" t="s">
        <v>2497</v>
      </c>
      <c r="B1201" t="s">
        <v>798</v>
      </c>
      <c r="C1201" t="s">
        <v>2498</v>
      </c>
      <c r="D1201" s="7" t="s">
        <v>292</v>
      </c>
      <c r="E1201" t="s">
        <v>17</v>
      </c>
      <c r="F1201" t="s">
        <v>89</v>
      </c>
      <c r="G1201" t="s">
        <v>90</v>
      </c>
      <c r="H1201">
        <v>1</v>
      </c>
      <c r="I1201">
        <v>178.04</v>
      </c>
      <c r="J1201">
        <v>0.05</v>
      </c>
      <c r="K1201">
        <v>169.14</v>
      </c>
      <c r="L1201">
        <v>27.42</v>
      </c>
      <c r="M1201" t="s">
        <v>40</v>
      </c>
    </row>
    <row r="1202" spans="1:13" x14ac:dyDescent="0.3">
      <c r="A1202" t="s">
        <v>2499</v>
      </c>
      <c r="B1202" t="s">
        <v>2500</v>
      </c>
      <c r="C1202" t="s">
        <v>853</v>
      </c>
      <c r="D1202" s="7" t="s">
        <v>78</v>
      </c>
      <c r="E1202" t="s">
        <v>17</v>
      </c>
      <c r="F1202" t="s">
        <v>26</v>
      </c>
      <c r="G1202" t="s">
        <v>84</v>
      </c>
      <c r="H1202">
        <v>8</v>
      </c>
      <c r="I1202">
        <v>143.59</v>
      </c>
      <c r="J1202">
        <v>0.1</v>
      </c>
      <c r="K1202">
        <v>1033.8499999999999</v>
      </c>
      <c r="L1202">
        <v>213.58</v>
      </c>
      <c r="M1202" t="s">
        <v>20</v>
      </c>
    </row>
    <row r="1203" spans="1:13" x14ac:dyDescent="0.3">
      <c r="A1203" t="s">
        <v>2501</v>
      </c>
      <c r="B1203" t="s">
        <v>1720</v>
      </c>
      <c r="C1203" t="s">
        <v>1532</v>
      </c>
      <c r="D1203" s="7" t="s">
        <v>2502</v>
      </c>
      <c r="E1203" t="s">
        <v>64</v>
      </c>
      <c r="F1203" t="s">
        <v>33</v>
      </c>
      <c r="G1203" t="s">
        <v>69</v>
      </c>
      <c r="H1203">
        <v>4</v>
      </c>
      <c r="I1203">
        <v>129.18</v>
      </c>
      <c r="J1203">
        <v>0.05</v>
      </c>
      <c r="K1203">
        <v>490.88</v>
      </c>
      <c r="L1203">
        <v>146.11000000000001</v>
      </c>
      <c r="M1203" t="s">
        <v>20</v>
      </c>
    </row>
    <row r="1204" spans="1:13" x14ac:dyDescent="0.3">
      <c r="A1204" t="s">
        <v>2503</v>
      </c>
      <c r="B1204" t="s">
        <v>2504</v>
      </c>
      <c r="C1204" t="s">
        <v>221</v>
      </c>
      <c r="D1204" s="7" t="s">
        <v>2271</v>
      </c>
      <c r="E1204" t="s">
        <v>64</v>
      </c>
      <c r="F1204" t="s">
        <v>26</v>
      </c>
      <c r="G1204" t="s">
        <v>27</v>
      </c>
      <c r="H1204">
        <v>8</v>
      </c>
      <c r="I1204">
        <v>247.42</v>
      </c>
      <c r="J1204">
        <v>0.05</v>
      </c>
      <c r="K1204">
        <v>1880.39</v>
      </c>
      <c r="L1204">
        <v>229.75</v>
      </c>
      <c r="M1204" t="s">
        <v>20</v>
      </c>
    </row>
    <row r="1205" spans="1:13" x14ac:dyDescent="0.3">
      <c r="A1205" t="s">
        <v>2505</v>
      </c>
      <c r="B1205" t="s">
        <v>1037</v>
      </c>
      <c r="C1205" t="s">
        <v>339</v>
      </c>
      <c r="D1205" s="7" t="s">
        <v>212</v>
      </c>
      <c r="E1205" t="s">
        <v>25</v>
      </c>
      <c r="F1205" t="s">
        <v>33</v>
      </c>
      <c r="G1205" t="s">
        <v>74</v>
      </c>
      <c r="H1205">
        <v>3</v>
      </c>
      <c r="I1205">
        <v>224.51</v>
      </c>
      <c r="J1205">
        <v>0.05</v>
      </c>
      <c r="K1205">
        <v>639.85</v>
      </c>
      <c r="L1205">
        <v>181.35</v>
      </c>
      <c r="M1205" t="s">
        <v>35</v>
      </c>
    </row>
    <row r="1206" spans="1:13" x14ac:dyDescent="0.3">
      <c r="A1206" t="s">
        <v>2506</v>
      </c>
      <c r="B1206" t="s">
        <v>749</v>
      </c>
      <c r="C1206" t="s">
        <v>930</v>
      </c>
      <c r="D1206" s="7" t="s">
        <v>1047</v>
      </c>
      <c r="E1206" t="s">
        <v>32</v>
      </c>
      <c r="F1206" t="s">
        <v>18</v>
      </c>
      <c r="G1206" t="s">
        <v>79</v>
      </c>
      <c r="H1206">
        <v>1</v>
      </c>
      <c r="I1206">
        <v>222.26</v>
      </c>
      <c r="J1206">
        <v>0.05</v>
      </c>
      <c r="K1206">
        <v>211.15</v>
      </c>
      <c r="L1206">
        <v>29.93</v>
      </c>
      <c r="M1206" t="s">
        <v>20</v>
      </c>
    </row>
    <row r="1207" spans="1:13" x14ac:dyDescent="0.3">
      <c r="A1207" t="s">
        <v>2507</v>
      </c>
      <c r="B1207" t="s">
        <v>96</v>
      </c>
      <c r="C1207" t="s">
        <v>921</v>
      </c>
      <c r="D1207" s="7" t="s">
        <v>1056</v>
      </c>
      <c r="E1207" t="s">
        <v>64</v>
      </c>
      <c r="F1207" t="s">
        <v>89</v>
      </c>
      <c r="G1207" t="s">
        <v>150</v>
      </c>
      <c r="H1207">
        <v>8</v>
      </c>
      <c r="I1207">
        <v>30.37</v>
      </c>
      <c r="J1207">
        <v>0.1</v>
      </c>
      <c r="K1207">
        <v>218.66</v>
      </c>
      <c r="L1207">
        <v>25.9</v>
      </c>
      <c r="M1207" t="s">
        <v>40</v>
      </c>
    </row>
    <row r="1208" spans="1:13" x14ac:dyDescent="0.3">
      <c r="A1208" t="s">
        <v>2508</v>
      </c>
      <c r="B1208" t="s">
        <v>191</v>
      </c>
      <c r="C1208" t="s">
        <v>807</v>
      </c>
      <c r="D1208" s="7" t="s">
        <v>498</v>
      </c>
      <c r="E1208" t="s">
        <v>64</v>
      </c>
      <c r="F1208" t="s">
        <v>26</v>
      </c>
      <c r="G1208" t="s">
        <v>118</v>
      </c>
      <c r="H1208">
        <v>2</v>
      </c>
      <c r="I1208">
        <v>201.56</v>
      </c>
      <c r="J1208">
        <v>0.05</v>
      </c>
      <c r="K1208">
        <v>382.96</v>
      </c>
      <c r="L1208">
        <v>66.45</v>
      </c>
      <c r="M1208" t="s">
        <v>20</v>
      </c>
    </row>
    <row r="1209" spans="1:13" x14ac:dyDescent="0.3">
      <c r="A1209" t="s">
        <v>2509</v>
      </c>
      <c r="B1209" t="s">
        <v>1557</v>
      </c>
      <c r="C1209" t="s">
        <v>1090</v>
      </c>
      <c r="D1209" s="7" t="s">
        <v>1103</v>
      </c>
      <c r="E1209" t="s">
        <v>59</v>
      </c>
      <c r="F1209" t="s">
        <v>33</v>
      </c>
      <c r="G1209" t="s">
        <v>50</v>
      </c>
      <c r="H1209">
        <v>6</v>
      </c>
      <c r="I1209">
        <v>214.31</v>
      </c>
      <c r="J1209">
        <v>0.1</v>
      </c>
      <c r="K1209">
        <v>1157.27</v>
      </c>
      <c r="L1209">
        <v>267.76</v>
      </c>
      <c r="M1209" t="s">
        <v>35</v>
      </c>
    </row>
    <row r="1210" spans="1:13" x14ac:dyDescent="0.3">
      <c r="A1210" t="s">
        <v>2510</v>
      </c>
      <c r="B1210" t="s">
        <v>1101</v>
      </c>
      <c r="C1210" t="s">
        <v>1166</v>
      </c>
      <c r="D1210" s="7" t="s">
        <v>2020</v>
      </c>
      <c r="E1210" t="s">
        <v>59</v>
      </c>
      <c r="F1210" t="s">
        <v>33</v>
      </c>
      <c r="G1210" t="s">
        <v>74</v>
      </c>
      <c r="H1210">
        <v>5</v>
      </c>
      <c r="I1210">
        <v>22.14</v>
      </c>
      <c r="J1210">
        <v>0</v>
      </c>
      <c r="K1210">
        <v>110.7</v>
      </c>
      <c r="L1210">
        <v>9.23</v>
      </c>
      <c r="M1210" t="s">
        <v>40</v>
      </c>
    </row>
    <row r="1211" spans="1:13" x14ac:dyDescent="0.3">
      <c r="A1211" t="s">
        <v>2511</v>
      </c>
      <c r="B1211" t="s">
        <v>2512</v>
      </c>
      <c r="C1211" t="s">
        <v>2513</v>
      </c>
      <c r="D1211" s="7" t="s">
        <v>1295</v>
      </c>
      <c r="E1211" t="s">
        <v>32</v>
      </c>
      <c r="F1211" t="s">
        <v>33</v>
      </c>
      <c r="G1211" t="s">
        <v>50</v>
      </c>
      <c r="H1211">
        <v>7</v>
      </c>
      <c r="I1211">
        <v>133.69999999999999</v>
      </c>
      <c r="J1211">
        <v>0</v>
      </c>
      <c r="K1211">
        <v>935.9</v>
      </c>
      <c r="L1211">
        <v>184.14</v>
      </c>
      <c r="M1211" t="s">
        <v>35</v>
      </c>
    </row>
    <row r="1212" spans="1:13" x14ac:dyDescent="0.3">
      <c r="A1212" t="s">
        <v>2514</v>
      </c>
      <c r="B1212" t="s">
        <v>653</v>
      </c>
      <c r="C1212" t="s">
        <v>332</v>
      </c>
      <c r="D1212" s="7" t="s">
        <v>2515</v>
      </c>
      <c r="E1212" t="s">
        <v>17</v>
      </c>
      <c r="F1212" t="s">
        <v>89</v>
      </c>
      <c r="G1212" t="s">
        <v>131</v>
      </c>
      <c r="H1212">
        <v>6</v>
      </c>
      <c r="I1212">
        <v>119.59</v>
      </c>
      <c r="J1212">
        <v>0.1</v>
      </c>
      <c r="K1212">
        <v>645.79</v>
      </c>
      <c r="L1212">
        <v>122.01</v>
      </c>
      <c r="M1212" t="s">
        <v>35</v>
      </c>
    </row>
    <row r="1213" spans="1:13" x14ac:dyDescent="0.3">
      <c r="A1213" t="s">
        <v>2516</v>
      </c>
      <c r="B1213" t="s">
        <v>500</v>
      </c>
      <c r="C1213" t="s">
        <v>1178</v>
      </c>
      <c r="D1213" s="7" t="s">
        <v>240</v>
      </c>
      <c r="E1213" t="s">
        <v>32</v>
      </c>
      <c r="F1213" t="s">
        <v>18</v>
      </c>
      <c r="G1213" t="s">
        <v>79</v>
      </c>
      <c r="H1213">
        <v>3</v>
      </c>
      <c r="I1213">
        <v>94.52</v>
      </c>
      <c r="J1213">
        <v>0</v>
      </c>
      <c r="K1213">
        <v>283.56</v>
      </c>
      <c r="L1213">
        <v>64.13</v>
      </c>
      <c r="M1213" t="s">
        <v>35</v>
      </c>
    </row>
    <row r="1214" spans="1:13" x14ac:dyDescent="0.3">
      <c r="A1214" t="s">
        <v>2517</v>
      </c>
      <c r="B1214" t="s">
        <v>626</v>
      </c>
      <c r="C1214" t="s">
        <v>444</v>
      </c>
      <c r="D1214" s="7" t="s">
        <v>634</v>
      </c>
      <c r="E1214" t="s">
        <v>32</v>
      </c>
      <c r="F1214" t="s">
        <v>33</v>
      </c>
      <c r="G1214" t="s">
        <v>34</v>
      </c>
      <c r="H1214">
        <v>4</v>
      </c>
      <c r="I1214">
        <v>31.86</v>
      </c>
      <c r="J1214">
        <v>0.1</v>
      </c>
      <c r="K1214">
        <v>114.7</v>
      </c>
      <c r="L1214">
        <v>21.98</v>
      </c>
      <c r="M1214" t="s">
        <v>20</v>
      </c>
    </row>
    <row r="1215" spans="1:13" x14ac:dyDescent="0.3">
      <c r="A1215" t="s">
        <v>2518</v>
      </c>
      <c r="B1215" t="s">
        <v>1581</v>
      </c>
      <c r="C1215" t="s">
        <v>43</v>
      </c>
      <c r="D1215" s="7" t="s">
        <v>784</v>
      </c>
      <c r="E1215" t="s">
        <v>17</v>
      </c>
      <c r="F1215" t="s">
        <v>89</v>
      </c>
      <c r="G1215" t="s">
        <v>150</v>
      </c>
      <c r="H1215">
        <v>5</v>
      </c>
      <c r="I1215">
        <v>83.7</v>
      </c>
      <c r="J1215">
        <v>0.15</v>
      </c>
      <c r="K1215">
        <v>355.72</v>
      </c>
      <c r="L1215">
        <v>58.49</v>
      </c>
      <c r="M1215" t="s">
        <v>20</v>
      </c>
    </row>
    <row r="1216" spans="1:13" x14ac:dyDescent="0.3">
      <c r="A1216" t="s">
        <v>2519</v>
      </c>
      <c r="B1216" t="s">
        <v>1703</v>
      </c>
      <c r="C1216" t="s">
        <v>1092</v>
      </c>
      <c r="D1216" s="7" t="s">
        <v>1463</v>
      </c>
      <c r="E1216" t="s">
        <v>17</v>
      </c>
      <c r="F1216" t="s">
        <v>26</v>
      </c>
      <c r="G1216" t="s">
        <v>118</v>
      </c>
      <c r="H1216">
        <v>8</v>
      </c>
      <c r="I1216">
        <v>97.32</v>
      </c>
      <c r="J1216">
        <v>0.1</v>
      </c>
      <c r="K1216">
        <v>700.7</v>
      </c>
      <c r="L1216">
        <v>135.26</v>
      </c>
      <c r="M1216" t="s">
        <v>20</v>
      </c>
    </row>
    <row r="1217" spans="1:13" x14ac:dyDescent="0.3">
      <c r="A1217" t="s">
        <v>2520</v>
      </c>
      <c r="B1217" t="s">
        <v>22</v>
      </c>
      <c r="C1217" t="s">
        <v>192</v>
      </c>
      <c r="D1217" s="7" t="s">
        <v>466</v>
      </c>
      <c r="E1217" t="s">
        <v>59</v>
      </c>
      <c r="F1217" t="s">
        <v>33</v>
      </c>
      <c r="G1217" t="s">
        <v>50</v>
      </c>
      <c r="H1217">
        <v>5</v>
      </c>
      <c r="I1217">
        <v>37.83</v>
      </c>
      <c r="J1217">
        <v>0.1</v>
      </c>
      <c r="K1217">
        <v>170.23</v>
      </c>
      <c r="L1217">
        <v>42.96</v>
      </c>
      <c r="M1217" t="s">
        <v>20</v>
      </c>
    </row>
    <row r="1218" spans="1:13" x14ac:dyDescent="0.3">
      <c r="A1218" t="s">
        <v>2521</v>
      </c>
      <c r="B1218" t="s">
        <v>1049</v>
      </c>
      <c r="C1218" t="s">
        <v>2522</v>
      </c>
      <c r="D1218" s="7" t="s">
        <v>2413</v>
      </c>
      <c r="E1218" t="s">
        <v>64</v>
      </c>
      <c r="F1218" t="s">
        <v>33</v>
      </c>
      <c r="G1218" t="s">
        <v>50</v>
      </c>
      <c r="H1218">
        <v>8</v>
      </c>
      <c r="I1218">
        <v>139.15</v>
      </c>
      <c r="J1218">
        <v>0.15</v>
      </c>
      <c r="K1218">
        <v>946.22</v>
      </c>
      <c r="L1218">
        <v>90.47</v>
      </c>
      <c r="M1218" t="s">
        <v>35</v>
      </c>
    </row>
    <row r="1219" spans="1:13" x14ac:dyDescent="0.3">
      <c r="A1219" t="s">
        <v>2523</v>
      </c>
      <c r="B1219" t="s">
        <v>1025</v>
      </c>
      <c r="C1219" t="s">
        <v>555</v>
      </c>
      <c r="D1219" s="7" t="s">
        <v>1149</v>
      </c>
      <c r="E1219" t="s">
        <v>64</v>
      </c>
      <c r="F1219" t="s">
        <v>26</v>
      </c>
      <c r="G1219" t="s">
        <v>84</v>
      </c>
      <c r="H1219">
        <v>1</v>
      </c>
      <c r="I1219">
        <v>46.11</v>
      </c>
      <c r="J1219">
        <v>0.15</v>
      </c>
      <c r="K1219">
        <v>39.19</v>
      </c>
      <c r="L1219">
        <v>5.25</v>
      </c>
      <c r="M1219" t="s">
        <v>35</v>
      </c>
    </row>
    <row r="1220" spans="1:13" x14ac:dyDescent="0.3">
      <c r="A1220" t="s">
        <v>2524</v>
      </c>
      <c r="B1220" t="s">
        <v>686</v>
      </c>
      <c r="C1220" t="s">
        <v>1558</v>
      </c>
      <c r="D1220" s="7" t="s">
        <v>695</v>
      </c>
      <c r="E1220" t="s">
        <v>59</v>
      </c>
      <c r="F1220" t="s">
        <v>26</v>
      </c>
      <c r="G1220" t="s">
        <v>27</v>
      </c>
      <c r="H1220">
        <v>4</v>
      </c>
      <c r="I1220">
        <v>136.82</v>
      </c>
      <c r="J1220">
        <v>0</v>
      </c>
      <c r="K1220">
        <v>547.28</v>
      </c>
      <c r="L1220">
        <v>68.89</v>
      </c>
      <c r="M1220" t="s">
        <v>40</v>
      </c>
    </row>
    <row r="1221" spans="1:13" x14ac:dyDescent="0.3">
      <c r="A1221" t="s">
        <v>2525</v>
      </c>
      <c r="B1221" t="s">
        <v>100</v>
      </c>
      <c r="C1221" t="s">
        <v>1230</v>
      </c>
      <c r="D1221" s="7" t="s">
        <v>2078</v>
      </c>
      <c r="E1221" t="s">
        <v>59</v>
      </c>
      <c r="F1221" t="s">
        <v>26</v>
      </c>
      <c r="G1221" t="s">
        <v>27</v>
      </c>
      <c r="H1221">
        <v>5</v>
      </c>
      <c r="I1221">
        <v>101.46</v>
      </c>
      <c r="J1221">
        <v>0.05</v>
      </c>
      <c r="K1221">
        <v>481.93</v>
      </c>
      <c r="L1221">
        <v>89.58</v>
      </c>
      <c r="M1221" t="s">
        <v>40</v>
      </c>
    </row>
    <row r="1222" spans="1:13" x14ac:dyDescent="0.3">
      <c r="A1222" t="s">
        <v>2526</v>
      </c>
      <c r="B1222" t="s">
        <v>616</v>
      </c>
      <c r="C1222" t="s">
        <v>2120</v>
      </c>
      <c r="D1222" s="7" t="s">
        <v>612</v>
      </c>
      <c r="E1222" t="s">
        <v>25</v>
      </c>
      <c r="F1222" t="s">
        <v>89</v>
      </c>
      <c r="G1222" t="s">
        <v>131</v>
      </c>
      <c r="H1222">
        <v>3</v>
      </c>
      <c r="I1222">
        <v>168.1</v>
      </c>
      <c r="J1222">
        <v>0</v>
      </c>
      <c r="K1222">
        <v>504.3</v>
      </c>
      <c r="L1222">
        <v>94.03</v>
      </c>
      <c r="M1222" t="s">
        <v>40</v>
      </c>
    </row>
    <row r="1223" spans="1:13" x14ac:dyDescent="0.3">
      <c r="A1223" t="s">
        <v>2527</v>
      </c>
      <c r="B1223" t="s">
        <v>1124</v>
      </c>
      <c r="C1223" t="s">
        <v>1195</v>
      </c>
      <c r="D1223" s="7" t="s">
        <v>1182</v>
      </c>
      <c r="E1223" t="s">
        <v>64</v>
      </c>
      <c r="F1223" t="s">
        <v>26</v>
      </c>
      <c r="G1223" t="s">
        <v>84</v>
      </c>
      <c r="H1223">
        <v>3</v>
      </c>
      <c r="I1223">
        <v>181.68</v>
      </c>
      <c r="J1223">
        <v>0.15</v>
      </c>
      <c r="K1223">
        <v>463.28</v>
      </c>
      <c r="L1223">
        <v>119.34</v>
      </c>
      <c r="M1223" t="s">
        <v>40</v>
      </c>
    </row>
    <row r="1224" spans="1:13" x14ac:dyDescent="0.3">
      <c r="A1224" t="s">
        <v>2528</v>
      </c>
      <c r="B1224" t="s">
        <v>749</v>
      </c>
      <c r="C1224" t="s">
        <v>834</v>
      </c>
      <c r="D1224" s="7" t="s">
        <v>254</v>
      </c>
      <c r="E1224" t="s">
        <v>17</v>
      </c>
      <c r="F1224" t="s">
        <v>33</v>
      </c>
      <c r="G1224" t="s">
        <v>74</v>
      </c>
      <c r="H1224">
        <v>1</v>
      </c>
      <c r="I1224">
        <v>120.8</v>
      </c>
      <c r="J1224">
        <v>0</v>
      </c>
      <c r="K1224">
        <v>120.8</v>
      </c>
      <c r="L1224">
        <v>22.93</v>
      </c>
      <c r="M1224" t="s">
        <v>40</v>
      </c>
    </row>
    <row r="1225" spans="1:13" x14ac:dyDescent="0.3">
      <c r="A1225" t="s">
        <v>2529</v>
      </c>
      <c r="B1225" t="s">
        <v>1609</v>
      </c>
      <c r="C1225" t="s">
        <v>1978</v>
      </c>
      <c r="D1225" s="7" t="s">
        <v>63</v>
      </c>
      <c r="E1225" t="s">
        <v>17</v>
      </c>
      <c r="F1225" t="s">
        <v>89</v>
      </c>
      <c r="G1225" t="s">
        <v>131</v>
      </c>
      <c r="H1225">
        <v>8</v>
      </c>
      <c r="I1225">
        <v>55.29</v>
      </c>
      <c r="J1225">
        <v>0.1</v>
      </c>
      <c r="K1225">
        <v>398.09</v>
      </c>
      <c r="L1225">
        <v>48.21</v>
      </c>
      <c r="M1225" t="s">
        <v>40</v>
      </c>
    </row>
    <row r="1226" spans="1:13" x14ac:dyDescent="0.3">
      <c r="A1226" t="s">
        <v>2530</v>
      </c>
      <c r="B1226" t="s">
        <v>1037</v>
      </c>
      <c r="C1226" t="s">
        <v>1181</v>
      </c>
      <c r="D1226" s="7" t="s">
        <v>135</v>
      </c>
      <c r="E1226" t="s">
        <v>32</v>
      </c>
      <c r="F1226" t="s">
        <v>33</v>
      </c>
      <c r="G1226" t="s">
        <v>34</v>
      </c>
      <c r="H1226">
        <v>2</v>
      </c>
      <c r="I1226">
        <v>184.2</v>
      </c>
      <c r="J1226">
        <v>0.05</v>
      </c>
      <c r="K1226">
        <v>349.98</v>
      </c>
      <c r="L1226">
        <v>99.28</v>
      </c>
      <c r="M1226" t="s">
        <v>20</v>
      </c>
    </row>
    <row r="1227" spans="1:13" x14ac:dyDescent="0.3">
      <c r="A1227" t="s">
        <v>2531</v>
      </c>
      <c r="B1227" t="s">
        <v>1226</v>
      </c>
      <c r="C1227" t="s">
        <v>863</v>
      </c>
      <c r="D1227" s="7" t="s">
        <v>1323</v>
      </c>
      <c r="E1227" t="s">
        <v>17</v>
      </c>
      <c r="F1227" t="s">
        <v>33</v>
      </c>
      <c r="G1227" t="s">
        <v>69</v>
      </c>
      <c r="H1227">
        <v>3</v>
      </c>
      <c r="I1227">
        <v>248.12</v>
      </c>
      <c r="J1227">
        <v>0.15</v>
      </c>
      <c r="K1227">
        <v>632.71</v>
      </c>
      <c r="L1227">
        <v>152.63999999999999</v>
      </c>
      <c r="M1227" t="s">
        <v>35</v>
      </c>
    </row>
    <row r="1228" spans="1:13" x14ac:dyDescent="0.3">
      <c r="A1228" t="s">
        <v>2532</v>
      </c>
      <c r="B1228" t="s">
        <v>882</v>
      </c>
      <c r="C1228" t="s">
        <v>1888</v>
      </c>
      <c r="D1228" s="7" t="s">
        <v>1295</v>
      </c>
      <c r="E1228" t="s">
        <v>25</v>
      </c>
      <c r="F1228" t="s">
        <v>89</v>
      </c>
      <c r="G1228" t="s">
        <v>90</v>
      </c>
      <c r="H1228">
        <v>7</v>
      </c>
      <c r="I1228">
        <v>110.01</v>
      </c>
      <c r="J1228">
        <v>0.1</v>
      </c>
      <c r="K1228">
        <v>693.06</v>
      </c>
      <c r="L1228">
        <v>58.24</v>
      </c>
      <c r="M1228" t="s">
        <v>35</v>
      </c>
    </row>
    <row r="1229" spans="1:13" x14ac:dyDescent="0.3">
      <c r="A1229" t="s">
        <v>2533</v>
      </c>
      <c r="B1229" t="s">
        <v>1352</v>
      </c>
      <c r="C1229" t="s">
        <v>1090</v>
      </c>
      <c r="D1229" s="7" t="s">
        <v>1455</v>
      </c>
      <c r="E1229" t="s">
        <v>59</v>
      </c>
      <c r="F1229" t="s">
        <v>33</v>
      </c>
      <c r="G1229" t="s">
        <v>34</v>
      </c>
      <c r="H1229">
        <v>7</v>
      </c>
      <c r="I1229">
        <v>142.21</v>
      </c>
      <c r="J1229">
        <v>0.15</v>
      </c>
      <c r="K1229">
        <v>846.15</v>
      </c>
      <c r="L1229">
        <v>159.44</v>
      </c>
      <c r="M1229" t="s">
        <v>40</v>
      </c>
    </row>
    <row r="1230" spans="1:13" x14ac:dyDescent="0.3">
      <c r="A1230" t="s">
        <v>2534</v>
      </c>
      <c r="B1230" t="s">
        <v>1696</v>
      </c>
      <c r="C1230" t="s">
        <v>1141</v>
      </c>
      <c r="D1230" s="7" t="s">
        <v>498</v>
      </c>
      <c r="E1230" t="s">
        <v>32</v>
      </c>
      <c r="F1230" t="s">
        <v>26</v>
      </c>
      <c r="G1230" t="s">
        <v>84</v>
      </c>
      <c r="H1230">
        <v>6</v>
      </c>
      <c r="I1230">
        <v>60.8</v>
      </c>
      <c r="J1230">
        <v>0</v>
      </c>
      <c r="K1230">
        <v>364.8</v>
      </c>
      <c r="L1230">
        <v>64.16</v>
      </c>
      <c r="M1230" t="s">
        <v>35</v>
      </c>
    </row>
    <row r="1231" spans="1:13" x14ac:dyDescent="0.3">
      <c r="A1231" t="s">
        <v>2535</v>
      </c>
      <c r="B1231" t="s">
        <v>140</v>
      </c>
      <c r="C1231" t="s">
        <v>144</v>
      </c>
      <c r="D1231" s="7" t="s">
        <v>848</v>
      </c>
      <c r="E1231" t="s">
        <v>64</v>
      </c>
      <c r="F1231" t="s">
        <v>18</v>
      </c>
      <c r="G1231" t="s">
        <v>45</v>
      </c>
      <c r="H1231">
        <v>8</v>
      </c>
      <c r="I1231">
        <v>71.64</v>
      </c>
      <c r="J1231">
        <v>0.15</v>
      </c>
      <c r="K1231">
        <v>487.15</v>
      </c>
      <c r="L1231">
        <v>125.5</v>
      </c>
      <c r="M1231" t="s">
        <v>20</v>
      </c>
    </row>
    <row r="1232" spans="1:13" x14ac:dyDescent="0.3">
      <c r="A1232" t="s">
        <v>2536</v>
      </c>
      <c r="B1232" t="s">
        <v>1280</v>
      </c>
      <c r="C1232" t="s">
        <v>2537</v>
      </c>
      <c r="D1232" s="7" t="s">
        <v>532</v>
      </c>
      <c r="E1232" t="s">
        <v>17</v>
      </c>
      <c r="F1232" t="s">
        <v>26</v>
      </c>
      <c r="G1232" t="s">
        <v>27</v>
      </c>
      <c r="H1232">
        <v>6</v>
      </c>
      <c r="I1232">
        <v>156.58000000000001</v>
      </c>
      <c r="J1232">
        <v>0.05</v>
      </c>
      <c r="K1232">
        <v>892.51</v>
      </c>
      <c r="L1232">
        <v>162.41</v>
      </c>
      <c r="M1232" t="s">
        <v>35</v>
      </c>
    </row>
    <row r="1233" spans="1:13" x14ac:dyDescent="0.3">
      <c r="A1233" t="s">
        <v>2538</v>
      </c>
      <c r="B1233" t="s">
        <v>349</v>
      </c>
      <c r="C1233" t="s">
        <v>912</v>
      </c>
      <c r="D1233" s="7" t="s">
        <v>1632</v>
      </c>
      <c r="E1233" t="s">
        <v>32</v>
      </c>
      <c r="F1233" t="s">
        <v>26</v>
      </c>
      <c r="G1233" t="s">
        <v>118</v>
      </c>
      <c r="H1233">
        <v>6</v>
      </c>
      <c r="I1233">
        <v>13.23</v>
      </c>
      <c r="J1233">
        <v>0.1</v>
      </c>
      <c r="K1233">
        <v>71.44</v>
      </c>
      <c r="L1233">
        <v>20.399999999999999</v>
      </c>
      <c r="M1233" t="s">
        <v>20</v>
      </c>
    </row>
    <row r="1234" spans="1:13" x14ac:dyDescent="0.3">
      <c r="A1234" t="s">
        <v>2539</v>
      </c>
      <c r="B1234" t="s">
        <v>282</v>
      </c>
      <c r="C1234" t="s">
        <v>691</v>
      </c>
      <c r="D1234" s="7" t="s">
        <v>153</v>
      </c>
      <c r="E1234" t="s">
        <v>64</v>
      </c>
      <c r="F1234" t="s">
        <v>33</v>
      </c>
      <c r="G1234" t="s">
        <v>34</v>
      </c>
      <c r="H1234">
        <v>7</v>
      </c>
      <c r="I1234">
        <v>97.9</v>
      </c>
      <c r="J1234">
        <v>0.1</v>
      </c>
      <c r="K1234">
        <v>616.77</v>
      </c>
      <c r="L1234">
        <v>79.290000000000006</v>
      </c>
      <c r="M1234" t="s">
        <v>40</v>
      </c>
    </row>
    <row r="1235" spans="1:13" x14ac:dyDescent="0.3">
      <c r="A1235" t="s">
        <v>2540</v>
      </c>
      <c r="B1235" t="s">
        <v>1013</v>
      </c>
      <c r="C1235" t="s">
        <v>2541</v>
      </c>
      <c r="D1235" s="7" t="s">
        <v>2234</v>
      </c>
      <c r="E1235" t="s">
        <v>17</v>
      </c>
      <c r="F1235" t="s">
        <v>89</v>
      </c>
      <c r="G1235" t="s">
        <v>150</v>
      </c>
      <c r="H1235">
        <v>5</v>
      </c>
      <c r="I1235">
        <v>110.29</v>
      </c>
      <c r="J1235">
        <v>0.1</v>
      </c>
      <c r="K1235">
        <v>496.31</v>
      </c>
      <c r="L1235">
        <v>76.209999999999994</v>
      </c>
      <c r="M1235" t="s">
        <v>40</v>
      </c>
    </row>
    <row r="1236" spans="1:13" x14ac:dyDescent="0.3">
      <c r="A1236" t="s">
        <v>2542</v>
      </c>
      <c r="B1236" t="s">
        <v>663</v>
      </c>
      <c r="C1236" t="s">
        <v>640</v>
      </c>
      <c r="D1236" s="7" t="s">
        <v>761</v>
      </c>
      <c r="E1236" t="s">
        <v>17</v>
      </c>
      <c r="F1236" t="s">
        <v>89</v>
      </c>
      <c r="G1236" t="s">
        <v>150</v>
      </c>
      <c r="H1236">
        <v>1</v>
      </c>
      <c r="I1236">
        <v>145.28</v>
      </c>
      <c r="J1236">
        <v>0.15</v>
      </c>
      <c r="K1236">
        <v>123.49</v>
      </c>
      <c r="L1236">
        <v>16.829999999999998</v>
      </c>
      <c r="M1236" t="s">
        <v>35</v>
      </c>
    </row>
    <row r="1237" spans="1:13" x14ac:dyDescent="0.3">
      <c r="A1237" t="s">
        <v>2543</v>
      </c>
      <c r="B1237" t="s">
        <v>246</v>
      </c>
      <c r="C1237" t="s">
        <v>1391</v>
      </c>
      <c r="D1237" s="7" t="s">
        <v>2544</v>
      </c>
      <c r="E1237" t="s">
        <v>17</v>
      </c>
      <c r="F1237" t="s">
        <v>26</v>
      </c>
      <c r="G1237" t="s">
        <v>84</v>
      </c>
      <c r="H1237">
        <v>3</v>
      </c>
      <c r="I1237">
        <v>241.64</v>
      </c>
      <c r="J1237">
        <v>0.1</v>
      </c>
      <c r="K1237">
        <v>652.42999999999995</v>
      </c>
      <c r="L1237">
        <v>100.83</v>
      </c>
      <c r="M1237" t="s">
        <v>35</v>
      </c>
    </row>
    <row r="1238" spans="1:13" x14ac:dyDescent="0.3">
      <c r="A1238" t="s">
        <v>2545</v>
      </c>
      <c r="B1238" t="s">
        <v>439</v>
      </c>
      <c r="C1238" t="s">
        <v>2181</v>
      </c>
      <c r="D1238" s="7" t="s">
        <v>495</v>
      </c>
      <c r="E1238" t="s">
        <v>17</v>
      </c>
      <c r="F1238" t="s">
        <v>18</v>
      </c>
      <c r="G1238" t="s">
        <v>45</v>
      </c>
      <c r="H1238">
        <v>6</v>
      </c>
      <c r="I1238">
        <v>123.1</v>
      </c>
      <c r="J1238">
        <v>0.05</v>
      </c>
      <c r="K1238">
        <v>701.67</v>
      </c>
      <c r="L1238">
        <v>75.31</v>
      </c>
      <c r="M1238" t="s">
        <v>20</v>
      </c>
    </row>
    <row r="1239" spans="1:13" x14ac:dyDescent="0.3">
      <c r="A1239" t="s">
        <v>2546</v>
      </c>
      <c r="B1239" t="s">
        <v>81</v>
      </c>
      <c r="C1239" t="s">
        <v>870</v>
      </c>
      <c r="D1239" s="7" t="s">
        <v>1439</v>
      </c>
      <c r="E1239" t="s">
        <v>59</v>
      </c>
      <c r="F1239" t="s">
        <v>89</v>
      </c>
      <c r="G1239" t="s">
        <v>90</v>
      </c>
      <c r="H1239">
        <v>6</v>
      </c>
      <c r="I1239">
        <v>37.83</v>
      </c>
      <c r="J1239">
        <v>0.15</v>
      </c>
      <c r="K1239">
        <v>192.93</v>
      </c>
      <c r="L1239">
        <v>22.38</v>
      </c>
      <c r="M1239" t="s">
        <v>20</v>
      </c>
    </row>
    <row r="1240" spans="1:13" x14ac:dyDescent="0.3">
      <c r="A1240" t="s">
        <v>2547</v>
      </c>
      <c r="B1240" t="s">
        <v>306</v>
      </c>
      <c r="C1240" t="s">
        <v>230</v>
      </c>
      <c r="D1240" s="7" t="s">
        <v>556</v>
      </c>
      <c r="E1240" t="s">
        <v>64</v>
      </c>
      <c r="F1240" t="s">
        <v>89</v>
      </c>
      <c r="G1240" t="s">
        <v>131</v>
      </c>
      <c r="H1240">
        <v>6</v>
      </c>
      <c r="I1240">
        <v>202.74</v>
      </c>
      <c r="J1240">
        <v>0.15</v>
      </c>
      <c r="K1240">
        <v>1033.97</v>
      </c>
      <c r="L1240">
        <v>219.24</v>
      </c>
      <c r="M1240" t="s">
        <v>35</v>
      </c>
    </row>
    <row r="1241" spans="1:13" x14ac:dyDescent="0.3">
      <c r="A1241" t="s">
        <v>2548</v>
      </c>
      <c r="B1241" t="s">
        <v>731</v>
      </c>
      <c r="C1241" t="s">
        <v>1789</v>
      </c>
      <c r="D1241" s="7" t="s">
        <v>466</v>
      </c>
      <c r="E1241" t="s">
        <v>25</v>
      </c>
      <c r="F1241" t="s">
        <v>33</v>
      </c>
      <c r="G1241" t="s">
        <v>34</v>
      </c>
      <c r="H1241">
        <v>3</v>
      </c>
      <c r="I1241">
        <v>75.02</v>
      </c>
      <c r="J1241">
        <v>0</v>
      </c>
      <c r="K1241">
        <v>225.06</v>
      </c>
      <c r="L1241">
        <v>22.8</v>
      </c>
      <c r="M1241" t="s">
        <v>40</v>
      </c>
    </row>
    <row r="1242" spans="1:13" x14ac:dyDescent="0.3">
      <c r="A1242" t="s">
        <v>2549</v>
      </c>
      <c r="B1242" t="s">
        <v>2393</v>
      </c>
      <c r="C1242" t="s">
        <v>1858</v>
      </c>
      <c r="D1242" s="7" t="s">
        <v>1056</v>
      </c>
      <c r="E1242" t="s">
        <v>32</v>
      </c>
      <c r="F1242" t="s">
        <v>26</v>
      </c>
      <c r="G1242" t="s">
        <v>27</v>
      </c>
      <c r="H1242">
        <v>2</v>
      </c>
      <c r="I1242">
        <v>21.64</v>
      </c>
      <c r="J1242">
        <v>0.15</v>
      </c>
      <c r="K1242">
        <v>36.79</v>
      </c>
      <c r="L1242">
        <v>8.5399999999999991</v>
      </c>
      <c r="M1242" t="s">
        <v>20</v>
      </c>
    </row>
    <row r="1243" spans="1:13" x14ac:dyDescent="0.3">
      <c r="A1243" t="s">
        <v>2550</v>
      </c>
      <c r="B1243" t="s">
        <v>1192</v>
      </c>
      <c r="C1243" t="s">
        <v>1132</v>
      </c>
      <c r="D1243" s="7" t="s">
        <v>1675</v>
      </c>
      <c r="E1243" t="s">
        <v>59</v>
      </c>
      <c r="F1243" t="s">
        <v>18</v>
      </c>
      <c r="G1243" t="s">
        <v>19</v>
      </c>
      <c r="H1243">
        <v>4</v>
      </c>
      <c r="I1243">
        <v>209.53</v>
      </c>
      <c r="J1243">
        <v>0</v>
      </c>
      <c r="K1243">
        <v>838.12</v>
      </c>
      <c r="L1243">
        <v>232.35</v>
      </c>
      <c r="M1243" t="s">
        <v>20</v>
      </c>
    </row>
    <row r="1244" spans="1:13" x14ac:dyDescent="0.3">
      <c r="A1244" t="s">
        <v>2551</v>
      </c>
      <c r="B1244" t="s">
        <v>728</v>
      </c>
      <c r="C1244" t="s">
        <v>1178</v>
      </c>
      <c r="D1244" s="7" t="s">
        <v>1362</v>
      </c>
      <c r="E1244" t="s">
        <v>17</v>
      </c>
      <c r="F1244" t="s">
        <v>33</v>
      </c>
      <c r="G1244" t="s">
        <v>69</v>
      </c>
      <c r="H1244">
        <v>5</v>
      </c>
      <c r="I1244">
        <v>79.09</v>
      </c>
      <c r="J1244">
        <v>0.05</v>
      </c>
      <c r="K1244">
        <v>375.68</v>
      </c>
      <c r="L1244">
        <v>86.47</v>
      </c>
      <c r="M1244" t="s">
        <v>20</v>
      </c>
    </row>
    <row r="1245" spans="1:13" x14ac:dyDescent="0.3">
      <c r="A1245" t="s">
        <v>2552</v>
      </c>
      <c r="B1245" t="s">
        <v>731</v>
      </c>
      <c r="C1245" t="s">
        <v>853</v>
      </c>
      <c r="D1245" s="7" t="s">
        <v>161</v>
      </c>
      <c r="E1245" t="s">
        <v>32</v>
      </c>
      <c r="F1245" t="s">
        <v>33</v>
      </c>
      <c r="G1245" t="s">
        <v>34</v>
      </c>
      <c r="H1245">
        <v>2</v>
      </c>
      <c r="I1245">
        <v>233.52</v>
      </c>
      <c r="J1245">
        <v>0.15</v>
      </c>
      <c r="K1245">
        <v>396.98</v>
      </c>
      <c r="L1245">
        <v>89.33</v>
      </c>
      <c r="M1245" t="s">
        <v>20</v>
      </c>
    </row>
    <row r="1246" spans="1:13" x14ac:dyDescent="0.3">
      <c r="A1246" t="s">
        <v>2553</v>
      </c>
      <c r="B1246" t="s">
        <v>29</v>
      </c>
      <c r="C1246" t="s">
        <v>468</v>
      </c>
      <c r="D1246" s="7" t="s">
        <v>669</v>
      </c>
      <c r="E1246" t="s">
        <v>59</v>
      </c>
      <c r="F1246" t="s">
        <v>18</v>
      </c>
      <c r="G1246" t="s">
        <v>19</v>
      </c>
      <c r="H1246">
        <v>5</v>
      </c>
      <c r="I1246">
        <v>170.57</v>
      </c>
      <c r="J1246">
        <v>0</v>
      </c>
      <c r="K1246">
        <v>852.85</v>
      </c>
      <c r="L1246">
        <v>140.59</v>
      </c>
      <c r="M1246" t="s">
        <v>40</v>
      </c>
    </row>
    <row r="1247" spans="1:13" x14ac:dyDescent="0.3">
      <c r="A1247" t="s">
        <v>2554</v>
      </c>
      <c r="B1247" t="s">
        <v>1620</v>
      </c>
      <c r="C1247" t="s">
        <v>101</v>
      </c>
      <c r="D1247" s="7" t="s">
        <v>621</v>
      </c>
      <c r="E1247" t="s">
        <v>25</v>
      </c>
      <c r="F1247" t="s">
        <v>89</v>
      </c>
      <c r="G1247" t="s">
        <v>150</v>
      </c>
      <c r="H1247">
        <v>5</v>
      </c>
      <c r="I1247">
        <v>164.79</v>
      </c>
      <c r="J1247">
        <v>0.05</v>
      </c>
      <c r="K1247">
        <v>782.75</v>
      </c>
      <c r="L1247">
        <v>151.75</v>
      </c>
      <c r="M1247" t="s">
        <v>35</v>
      </c>
    </row>
    <row r="1248" spans="1:13" x14ac:dyDescent="0.3">
      <c r="A1248" t="s">
        <v>2555</v>
      </c>
      <c r="B1248" t="s">
        <v>752</v>
      </c>
      <c r="C1248" t="s">
        <v>494</v>
      </c>
      <c r="D1248" s="7" t="s">
        <v>2239</v>
      </c>
      <c r="E1248" t="s">
        <v>32</v>
      </c>
      <c r="F1248" t="s">
        <v>89</v>
      </c>
      <c r="G1248" t="s">
        <v>90</v>
      </c>
      <c r="H1248">
        <v>3</v>
      </c>
      <c r="I1248">
        <v>135.81</v>
      </c>
      <c r="J1248">
        <v>0.15</v>
      </c>
      <c r="K1248">
        <v>346.32</v>
      </c>
      <c r="L1248">
        <v>67.430000000000007</v>
      </c>
      <c r="M1248" t="s">
        <v>20</v>
      </c>
    </row>
    <row r="1249" spans="1:13" x14ac:dyDescent="0.3">
      <c r="A1249" t="s">
        <v>2556</v>
      </c>
      <c r="B1249" t="s">
        <v>368</v>
      </c>
      <c r="C1249" t="s">
        <v>409</v>
      </c>
      <c r="D1249" s="7" t="s">
        <v>1228</v>
      </c>
      <c r="E1249" t="s">
        <v>32</v>
      </c>
      <c r="F1249" t="s">
        <v>33</v>
      </c>
      <c r="G1249" t="s">
        <v>34</v>
      </c>
      <c r="H1249">
        <v>7</v>
      </c>
      <c r="I1249">
        <v>156.31</v>
      </c>
      <c r="J1249">
        <v>0.1</v>
      </c>
      <c r="K1249">
        <v>984.75</v>
      </c>
      <c r="L1249">
        <v>99.09</v>
      </c>
      <c r="M1249" t="s">
        <v>20</v>
      </c>
    </row>
    <row r="1250" spans="1:13" x14ac:dyDescent="0.3">
      <c r="A1250" t="s">
        <v>2557</v>
      </c>
      <c r="B1250" t="s">
        <v>701</v>
      </c>
      <c r="C1250" t="s">
        <v>1092</v>
      </c>
      <c r="D1250" s="7" t="s">
        <v>1627</v>
      </c>
      <c r="E1250" t="s">
        <v>64</v>
      </c>
      <c r="F1250" t="s">
        <v>89</v>
      </c>
      <c r="G1250" t="s">
        <v>90</v>
      </c>
      <c r="H1250">
        <v>6</v>
      </c>
      <c r="I1250">
        <v>128.09</v>
      </c>
      <c r="J1250">
        <v>0.1</v>
      </c>
      <c r="K1250">
        <v>691.69</v>
      </c>
      <c r="L1250">
        <v>196.27</v>
      </c>
      <c r="M1250" t="s">
        <v>40</v>
      </c>
    </row>
    <row r="1251" spans="1:13" x14ac:dyDescent="0.3">
      <c r="A1251" t="s">
        <v>2558</v>
      </c>
      <c r="B1251" t="s">
        <v>1381</v>
      </c>
      <c r="C1251" t="s">
        <v>1782</v>
      </c>
      <c r="D1251" s="7" t="s">
        <v>563</v>
      </c>
      <c r="E1251" t="s">
        <v>32</v>
      </c>
      <c r="F1251" t="s">
        <v>89</v>
      </c>
      <c r="G1251" t="s">
        <v>131</v>
      </c>
      <c r="H1251">
        <v>8</v>
      </c>
      <c r="I1251">
        <v>151.36000000000001</v>
      </c>
      <c r="J1251">
        <v>0.05</v>
      </c>
      <c r="K1251">
        <v>1150.3399999999999</v>
      </c>
      <c r="L1251">
        <v>130.47999999999999</v>
      </c>
      <c r="M1251" t="s">
        <v>20</v>
      </c>
    </row>
    <row r="1252" spans="1:13" x14ac:dyDescent="0.3">
      <c r="A1252" t="s">
        <v>2559</v>
      </c>
      <c r="B1252" t="s">
        <v>188</v>
      </c>
      <c r="C1252" t="s">
        <v>2146</v>
      </c>
      <c r="D1252" s="7" t="s">
        <v>258</v>
      </c>
      <c r="E1252" t="s">
        <v>32</v>
      </c>
      <c r="F1252" t="s">
        <v>18</v>
      </c>
      <c r="G1252" t="s">
        <v>19</v>
      </c>
      <c r="H1252">
        <v>6</v>
      </c>
      <c r="I1252">
        <v>123.32</v>
      </c>
      <c r="J1252">
        <v>0.1</v>
      </c>
      <c r="K1252">
        <v>665.93</v>
      </c>
      <c r="L1252">
        <v>83.79</v>
      </c>
      <c r="M1252" t="s">
        <v>40</v>
      </c>
    </row>
    <row r="1253" spans="1:13" x14ac:dyDescent="0.3">
      <c r="A1253" t="s">
        <v>2560</v>
      </c>
      <c r="B1253" t="s">
        <v>500</v>
      </c>
      <c r="C1253" t="s">
        <v>1920</v>
      </c>
      <c r="D1253" s="7" t="s">
        <v>844</v>
      </c>
      <c r="E1253" t="s">
        <v>32</v>
      </c>
      <c r="F1253" t="s">
        <v>26</v>
      </c>
      <c r="G1253" t="s">
        <v>27</v>
      </c>
      <c r="H1253">
        <v>1</v>
      </c>
      <c r="I1253">
        <v>63.15</v>
      </c>
      <c r="J1253">
        <v>0.15</v>
      </c>
      <c r="K1253">
        <v>53.68</v>
      </c>
      <c r="L1253">
        <v>7.02</v>
      </c>
      <c r="M1253" t="s">
        <v>20</v>
      </c>
    </row>
    <row r="1254" spans="1:13" x14ac:dyDescent="0.3">
      <c r="A1254" t="s">
        <v>2561</v>
      </c>
      <c r="B1254" t="s">
        <v>104</v>
      </c>
      <c r="C1254" t="s">
        <v>1181</v>
      </c>
      <c r="D1254" s="7" t="s">
        <v>1969</v>
      </c>
      <c r="E1254" t="s">
        <v>59</v>
      </c>
      <c r="F1254" t="s">
        <v>33</v>
      </c>
      <c r="G1254" t="s">
        <v>69</v>
      </c>
      <c r="H1254">
        <v>3</v>
      </c>
      <c r="I1254">
        <v>232.67</v>
      </c>
      <c r="J1254">
        <v>0</v>
      </c>
      <c r="K1254">
        <v>698.01</v>
      </c>
      <c r="L1254">
        <v>66.13</v>
      </c>
      <c r="M1254" t="s">
        <v>20</v>
      </c>
    </row>
    <row r="1255" spans="1:13" x14ac:dyDescent="0.3">
      <c r="A1255" t="s">
        <v>2562</v>
      </c>
      <c r="B1255" t="s">
        <v>210</v>
      </c>
      <c r="C1255" t="s">
        <v>2563</v>
      </c>
      <c r="D1255" s="7" t="s">
        <v>1525</v>
      </c>
      <c r="E1255" t="s">
        <v>25</v>
      </c>
      <c r="F1255" t="s">
        <v>18</v>
      </c>
      <c r="G1255" t="s">
        <v>45</v>
      </c>
      <c r="H1255">
        <v>3</v>
      </c>
      <c r="I1255">
        <v>56.16</v>
      </c>
      <c r="J1255">
        <v>0.05</v>
      </c>
      <c r="K1255">
        <v>160.06</v>
      </c>
      <c r="L1255">
        <v>24.3</v>
      </c>
      <c r="M1255" t="s">
        <v>40</v>
      </c>
    </row>
    <row r="1256" spans="1:13" x14ac:dyDescent="0.3">
      <c r="A1256" t="s">
        <v>2564</v>
      </c>
      <c r="B1256" t="s">
        <v>324</v>
      </c>
      <c r="C1256" t="s">
        <v>458</v>
      </c>
      <c r="D1256" s="7" t="s">
        <v>157</v>
      </c>
      <c r="E1256" t="s">
        <v>17</v>
      </c>
      <c r="F1256" t="s">
        <v>89</v>
      </c>
      <c r="G1256" t="s">
        <v>150</v>
      </c>
      <c r="H1256">
        <v>7</v>
      </c>
      <c r="I1256">
        <v>143.29</v>
      </c>
      <c r="J1256">
        <v>0.05</v>
      </c>
      <c r="K1256">
        <v>952.88</v>
      </c>
      <c r="L1256">
        <v>205.08</v>
      </c>
      <c r="M1256" t="s">
        <v>35</v>
      </c>
    </row>
    <row r="1257" spans="1:13" x14ac:dyDescent="0.3">
      <c r="A1257" t="s">
        <v>2565</v>
      </c>
      <c r="B1257" t="s">
        <v>768</v>
      </c>
      <c r="C1257" t="s">
        <v>121</v>
      </c>
      <c r="D1257" s="7" t="s">
        <v>280</v>
      </c>
      <c r="E1257" t="s">
        <v>32</v>
      </c>
      <c r="F1257" t="s">
        <v>26</v>
      </c>
      <c r="G1257" t="s">
        <v>118</v>
      </c>
      <c r="H1257">
        <v>8</v>
      </c>
      <c r="I1257">
        <v>20.12</v>
      </c>
      <c r="J1257">
        <v>0.1</v>
      </c>
      <c r="K1257">
        <v>144.86000000000001</v>
      </c>
      <c r="L1257">
        <v>22.46</v>
      </c>
      <c r="M1257" t="s">
        <v>40</v>
      </c>
    </row>
    <row r="1258" spans="1:13" x14ac:dyDescent="0.3">
      <c r="A1258" t="s">
        <v>2566</v>
      </c>
      <c r="B1258" t="s">
        <v>1715</v>
      </c>
      <c r="C1258" t="s">
        <v>283</v>
      </c>
      <c r="D1258" s="7" t="s">
        <v>839</v>
      </c>
      <c r="E1258" t="s">
        <v>64</v>
      </c>
      <c r="F1258" t="s">
        <v>26</v>
      </c>
      <c r="G1258" t="s">
        <v>118</v>
      </c>
      <c r="H1258">
        <v>5</v>
      </c>
      <c r="I1258">
        <v>249.12</v>
      </c>
      <c r="J1258">
        <v>0.1</v>
      </c>
      <c r="K1258">
        <v>1121.04</v>
      </c>
      <c r="L1258">
        <v>272.70999999999998</v>
      </c>
      <c r="M1258" t="s">
        <v>35</v>
      </c>
    </row>
    <row r="1259" spans="1:13" x14ac:dyDescent="0.3">
      <c r="A1259" t="s">
        <v>2567</v>
      </c>
      <c r="B1259" t="s">
        <v>1650</v>
      </c>
      <c r="C1259" t="s">
        <v>236</v>
      </c>
      <c r="D1259" s="7" t="s">
        <v>1323</v>
      </c>
      <c r="E1259" t="s">
        <v>25</v>
      </c>
      <c r="F1259" t="s">
        <v>89</v>
      </c>
      <c r="G1259" t="s">
        <v>150</v>
      </c>
      <c r="H1259">
        <v>4</v>
      </c>
      <c r="I1259">
        <v>13.11</v>
      </c>
      <c r="J1259">
        <v>0.05</v>
      </c>
      <c r="K1259">
        <v>49.82</v>
      </c>
      <c r="L1259">
        <v>12.78</v>
      </c>
      <c r="M1259" t="s">
        <v>35</v>
      </c>
    </row>
    <row r="1260" spans="1:13" x14ac:dyDescent="0.3">
      <c r="A1260" t="s">
        <v>2568</v>
      </c>
      <c r="B1260" t="s">
        <v>974</v>
      </c>
      <c r="C1260" t="s">
        <v>984</v>
      </c>
      <c r="D1260" s="7" t="s">
        <v>2096</v>
      </c>
      <c r="E1260" t="s">
        <v>59</v>
      </c>
      <c r="F1260" t="s">
        <v>33</v>
      </c>
      <c r="G1260" t="s">
        <v>69</v>
      </c>
      <c r="H1260">
        <v>3</v>
      </c>
      <c r="I1260">
        <v>106</v>
      </c>
      <c r="J1260">
        <v>0.15</v>
      </c>
      <c r="K1260">
        <v>270.3</v>
      </c>
      <c r="L1260">
        <v>71.55</v>
      </c>
      <c r="M1260" t="s">
        <v>35</v>
      </c>
    </row>
    <row r="1261" spans="1:13" x14ac:dyDescent="0.3">
      <c r="A1261" t="s">
        <v>2569</v>
      </c>
      <c r="B1261" t="s">
        <v>338</v>
      </c>
      <c r="C1261" t="s">
        <v>2537</v>
      </c>
      <c r="D1261" s="7" t="s">
        <v>1426</v>
      </c>
      <c r="E1261" t="s">
        <v>25</v>
      </c>
      <c r="F1261" t="s">
        <v>18</v>
      </c>
      <c r="G1261" t="s">
        <v>45</v>
      </c>
      <c r="H1261">
        <v>2</v>
      </c>
      <c r="I1261">
        <v>228.59</v>
      </c>
      <c r="J1261">
        <v>0.15</v>
      </c>
      <c r="K1261">
        <v>388.6</v>
      </c>
      <c r="L1261">
        <v>98.73</v>
      </c>
      <c r="M1261" t="s">
        <v>40</v>
      </c>
    </row>
    <row r="1262" spans="1:13" x14ac:dyDescent="0.3">
      <c r="A1262" t="s">
        <v>2570</v>
      </c>
      <c r="B1262" t="s">
        <v>42</v>
      </c>
      <c r="C1262" t="s">
        <v>1825</v>
      </c>
      <c r="D1262" s="7" t="s">
        <v>528</v>
      </c>
      <c r="E1262" t="s">
        <v>64</v>
      </c>
      <c r="F1262" t="s">
        <v>89</v>
      </c>
      <c r="G1262" t="s">
        <v>90</v>
      </c>
      <c r="H1262">
        <v>7</v>
      </c>
      <c r="I1262">
        <v>124.37</v>
      </c>
      <c r="J1262">
        <v>0.15</v>
      </c>
      <c r="K1262">
        <v>740</v>
      </c>
      <c r="L1262">
        <v>212.49</v>
      </c>
      <c r="M1262" t="s">
        <v>35</v>
      </c>
    </row>
    <row r="1263" spans="1:13" x14ac:dyDescent="0.3">
      <c r="A1263" t="s">
        <v>2571</v>
      </c>
      <c r="B1263" t="s">
        <v>2572</v>
      </c>
      <c r="C1263" t="s">
        <v>2537</v>
      </c>
      <c r="D1263" s="7" t="s">
        <v>919</v>
      </c>
      <c r="E1263" t="s">
        <v>25</v>
      </c>
      <c r="F1263" t="s">
        <v>18</v>
      </c>
      <c r="G1263" t="s">
        <v>19</v>
      </c>
      <c r="H1263">
        <v>4</v>
      </c>
      <c r="I1263">
        <v>132.62</v>
      </c>
      <c r="J1263">
        <v>0.05</v>
      </c>
      <c r="K1263">
        <v>503.96</v>
      </c>
      <c r="L1263">
        <v>122.76</v>
      </c>
      <c r="M1263" t="s">
        <v>35</v>
      </c>
    </row>
    <row r="1264" spans="1:13" x14ac:dyDescent="0.3">
      <c r="A1264" t="s">
        <v>2573</v>
      </c>
      <c r="B1264" t="s">
        <v>252</v>
      </c>
      <c r="C1264" t="s">
        <v>2574</v>
      </c>
      <c r="D1264" s="7" t="s">
        <v>2408</v>
      </c>
      <c r="E1264" t="s">
        <v>64</v>
      </c>
      <c r="F1264" t="s">
        <v>26</v>
      </c>
      <c r="G1264" t="s">
        <v>84</v>
      </c>
      <c r="H1264">
        <v>1</v>
      </c>
      <c r="I1264">
        <v>27.33</v>
      </c>
      <c r="J1264">
        <v>0.05</v>
      </c>
      <c r="K1264">
        <v>25.96</v>
      </c>
      <c r="L1264">
        <v>5.5</v>
      </c>
      <c r="M1264" t="s">
        <v>40</v>
      </c>
    </row>
    <row r="1265" spans="1:13" x14ac:dyDescent="0.3">
      <c r="A1265" t="s">
        <v>2575</v>
      </c>
      <c r="B1265" t="s">
        <v>338</v>
      </c>
      <c r="C1265" t="s">
        <v>1147</v>
      </c>
      <c r="D1265" s="7" t="s">
        <v>1218</v>
      </c>
      <c r="E1265" t="s">
        <v>17</v>
      </c>
      <c r="F1265" t="s">
        <v>33</v>
      </c>
      <c r="G1265" t="s">
        <v>69</v>
      </c>
      <c r="H1265">
        <v>4</v>
      </c>
      <c r="I1265">
        <v>53.05</v>
      </c>
      <c r="J1265">
        <v>0.1</v>
      </c>
      <c r="K1265">
        <v>190.98</v>
      </c>
      <c r="L1265">
        <v>18.04</v>
      </c>
      <c r="M1265" t="s">
        <v>35</v>
      </c>
    </row>
    <row r="1266" spans="1:13" x14ac:dyDescent="0.3">
      <c r="A1266" t="s">
        <v>2576</v>
      </c>
      <c r="B1266" t="s">
        <v>1626</v>
      </c>
      <c r="C1266" t="s">
        <v>831</v>
      </c>
      <c r="D1266" s="7" t="s">
        <v>2577</v>
      </c>
      <c r="E1266" t="s">
        <v>25</v>
      </c>
      <c r="F1266" t="s">
        <v>26</v>
      </c>
      <c r="G1266" t="s">
        <v>27</v>
      </c>
      <c r="H1266">
        <v>6</v>
      </c>
      <c r="I1266">
        <v>122.29</v>
      </c>
      <c r="J1266">
        <v>0.05</v>
      </c>
      <c r="K1266">
        <v>697.05</v>
      </c>
      <c r="L1266">
        <v>198.6</v>
      </c>
      <c r="M1266" t="s">
        <v>35</v>
      </c>
    </row>
    <row r="1267" spans="1:13" x14ac:dyDescent="0.3">
      <c r="A1267" t="s">
        <v>2578</v>
      </c>
      <c r="B1267" t="s">
        <v>327</v>
      </c>
      <c r="C1267" t="s">
        <v>480</v>
      </c>
      <c r="D1267" s="7" t="s">
        <v>906</v>
      </c>
      <c r="E1267" t="s">
        <v>59</v>
      </c>
      <c r="F1267" t="s">
        <v>33</v>
      </c>
      <c r="G1267" t="s">
        <v>34</v>
      </c>
      <c r="H1267">
        <v>3</v>
      </c>
      <c r="I1267">
        <v>17.47</v>
      </c>
      <c r="J1267">
        <v>0.05</v>
      </c>
      <c r="K1267">
        <v>49.79</v>
      </c>
      <c r="L1267">
        <v>11.81</v>
      </c>
      <c r="M1267" t="s">
        <v>20</v>
      </c>
    </row>
    <row r="1268" spans="1:13" x14ac:dyDescent="0.3">
      <c r="A1268" t="s">
        <v>2579</v>
      </c>
      <c r="B1268" t="s">
        <v>1159</v>
      </c>
      <c r="C1268" t="s">
        <v>2580</v>
      </c>
      <c r="D1268" s="7" t="s">
        <v>2020</v>
      </c>
      <c r="E1268" t="s">
        <v>32</v>
      </c>
      <c r="F1268" t="s">
        <v>18</v>
      </c>
      <c r="G1268" t="s">
        <v>19</v>
      </c>
      <c r="H1268">
        <v>7</v>
      </c>
      <c r="I1268">
        <v>246.31</v>
      </c>
      <c r="J1268">
        <v>0.15</v>
      </c>
      <c r="K1268">
        <v>1465.54</v>
      </c>
      <c r="L1268">
        <v>271.31</v>
      </c>
      <c r="M1268" t="s">
        <v>20</v>
      </c>
    </row>
    <row r="1269" spans="1:13" x14ac:dyDescent="0.3">
      <c r="A1269" t="s">
        <v>2581</v>
      </c>
      <c r="B1269" t="s">
        <v>915</v>
      </c>
      <c r="C1269" t="s">
        <v>1998</v>
      </c>
      <c r="D1269" s="7" t="s">
        <v>1423</v>
      </c>
      <c r="E1269" t="s">
        <v>17</v>
      </c>
      <c r="F1269" t="s">
        <v>18</v>
      </c>
      <c r="G1269" t="s">
        <v>79</v>
      </c>
      <c r="H1269">
        <v>5</v>
      </c>
      <c r="I1269">
        <v>227.4</v>
      </c>
      <c r="J1269">
        <v>0.05</v>
      </c>
      <c r="K1269">
        <v>1080.1500000000001</v>
      </c>
      <c r="L1269">
        <v>137.03</v>
      </c>
      <c r="M1269" t="s">
        <v>35</v>
      </c>
    </row>
    <row r="1270" spans="1:13" x14ac:dyDescent="0.3">
      <c r="A1270" t="s">
        <v>2582</v>
      </c>
      <c r="B1270" t="s">
        <v>764</v>
      </c>
      <c r="C1270" t="s">
        <v>1302</v>
      </c>
      <c r="D1270" s="7" t="s">
        <v>546</v>
      </c>
      <c r="E1270" t="s">
        <v>17</v>
      </c>
      <c r="F1270" t="s">
        <v>26</v>
      </c>
      <c r="G1270" t="s">
        <v>84</v>
      </c>
      <c r="H1270">
        <v>6</v>
      </c>
      <c r="I1270">
        <v>103.99</v>
      </c>
      <c r="J1270">
        <v>0.05</v>
      </c>
      <c r="K1270">
        <v>592.74</v>
      </c>
      <c r="L1270">
        <v>88.44</v>
      </c>
      <c r="M1270" t="s">
        <v>20</v>
      </c>
    </row>
    <row r="1271" spans="1:13" x14ac:dyDescent="0.3">
      <c r="A1271" t="s">
        <v>2583</v>
      </c>
      <c r="B1271" t="s">
        <v>1384</v>
      </c>
      <c r="C1271" t="s">
        <v>1922</v>
      </c>
      <c r="D1271" s="7" t="s">
        <v>73</v>
      </c>
      <c r="E1271" t="s">
        <v>17</v>
      </c>
      <c r="F1271" t="s">
        <v>18</v>
      </c>
      <c r="G1271" t="s">
        <v>19</v>
      </c>
      <c r="H1271">
        <v>6</v>
      </c>
      <c r="I1271">
        <v>224.71</v>
      </c>
      <c r="J1271">
        <v>0.15</v>
      </c>
      <c r="K1271">
        <v>1146.02</v>
      </c>
      <c r="L1271">
        <v>183</v>
      </c>
      <c r="M1271" t="s">
        <v>35</v>
      </c>
    </row>
    <row r="1272" spans="1:13" x14ac:dyDescent="0.3">
      <c r="A1272" t="s">
        <v>2584</v>
      </c>
      <c r="B1272" t="s">
        <v>368</v>
      </c>
      <c r="C1272" t="s">
        <v>2394</v>
      </c>
      <c r="D1272" s="7" t="s">
        <v>380</v>
      </c>
      <c r="E1272" t="s">
        <v>17</v>
      </c>
      <c r="F1272" t="s">
        <v>26</v>
      </c>
      <c r="G1272" t="s">
        <v>27</v>
      </c>
      <c r="H1272">
        <v>3</v>
      </c>
      <c r="I1272">
        <v>67.88</v>
      </c>
      <c r="J1272">
        <v>0.1</v>
      </c>
      <c r="K1272">
        <v>183.28</v>
      </c>
      <c r="L1272">
        <v>41.09</v>
      </c>
      <c r="M1272" t="s">
        <v>35</v>
      </c>
    </row>
    <row r="1273" spans="1:13" x14ac:dyDescent="0.3">
      <c r="A1273" t="s">
        <v>2585</v>
      </c>
      <c r="B1273" t="s">
        <v>964</v>
      </c>
      <c r="C1273" t="s">
        <v>824</v>
      </c>
      <c r="D1273" s="7" t="s">
        <v>874</v>
      </c>
      <c r="E1273" t="s">
        <v>59</v>
      </c>
      <c r="F1273" t="s">
        <v>33</v>
      </c>
      <c r="G1273" t="s">
        <v>69</v>
      </c>
      <c r="H1273">
        <v>8</v>
      </c>
      <c r="I1273">
        <v>146.15</v>
      </c>
      <c r="J1273">
        <v>0.1</v>
      </c>
      <c r="K1273">
        <v>1052.28</v>
      </c>
      <c r="L1273">
        <v>248.7</v>
      </c>
      <c r="M1273" t="s">
        <v>35</v>
      </c>
    </row>
    <row r="1274" spans="1:13" x14ac:dyDescent="0.3">
      <c r="A1274" t="s">
        <v>2586</v>
      </c>
      <c r="B1274" t="s">
        <v>365</v>
      </c>
      <c r="C1274" t="s">
        <v>834</v>
      </c>
      <c r="D1274" s="7" t="s">
        <v>1142</v>
      </c>
      <c r="E1274" t="s">
        <v>25</v>
      </c>
      <c r="F1274" t="s">
        <v>26</v>
      </c>
      <c r="G1274" t="s">
        <v>84</v>
      </c>
      <c r="H1274">
        <v>1</v>
      </c>
      <c r="I1274">
        <v>236.95</v>
      </c>
      <c r="J1274">
        <v>0</v>
      </c>
      <c r="K1274">
        <v>236.95</v>
      </c>
      <c r="L1274">
        <v>57</v>
      </c>
      <c r="M1274" t="s">
        <v>20</v>
      </c>
    </row>
    <row r="1275" spans="1:13" x14ac:dyDescent="0.3">
      <c r="A1275" t="s">
        <v>2587</v>
      </c>
      <c r="B1275" t="s">
        <v>2588</v>
      </c>
      <c r="C1275" t="s">
        <v>991</v>
      </c>
      <c r="D1275" s="7" t="s">
        <v>1077</v>
      </c>
      <c r="E1275" t="s">
        <v>25</v>
      </c>
      <c r="F1275" t="s">
        <v>33</v>
      </c>
      <c r="G1275" t="s">
        <v>74</v>
      </c>
      <c r="H1275">
        <v>2</v>
      </c>
      <c r="I1275">
        <v>213.59</v>
      </c>
      <c r="J1275">
        <v>0.05</v>
      </c>
      <c r="K1275">
        <v>405.82</v>
      </c>
      <c r="L1275">
        <v>117.41</v>
      </c>
      <c r="M1275" t="s">
        <v>20</v>
      </c>
    </row>
    <row r="1276" spans="1:13" x14ac:dyDescent="0.3">
      <c r="A1276" t="s">
        <v>2589</v>
      </c>
      <c r="B1276" t="s">
        <v>2590</v>
      </c>
      <c r="C1276" t="s">
        <v>691</v>
      </c>
      <c r="D1276" s="7" t="s">
        <v>273</v>
      </c>
      <c r="E1276" t="s">
        <v>17</v>
      </c>
      <c r="F1276" t="s">
        <v>89</v>
      </c>
      <c r="G1276" t="s">
        <v>90</v>
      </c>
      <c r="H1276">
        <v>1</v>
      </c>
      <c r="I1276">
        <v>61.54</v>
      </c>
      <c r="J1276">
        <v>0.05</v>
      </c>
      <c r="K1276">
        <v>58.46</v>
      </c>
      <c r="L1276">
        <v>11.84</v>
      </c>
      <c r="M1276" t="s">
        <v>35</v>
      </c>
    </row>
    <row r="1277" spans="1:13" x14ac:dyDescent="0.3">
      <c r="A1277" t="s">
        <v>2591</v>
      </c>
      <c r="B1277" t="s">
        <v>493</v>
      </c>
      <c r="C1277" t="s">
        <v>328</v>
      </c>
      <c r="D1277" s="7" t="s">
        <v>634</v>
      </c>
      <c r="E1277" t="s">
        <v>59</v>
      </c>
      <c r="F1277" t="s">
        <v>26</v>
      </c>
      <c r="G1277" t="s">
        <v>118</v>
      </c>
      <c r="H1277">
        <v>5</v>
      </c>
      <c r="I1277">
        <v>20.170000000000002</v>
      </c>
      <c r="J1277">
        <v>0.05</v>
      </c>
      <c r="K1277">
        <v>95.81</v>
      </c>
      <c r="L1277">
        <v>25.49</v>
      </c>
      <c r="M1277" t="s">
        <v>35</v>
      </c>
    </row>
    <row r="1278" spans="1:13" x14ac:dyDescent="0.3">
      <c r="A1278" t="s">
        <v>2592</v>
      </c>
      <c r="B1278" t="s">
        <v>570</v>
      </c>
      <c r="C1278" t="s">
        <v>504</v>
      </c>
      <c r="D1278" s="7" t="s">
        <v>811</v>
      </c>
      <c r="E1278" t="s">
        <v>59</v>
      </c>
      <c r="F1278" t="s">
        <v>26</v>
      </c>
      <c r="G1278" t="s">
        <v>118</v>
      </c>
      <c r="H1278">
        <v>1</v>
      </c>
      <c r="I1278">
        <v>169.98</v>
      </c>
      <c r="J1278">
        <v>0.1</v>
      </c>
      <c r="K1278">
        <v>152.97999999999999</v>
      </c>
      <c r="L1278">
        <v>13.47</v>
      </c>
      <c r="M1278" t="s">
        <v>40</v>
      </c>
    </row>
    <row r="1279" spans="1:13" x14ac:dyDescent="0.3">
      <c r="A1279" t="s">
        <v>2593</v>
      </c>
      <c r="B1279" t="s">
        <v>1081</v>
      </c>
      <c r="C1279" t="s">
        <v>2070</v>
      </c>
      <c r="D1279" s="7" t="s">
        <v>898</v>
      </c>
      <c r="E1279" t="s">
        <v>59</v>
      </c>
      <c r="F1279" t="s">
        <v>26</v>
      </c>
      <c r="G1279" t="s">
        <v>27</v>
      </c>
      <c r="H1279">
        <v>4</v>
      </c>
      <c r="I1279">
        <v>125.86</v>
      </c>
      <c r="J1279">
        <v>0.1</v>
      </c>
      <c r="K1279">
        <v>453.1</v>
      </c>
      <c r="L1279">
        <v>122.29</v>
      </c>
      <c r="M1279" t="s">
        <v>40</v>
      </c>
    </row>
    <row r="1280" spans="1:13" x14ac:dyDescent="0.3">
      <c r="A1280" t="s">
        <v>2594</v>
      </c>
      <c r="B1280" t="s">
        <v>2590</v>
      </c>
      <c r="C1280" t="s">
        <v>545</v>
      </c>
      <c r="D1280" s="7" t="s">
        <v>475</v>
      </c>
      <c r="E1280" t="s">
        <v>25</v>
      </c>
      <c r="F1280" t="s">
        <v>18</v>
      </c>
      <c r="G1280" t="s">
        <v>79</v>
      </c>
      <c r="H1280">
        <v>7</v>
      </c>
      <c r="I1280">
        <v>89.76</v>
      </c>
      <c r="J1280">
        <v>0.15</v>
      </c>
      <c r="K1280">
        <v>534.07000000000005</v>
      </c>
      <c r="L1280">
        <v>132.05000000000001</v>
      </c>
      <c r="M1280" t="s">
        <v>35</v>
      </c>
    </row>
    <row r="1281" spans="1:13" x14ac:dyDescent="0.3">
      <c r="A1281" t="s">
        <v>2595</v>
      </c>
      <c r="B1281" t="s">
        <v>246</v>
      </c>
      <c r="C1281" t="s">
        <v>1974</v>
      </c>
      <c r="D1281" s="7" t="s">
        <v>641</v>
      </c>
      <c r="E1281" t="s">
        <v>25</v>
      </c>
      <c r="F1281" t="s">
        <v>89</v>
      </c>
      <c r="G1281" t="s">
        <v>131</v>
      </c>
      <c r="H1281">
        <v>6</v>
      </c>
      <c r="I1281">
        <v>96.47</v>
      </c>
      <c r="J1281">
        <v>0.15</v>
      </c>
      <c r="K1281">
        <v>492</v>
      </c>
      <c r="L1281">
        <v>142.46</v>
      </c>
      <c r="M1281" t="s">
        <v>40</v>
      </c>
    </row>
    <row r="1282" spans="1:13" x14ac:dyDescent="0.3">
      <c r="A1282" t="s">
        <v>2596</v>
      </c>
      <c r="B1282" t="s">
        <v>2572</v>
      </c>
      <c r="C1282" t="s">
        <v>1888</v>
      </c>
      <c r="D1282" s="7" t="s">
        <v>2597</v>
      </c>
      <c r="E1282" t="s">
        <v>25</v>
      </c>
      <c r="F1282" t="s">
        <v>26</v>
      </c>
      <c r="G1282" t="s">
        <v>118</v>
      </c>
      <c r="H1282">
        <v>5</v>
      </c>
      <c r="I1282">
        <v>195.05</v>
      </c>
      <c r="J1282">
        <v>0</v>
      </c>
      <c r="K1282">
        <v>975.25</v>
      </c>
      <c r="L1282">
        <v>119.02</v>
      </c>
      <c r="M1282" t="s">
        <v>35</v>
      </c>
    </row>
    <row r="1283" spans="1:13" x14ac:dyDescent="0.3">
      <c r="A1283" t="s">
        <v>2598</v>
      </c>
      <c r="B1283" t="s">
        <v>893</v>
      </c>
      <c r="C1283" t="s">
        <v>57</v>
      </c>
      <c r="D1283" s="7" t="s">
        <v>1675</v>
      </c>
      <c r="E1283" t="s">
        <v>59</v>
      </c>
      <c r="F1283" t="s">
        <v>26</v>
      </c>
      <c r="G1283" t="s">
        <v>27</v>
      </c>
      <c r="H1283">
        <v>4</v>
      </c>
      <c r="I1283">
        <v>106.33</v>
      </c>
      <c r="J1283">
        <v>0</v>
      </c>
      <c r="K1283">
        <v>425.32</v>
      </c>
      <c r="L1283">
        <v>66.16</v>
      </c>
      <c r="M1283" t="s">
        <v>20</v>
      </c>
    </row>
    <row r="1284" spans="1:13" x14ac:dyDescent="0.3">
      <c r="A1284" t="s">
        <v>2599</v>
      </c>
      <c r="B1284" t="s">
        <v>2223</v>
      </c>
      <c r="C1284" t="s">
        <v>1461</v>
      </c>
      <c r="D1284" s="7" t="s">
        <v>2600</v>
      </c>
      <c r="E1284" t="s">
        <v>64</v>
      </c>
      <c r="F1284" t="s">
        <v>18</v>
      </c>
      <c r="G1284" t="s">
        <v>19</v>
      </c>
      <c r="H1284">
        <v>6</v>
      </c>
      <c r="I1284">
        <v>103.09</v>
      </c>
      <c r="J1284">
        <v>0.05</v>
      </c>
      <c r="K1284">
        <v>587.61</v>
      </c>
      <c r="L1284">
        <v>133.54</v>
      </c>
      <c r="M1284" t="s">
        <v>20</v>
      </c>
    </row>
    <row r="1285" spans="1:13" x14ac:dyDescent="0.3">
      <c r="A1285" t="s">
        <v>2601</v>
      </c>
      <c r="B1285" t="s">
        <v>561</v>
      </c>
      <c r="C1285" t="s">
        <v>1185</v>
      </c>
      <c r="D1285" s="7" t="s">
        <v>726</v>
      </c>
      <c r="E1285" t="s">
        <v>59</v>
      </c>
      <c r="F1285" t="s">
        <v>18</v>
      </c>
      <c r="G1285" t="s">
        <v>45</v>
      </c>
      <c r="H1285">
        <v>2</v>
      </c>
      <c r="I1285">
        <v>231.67</v>
      </c>
      <c r="J1285">
        <v>0.15</v>
      </c>
      <c r="K1285">
        <v>393.84</v>
      </c>
      <c r="L1285">
        <v>65.290000000000006</v>
      </c>
      <c r="M1285" t="s">
        <v>40</v>
      </c>
    </row>
    <row r="1286" spans="1:13" x14ac:dyDescent="0.3">
      <c r="A1286" t="s">
        <v>2602</v>
      </c>
      <c r="B1286" t="s">
        <v>815</v>
      </c>
      <c r="C1286" t="s">
        <v>30</v>
      </c>
      <c r="D1286" s="7" t="s">
        <v>1904</v>
      </c>
      <c r="E1286" t="s">
        <v>64</v>
      </c>
      <c r="F1286" t="s">
        <v>26</v>
      </c>
      <c r="G1286" t="s">
        <v>118</v>
      </c>
      <c r="H1286">
        <v>2</v>
      </c>
      <c r="I1286">
        <v>175.85</v>
      </c>
      <c r="J1286">
        <v>0.05</v>
      </c>
      <c r="K1286">
        <v>334.11</v>
      </c>
      <c r="L1286">
        <v>92.93</v>
      </c>
      <c r="M1286" t="s">
        <v>35</v>
      </c>
    </row>
    <row r="1287" spans="1:13" x14ac:dyDescent="0.3">
      <c r="A1287" t="s">
        <v>2603</v>
      </c>
      <c r="B1287" t="s">
        <v>1367</v>
      </c>
      <c r="C1287" t="s">
        <v>853</v>
      </c>
      <c r="D1287" s="7" t="s">
        <v>73</v>
      </c>
      <c r="E1287" t="s">
        <v>17</v>
      </c>
      <c r="F1287" t="s">
        <v>18</v>
      </c>
      <c r="G1287" t="s">
        <v>19</v>
      </c>
      <c r="H1287">
        <v>3</v>
      </c>
      <c r="I1287">
        <v>39.700000000000003</v>
      </c>
      <c r="J1287">
        <v>0</v>
      </c>
      <c r="K1287">
        <v>119.1</v>
      </c>
      <c r="L1287">
        <v>15.53</v>
      </c>
      <c r="M1287" t="s">
        <v>20</v>
      </c>
    </row>
    <row r="1288" spans="1:13" x14ac:dyDescent="0.3">
      <c r="A1288" t="s">
        <v>2604</v>
      </c>
      <c r="B1288" t="s">
        <v>1144</v>
      </c>
      <c r="C1288" t="s">
        <v>668</v>
      </c>
      <c r="D1288" s="7" t="s">
        <v>357</v>
      </c>
      <c r="E1288" t="s">
        <v>25</v>
      </c>
      <c r="F1288" t="s">
        <v>89</v>
      </c>
      <c r="G1288" t="s">
        <v>90</v>
      </c>
      <c r="H1288">
        <v>3</v>
      </c>
      <c r="I1288">
        <v>220.97</v>
      </c>
      <c r="J1288">
        <v>0.1</v>
      </c>
      <c r="K1288">
        <v>596.62</v>
      </c>
      <c r="L1288">
        <v>129.78</v>
      </c>
      <c r="M1288" t="s">
        <v>35</v>
      </c>
    </row>
    <row r="1289" spans="1:13" x14ac:dyDescent="0.3">
      <c r="A1289" t="s">
        <v>2605</v>
      </c>
      <c r="B1289" t="s">
        <v>1242</v>
      </c>
      <c r="C1289" t="s">
        <v>1277</v>
      </c>
      <c r="D1289" s="7" t="s">
        <v>284</v>
      </c>
      <c r="E1289" t="s">
        <v>59</v>
      </c>
      <c r="F1289" t="s">
        <v>26</v>
      </c>
      <c r="G1289" t="s">
        <v>84</v>
      </c>
      <c r="H1289">
        <v>8</v>
      </c>
      <c r="I1289">
        <v>107.92</v>
      </c>
      <c r="J1289">
        <v>0.1</v>
      </c>
      <c r="K1289">
        <v>777.02</v>
      </c>
      <c r="L1289">
        <v>110.5</v>
      </c>
      <c r="M1289" t="s">
        <v>40</v>
      </c>
    </row>
    <row r="1290" spans="1:13" x14ac:dyDescent="0.3">
      <c r="A1290" t="s">
        <v>2606</v>
      </c>
      <c r="B1290" t="s">
        <v>2425</v>
      </c>
      <c r="C1290" t="s">
        <v>1692</v>
      </c>
      <c r="D1290" s="7" t="s">
        <v>357</v>
      </c>
      <c r="E1290" t="s">
        <v>64</v>
      </c>
      <c r="F1290" t="s">
        <v>89</v>
      </c>
      <c r="G1290" t="s">
        <v>131</v>
      </c>
      <c r="H1290">
        <v>1</v>
      </c>
      <c r="I1290">
        <v>98.32</v>
      </c>
      <c r="J1290">
        <v>0.15</v>
      </c>
      <c r="K1290">
        <v>83.57</v>
      </c>
      <c r="L1290">
        <v>21.1</v>
      </c>
      <c r="M1290" t="s">
        <v>40</v>
      </c>
    </row>
    <row r="1291" spans="1:13" x14ac:dyDescent="0.3">
      <c r="A1291" t="s">
        <v>2607</v>
      </c>
      <c r="B1291" t="s">
        <v>626</v>
      </c>
      <c r="C1291" t="s">
        <v>1971</v>
      </c>
      <c r="D1291" s="7" t="s">
        <v>410</v>
      </c>
      <c r="E1291" t="s">
        <v>25</v>
      </c>
      <c r="F1291" t="s">
        <v>26</v>
      </c>
      <c r="G1291" t="s">
        <v>118</v>
      </c>
      <c r="H1291">
        <v>1</v>
      </c>
      <c r="I1291">
        <v>194.32</v>
      </c>
      <c r="J1291">
        <v>0</v>
      </c>
      <c r="K1291">
        <v>194.32</v>
      </c>
      <c r="L1291">
        <v>35.46</v>
      </c>
      <c r="M1291" t="s">
        <v>20</v>
      </c>
    </row>
    <row r="1292" spans="1:13" x14ac:dyDescent="0.3">
      <c r="A1292" t="s">
        <v>2608</v>
      </c>
      <c r="B1292" t="s">
        <v>999</v>
      </c>
      <c r="C1292" t="s">
        <v>1271</v>
      </c>
      <c r="D1292" s="7" t="s">
        <v>1794</v>
      </c>
      <c r="E1292" t="s">
        <v>25</v>
      </c>
      <c r="F1292" t="s">
        <v>26</v>
      </c>
      <c r="G1292" t="s">
        <v>84</v>
      </c>
      <c r="H1292">
        <v>5</v>
      </c>
      <c r="I1292">
        <v>220.51</v>
      </c>
      <c r="J1292">
        <v>0.1</v>
      </c>
      <c r="K1292">
        <v>992.29</v>
      </c>
      <c r="L1292">
        <v>251.73</v>
      </c>
      <c r="M1292" t="s">
        <v>20</v>
      </c>
    </row>
    <row r="1293" spans="1:13" x14ac:dyDescent="0.3">
      <c r="A1293" t="s">
        <v>2609</v>
      </c>
      <c r="B1293" t="s">
        <v>450</v>
      </c>
      <c r="C1293" t="s">
        <v>1848</v>
      </c>
      <c r="D1293" s="7" t="s">
        <v>315</v>
      </c>
      <c r="E1293" t="s">
        <v>25</v>
      </c>
      <c r="F1293" t="s">
        <v>33</v>
      </c>
      <c r="G1293" t="s">
        <v>74</v>
      </c>
      <c r="H1293">
        <v>7</v>
      </c>
      <c r="I1293">
        <v>97.69</v>
      </c>
      <c r="J1293">
        <v>0</v>
      </c>
      <c r="K1293">
        <v>683.83</v>
      </c>
      <c r="L1293">
        <v>151.47999999999999</v>
      </c>
      <c r="M1293" t="s">
        <v>35</v>
      </c>
    </row>
    <row r="1294" spans="1:13" x14ac:dyDescent="0.3">
      <c r="A1294" t="s">
        <v>2610</v>
      </c>
      <c r="B1294" t="s">
        <v>681</v>
      </c>
      <c r="C1294" t="s">
        <v>1922</v>
      </c>
      <c r="D1294" s="7" t="s">
        <v>2611</v>
      </c>
      <c r="E1294" t="s">
        <v>17</v>
      </c>
      <c r="F1294" t="s">
        <v>89</v>
      </c>
      <c r="G1294" t="s">
        <v>90</v>
      </c>
      <c r="H1294">
        <v>2</v>
      </c>
      <c r="I1294">
        <v>73.59</v>
      </c>
      <c r="J1294">
        <v>0</v>
      </c>
      <c r="K1294">
        <v>147.18</v>
      </c>
      <c r="L1294">
        <v>13.66</v>
      </c>
      <c r="M1294" t="s">
        <v>35</v>
      </c>
    </row>
    <row r="1295" spans="1:13" x14ac:dyDescent="0.3">
      <c r="A1295" t="s">
        <v>2612</v>
      </c>
      <c r="B1295" t="s">
        <v>793</v>
      </c>
      <c r="C1295" t="s">
        <v>30</v>
      </c>
      <c r="D1295" s="7" t="s">
        <v>1315</v>
      </c>
      <c r="E1295" t="s">
        <v>17</v>
      </c>
      <c r="F1295" t="s">
        <v>33</v>
      </c>
      <c r="G1295" t="s">
        <v>74</v>
      </c>
      <c r="H1295">
        <v>2</v>
      </c>
      <c r="I1295">
        <v>54.91</v>
      </c>
      <c r="J1295">
        <v>0.1</v>
      </c>
      <c r="K1295">
        <v>98.84</v>
      </c>
      <c r="L1295">
        <v>7.92</v>
      </c>
      <c r="M1295" t="s">
        <v>40</v>
      </c>
    </row>
    <row r="1296" spans="1:13" x14ac:dyDescent="0.3">
      <c r="A1296" t="s">
        <v>2613</v>
      </c>
      <c r="B1296" t="s">
        <v>313</v>
      </c>
      <c r="C1296" t="s">
        <v>397</v>
      </c>
      <c r="D1296" s="7" t="s">
        <v>1053</v>
      </c>
      <c r="E1296" t="s">
        <v>64</v>
      </c>
      <c r="F1296" t="s">
        <v>18</v>
      </c>
      <c r="G1296" t="s">
        <v>79</v>
      </c>
      <c r="H1296">
        <v>1</v>
      </c>
      <c r="I1296">
        <v>55.58</v>
      </c>
      <c r="J1296">
        <v>0.1</v>
      </c>
      <c r="K1296">
        <v>50.02</v>
      </c>
      <c r="L1296">
        <v>6.43</v>
      </c>
      <c r="M1296" t="s">
        <v>40</v>
      </c>
    </row>
    <row r="1297" spans="1:13" x14ac:dyDescent="0.3">
      <c r="A1297" t="s">
        <v>2614</v>
      </c>
      <c r="B1297" t="s">
        <v>2615</v>
      </c>
      <c r="C1297" t="s">
        <v>2445</v>
      </c>
      <c r="D1297" s="7" t="s">
        <v>394</v>
      </c>
      <c r="E1297" t="s">
        <v>32</v>
      </c>
      <c r="F1297" t="s">
        <v>26</v>
      </c>
      <c r="G1297" t="s">
        <v>118</v>
      </c>
      <c r="H1297">
        <v>5</v>
      </c>
      <c r="I1297">
        <v>49.05</v>
      </c>
      <c r="J1297">
        <v>0.05</v>
      </c>
      <c r="K1297">
        <v>232.99</v>
      </c>
      <c r="L1297">
        <v>44.1</v>
      </c>
      <c r="M1297" t="s">
        <v>40</v>
      </c>
    </row>
    <row r="1298" spans="1:13" x14ac:dyDescent="0.3">
      <c r="A1298" t="s">
        <v>2616</v>
      </c>
      <c r="B1298" t="s">
        <v>756</v>
      </c>
      <c r="C1298" t="s">
        <v>440</v>
      </c>
      <c r="D1298" s="7" t="s">
        <v>552</v>
      </c>
      <c r="E1298" t="s">
        <v>59</v>
      </c>
      <c r="F1298" t="s">
        <v>89</v>
      </c>
      <c r="G1298" t="s">
        <v>90</v>
      </c>
      <c r="H1298">
        <v>8</v>
      </c>
      <c r="I1298">
        <v>126.41</v>
      </c>
      <c r="J1298">
        <v>0.05</v>
      </c>
      <c r="K1298">
        <v>960.72</v>
      </c>
      <c r="L1298">
        <v>203.2</v>
      </c>
      <c r="M1298" t="s">
        <v>20</v>
      </c>
    </row>
    <row r="1299" spans="1:13" x14ac:dyDescent="0.3">
      <c r="A1299" t="s">
        <v>2617</v>
      </c>
      <c r="B1299" t="s">
        <v>286</v>
      </c>
      <c r="C1299" t="s">
        <v>2618</v>
      </c>
      <c r="D1299" s="7" t="s">
        <v>2619</v>
      </c>
      <c r="E1299" t="s">
        <v>64</v>
      </c>
      <c r="F1299" t="s">
        <v>18</v>
      </c>
      <c r="G1299" t="s">
        <v>79</v>
      </c>
      <c r="H1299">
        <v>8</v>
      </c>
      <c r="I1299">
        <v>244.94</v>
      </c>
      <c r="J1299">
        <v>0.1</v>
      </c>
      <c r="K1299">
        <v>1763.57</v>
      </c>
      <c r="L1299">
        <v>500.44</v>
      </c>
      <c r="M1299" t="s">
        <v>40</v>
      </c>
    </row>
    <row r="1300" spans="1:13" x14ac:dyDescent="0.3">
      <c r="A1300" t="s">
        <v>2620</v>
      </c>
      <c r="B1300" t="s">
        <v>1992</v>
      </c>
      <c r="C1300" t="s">
        <v>1361</v>
      </c>
      <c r="D1300" s="7" t="s">
        <v>669</v>
      </c>
      <c r="E1300" t="s">
        <v>64</v>
      </c>
      <c r="F1300" t="s">
        <v>33</v>
      </c>
      <c r="G1300" t="s">
        <v>50</v>
      </c>
      <c r="H1300">
        <v>7</v>
      </c>
      <c r="I1300">
        <v>113.67</v>
      </c>
      <c r="J1300">
        <v>0.1</v>
      </c>
      <c r="K1300">
        <v>716.12</v>
      </c>
      <c r="L1300">
        <v>201.25</v>
      </c>
      <c r="M1300" t="s">
        <v>40</v>
      </c>
    </row>
    <row r="1301" spans="1:13" x14ac:dyDescent="0.3">
      <c r="A1301" t="s">
        <v>2621</v>
      </c>
      <c r="B1301" t="s">
        <v>1629</v>
      </c>
      <c r="C1301" t="s">
        <v>647</v>
      </c>
      <c r="D1301" s="7" t="s">
        <v>761</v>
      </c>
      <c r="E1301" t="s">
        <v>25</v>
      </c>
      <c r="F1301" t="s">
        <v>89</v>
      </c>
      <c r="G1301" t="s">
        <v>131</v>
      </c>
      <c r="H1301">
        <v>4</v>
      </c>
      <c r="I1301">
        <v>227.97</v>
      </c>
      <c r="J1301">
        <v>0</v>
      </c>
      <c r="K1301">
        <v>911.88</v>
      </c>
      <c r="L1301">
        <v>215.09</v>
      </c>
      <c r="M1301" t="s">
        <v>20</v>
      </c>
    </row>
    <row r="1302" spans="1:13" x14ac:dyDescent="0.3">
      <c r="A1302" t="s">
        <v>2622</v>
      </c>
      <c r="B1302" t="s">
        <v>1358</v>
      </c>
      <c r="C1302" t="s">
        <v>67</v>
      </c>
      <c r="D1302" s="7" t="s">
        <v>1286</v>
      </c>
      <c r="E1302" t="s">
        <v>59</v>
      </c>
      <c r="F1302" t="s">
        <v>33</v>
      </c>
      <c r="G1302" t="s">
        <v>50</v>
      </c>
      <c r="H1302">
        <v>1</v>
      </c>
      <c r="I1302">
        <v>169.79</v>
      </c>
      <c r="J1302">
        <v>0.15</v>
      </c>
      <c r="K1302">
        <v>144.32</v>
      </c>
      <c r="L1302">
        <v>33.32</v>
      </c>
      <c r="M1302" t="s">
        <v>20</v>
      </c>
    </row>
    <row r="1303" spans="1:13" x14ac:dyDescent="0.3">
      <c r="A1303" t="s">
        <v>2623</v>
      </c>
      <c r="B1303" t="s">
        <v>2219</v>
      </c>
      <c r="C1303" t="s">
        <v>2618</v>
      </c>
      <c r="D1303" s="7" t="s">
        <v>1139</v>
      </c>
      <c r="E1303" t="s">
        <v>64</v>
      </c>
      <c r="F1303" t="s">
        <v>18</v>
      </c>
      <c r="G1303" t="s">
        <v>79</v>
      </c>
      <c r="H1303">
        <v>8</v>
      </c>
      <c r="I1303">
        <v>72.11</v>
      </c>
      <c r="J1303">
        <v>0.15</v>
      </c>
      <c r="K1303">
        <v>490.35</v>
      </c>
      <c r="L1303">
        <v>111.47</v>
      </c>
      <c r="M1303" t="s">
        <v>35</v>
      </c>
    </row>
    <row r="1304" spans="1:13" x14ac:dyDescent="0.3">
      <c r="A1304" t="s">
        <v>2624</v>
      </c>
      <c r="B1304" t="s">
        <v>1703</v>
      </c>
      <c r="C1304" t="s">
        <v>1836</v>
      </c>
      <c r="D1304" s="7" t="s">
        <v>2625</v>
      </c>
      <c r="E1304" t="s">
        <v>17</v>
      </c>
      <c r="F1304" t="s">
        <v>33</v>
      </c>
      <c r="G1304" t="s">
        <v>34</v>
      </c>
      <c r="H1304">
        <v>2</v>
      </c>
      <c r="I1304">
        <v>101.84</v>
      </c>
      <c r="J1304">
        <v>0.1</v>
      </c>
      <c r="K1304">
        <v>183.31</v>
      </c>
      <c r="L1304">
        <v>37.21</v>
      </c>
      <c r="M1304" t="s">
        <v>40</v>
      </c>
    </row>
    <row r="1305" spans="1:13" x14ac:dyDescent="0.3">
      <c r="A1305" t="s">
        <v>2626</v>
      </c>
      <c r="B1305" t="s">
        <v>2627</v>
      </c>
      <c r="C1305" t="s">
        <v>1353</v>
      </c>
      <c r="D1305" s="7" t="s">
        <v>2413</v>
      </c>
      <c r="E1305" t="s">
        <v>32</v>
      </c>
      <c r="F1305" t="s">
        <v>26</v>
      </c>
      <c r="G1305" t="s">
        <v>84</v>
      </c>
      <c r="H1305">
        <v>6</v>
      </c>
      <c r="I1305">
        <v>142.41999999999999</v>
      </c>
      <c r="J1305">
        <v>0.15</v>
      </c>
      <c r="K1305">
        <v>726.34</v>
      </c>
      <c r="L1305">
        <v>207.6</v>
      </c>
      <c r="M1305" t="s">
        <v>35</v>
      </c>
    </row>
    <row r="1306" spans="1:13" x14ac:dyDescent="0.3">
      <c r="A1306" t="s">
        <v>2628</v>
      </c>
      <c r="B1306" t="s">
        <v>2629</v>
      </c>
      <c r="C1306" t="s">
        <v>1046</v>
      </c>
      <c r="D1306" s="7" t="s">
        <v>273</v>
      </c>
      <c r="E1306" t="s">
        <v>17</v>
      </c>
      <c r="F1306" t="s">
        <v>33</v>
      </c>
      <c r="G1306" t="s">
        <v>50</v>
      </c>
      <c r="H1306">
        <v>6</v>
      </c>
      <c r="I1306">
        <v>50.17</v>
      </c>
      <c r="J1306">
        <v>0.15</v>
      </c>
      <c r="K1306">
        <v>255.87</v>
      </c>
      <c r="L1306">
        <v>76.540000000000006</v>
      </c>
      <c r="M1306" t="s">
        <v>20</v>
      </c>
    </row>
    <row r="1307" spans="1:13" x14ac:dyDescent="0.3">
      <c r="A1307" t="s">
        <v>2630</v>
      </c>
      <c r="B1307" t="s">
        <v>341</v>
      </c>
      <c r="C1307" t="s">
        <v>1359</v>
      </c>
      <c r="D1307" s="7" t="s">
        <v>2631</v>
      </c>
      <c r="E1307" t="s">
        <v>32</v>
      </c>
      <c r="F1307" t="s">
        <v>18</v>
      </c>
      <c r="G1307" t="s">
        <v>45</v>
      </c>
      <c r="H1307">
        <v>4</v>
      </c>
      <c r="I1307">
        <v>75.83</v>
      </c>
      <c r="J1307">
        <v>0</v>
      </c>
      <c r="K1307">
        <v>303.32</v>
      </c>
      <c r="L1307">
        <v>29.21</v>
      </c>
      <c r="M1307" t="s">
        <v>35</v>
      </c>
    </row>
    <row r="1308" spans="1:13" x14ac:dyDescent="0.3">
      <c r="A1308" t="s">
        <v>2632</v>
      </c>
      <c r="B1308" t="s">
        <v>782</v>
      </c>
      <c r="C1308" t="s">
        <v>2473</v>
      </c>
      <c r="D1308" s="7" t="s">
        <v>1666</v>
      </c>
      <c r="E1308" t="s">
        <v>59</v>
      </c>
      <c r="F1308" t="s">
        <v>26</v>
      </c>
      <c r="G1308" t="s">
        <v>84</v>
      </c>
      <c r="H1308">
        <v>7</v>
      </c>
      <c r="I1308">
        <v>207.33</v>
      </c>
      <c r="J1308">
        <v>0.05</v>
      </c>
      <c r="K1308">
        <v>1378.74</v>
      </c>
      <c r="L1308">
        <v>198.67</v>
      </c>
      <c r="M1308" t="s">
        <v>20</v>
      </c>
    </row>
    <row r="1309" spans="1:13" x14ac:dyDescent="0.3">
      <c r="A1309" t="s">
        <v>2633</v>
      </c>
      <c r="B1309" t="s">
        <v>665</v>
      </c>
      <c r="C1309" t="s">
        <v>1257</v>
      </c>
      <c r="D1309" s="7" t="s">
        <v>2319</v>
      </c>
      <c r="E1309" t="s">
        <v>64</v>
      </c>
      <c r="F1309" t="s">
        <v>26</v>
      </c>
      <c r="G1309" t="s">
        <v>27</v>
      </c>
      <c r="H1309">
        <v>2</v>
      </c>
      <c r="I1309">
        <v>241.98</v>
      </c>
      <c r="J1309">
        <v>0.15</v>
      </c>
      <c r="K1309">
        <v>411.37</v>
      </c>
      <c r="L1309">
        <v>115.71</v>
      </c>
      <c r="M1309" t="s">
        <v>20</v>
      </c>
    </row>
    <row r="1310" spans="1:13" x14ac:dyDescent="0.3">
      <c r="A1310" t="s">
        <v>2634</v>
      </c>
      <c r="B1310" t="s">
        <v>1415</v>
      </c>
      <c r="C1310" t="s">
        <v>1329</v>
      </c>
      <c r="D1310" s="7" t="s">
        <v>175</v>
      </c>
      <c r="E1310" t="s">
        <v>64</v>
      </c>
      <c r="F1310" t="s">
        <v>26</v>
      </c>
      <c r="G1310" t="s">
        <v>118</v>
      </c>
      <c r="H1310">
        <v>6</v>
      </c>
      <c r="I1310">
        <v>62.03</v>
      </c>
      <c r="J1310">
        <v>0</v>
      </c>
      <c r="K1310">
        <v>372.18</v>
      </c>
      <c r="L1310">
        <v>100.78</v>
      </c>
      <c r="M1310" t="s">
        <v>35</v>
      </c>
    </row>
    <row r="1311" spans="1:13" x14ac:dyDescent="0.3">
      <c r="A1311" t="s">
        <v>2635</v>
      </c>
      <c r="B1311" t="s">
        <v>1657</v>
      </c>
      <c r="C1311" t="s">
        <v>647</v>
      </c>
      <c r="D1311" s="7" t="s">
        <v>871</v>
      </c>
      <c r="E1311" t="s">
        <v>17</v>
      </c>
      <c r="F1311" t="s">
        <v>18</v>
      </c>
      <c r="G1311" t="s">
        <v>19</v>
      </c>
      <c r="H1311">
        <v>5</v>
      </c>
      <c r="I1311">
        <v>37.96</v>
      </c>
      <c r="J1311">
        <v>0.05</v>
      </c>
      <c r="K1311">
        <v>180.31</v>
      </c>
      <c r="L1311">
        <v>42.2</v>
      </c>
      <c r="M1311" t="s">
        <v>20</v>
      </c>
    </row>
    <row r="1312" spans="1:13" x14ac:dyDescent="0.3">
      <c r="A1312" t="s">
        <v>2636</v>
      </c>
      <c r="B1312" t="s">
        <v>1276</v>
      </c>
      <c r="C1312" t="s">
        <v>800</v>
      </c>
      <c r="D1312" s="7" t="s">
        <v>2292</v>
      </c>
      <c r="E1312" t="s">
        <v>17</v>
      </c>
      <c r="F1312" t="s">
        <v>89</v>
      </c>
      <c r="G1312" t="s">
        <v>150</v>
      </c>
      <c r="H1312">
        <v>1</v>
      </c>
      <c r="I1312">
        <v>25.26</v>
      </c>
      <c r="J1312">
        <v>0.15</v>
      </c>
      <c r="K1312">
        <v>21.47</v>
      </c>
      <c r="L1312">
        <v>2.61</v>
      </c>
      <c r="M1312" t="s">
        <v>35</v>
      </c>
    </row>
    <row r="1313" spans="1:13" x14ac:dyDescent="0.3">
      <c r="A1313" t="s">
        <v>2637</v>
      </c>
      <c r="B1313" t="s">
        <v>493</v>
      </c>
      <c r="C1313" t="s">
        <v>2537</v>
      </c>
      <c r="D1313" s="7" t="s">
        <v>347</v>
      </c>
      <c r="E1313" t="s">
        <v>17</v>
      </c>
      <c r="F1313" t="s">
        <v>33</v>
      </c>
      <c r="G1313" t="s">
        <v>50</v>
      </c>
      <c r="H1313">
        <v>2</v>
      </c>
      <c r="I1313">
        <v>207.16</v>
      </c>
      <c r="J1313">
        <v>0.15</v>
      </c>
      <c r="K1313">
        <v>352.17</v>
      </c>
      <c r="L1313">
        <v>72.02</v>
      </c>
      <c r="M1313" t="s">
        <v>20</v>
      </c>
    </row>
    <row r="1314" spans="1:13" x14ac:dyDescent="0.3">
      <c r="A1314" t="s">
        <v>2638</v>
      </c>
      <c r="B1314" t="s">
        <v>611</v>
      </c>
      <c r="C1314" t="s">
        <v>1543</v>
      </c>
      <c r="D1314" s="7" t="s">
        <v>1490</v>
      </c>
      <c r="E1314" t="s">
        <v>64</v>
      </c>
      <c r="F1314" t="s">
        <v>89</v>
      </c>
      <c r="G1314" t="s">
        <v>131</v>
      </c>
      <c r="H1314">
        <v>5</v>
      </c>
      <c r="I1314">
        <v>131.77000000000001</v>
      </c>
      <c r="J1314">
        <v>0.05</v>
      </c>
      <c r="K1314">
        <v>625.91</v>
      </c>
      <c r="L1314">
        <v>177.28</v>
      </c>
      <c r="M1314" t="s">
        <v>40</v>
      </c>
    </row>
    <row r="1315" spans="1:13" x14ac:dyDescent="0.3">
      <c r="A1315" t="s">
        <v>2639</v>
      </c>
      <c r="B1315" t="s">
        <v>1384</v>
      </c>
      <c r="C1315" t="s">
        <v>121</v>
      </c>
      <c r="D1315" s="7" t="s">
        <v>2577</v>
      </c>
      <c r="E1315" t="s">
        <v>32</v>
      </c>
      <c r="F1315" t="s">
        <v>33</v>
      </c>
      <c r="G1315" t="s">
        <v>69</v>
      </c>
      <c r="H1315">
        <v>6</v>
      </c>
      <c r="I1315">
        <v>155.34</v>
      </c>
      <c r="J1315">
        <v>0</v>
      </c>
      <c r="K1315">
        <v>932.04</v>
      </c>
      <c r="L1315">
        <v>228.09</v>
      </c>
      <c r="M1315" t="s">
        <v>20</v>
      </c>
    </row>
    <row r="1316" spans="1:13" x14ac:dyDescent="0.3">
      <c r="A1316" t="s">
        <v>2640</v>
      </c>
      <c r="B1316" t="s">
        <v>2022</v>
      </c>
      <c r="C1316" t="s">
        <v>339</v>
      </c>
      <c r="D1316" s="7" t="s">
        <v>1056</v>
      </c>
      <c r="E1316" t="s">
        <v>17</v>
      </c>
      <c r="F1316" t="s">
        <v>33</v>
      </c>
      <c r="G1316" t="s">
        <v>69</v>
      </c>
      <c r="H1316">
        <v>2</v>
      </c>
      <c r="I1316">
        <v>34.270000000000003</v>
      </c>
      <c r="J1316">
        <v>0.05</v>
      </c>
      <c r="K1316">
        <v>65.11</v>
      </c>
      <c r="L1316">
        <v>9.48</v>
      </c>
      <c r="M1316" t="s">
        <v>40</v>
      </c>
    </row>
    <row r="1317" spans="1:13" x14ac:dyDescent="0.3">
      <c r="A1317" t="s">
        <v>2641</v>
      </c>
      <c r="B1317" t="s">
        <v>1035</v>
      </c>
      <c r="C1317" t="s">
        <v>1499</v>
      </c>
      <c r="D1317" s="7" t="s">
        <v>726</v>
      </c>
      <c r="E1317" t="s">
        <v>25</v>
      </c>
      <c r="F1317" t="s">
        <v>89</v>
      </c>
      <c r="G1317" t="s">
        <v>90</v>
      </c>
      <c r="H1317">
        <v>7</v>
      </c>
      <c r="I1317">
        <v>128.38999999999999</v>
      </c>
      <c r="J1317">
        <v>0</v>
      </c>
      <c r="K1317">
        <v>898.73</v>
      </c>
      <c r="L1317">
        <v>141.24</v>
      </c>
      <c r="M1317" t="s">
        <v>40</v>
      </c>
    </row>
    <row r="1318" spans="1:13" x14ac:dyDescent="0.3">
      <c r="A1318" t="s">
        <v>2642</v>
      </c>
      <c r="B1318" t="s">
        <v>570</v>
      </c>
      <c r="C1318" t="s">
        <v>778</v>
      </c>
      <c r="D1318" s="7" t="s">
        <v>1354</v>
      </c>
      <c r="E1318" t="s">
        <v>25</v>
      </c>
      <c r="F1318" t="s">
        <v>33</v>
      </c>
      <c r="G1318" t="s">
        <v>74</v>
      </c>
      <c r="H1318">
        <v>8</v>
      </c>
      <c r="I1318">
        <v>128.57</v>
      </c>
      <c r="J1318">
        <v>0.05</v>
      </c>
      <c r="K1318">
        <v>977.13</v>
      </c>
      <c r="L1318">
        <v>230.34</v>
      </c>
      <c r="M1318" t="s">
        <v>40</v>
      </c>
    </row>
    <row r="1319" spans="1:13" x14ac:dyDescent="0.3">
      <c r="A1319" t="s">
        <v>2643</v>
      </c>
      <c r="B1319" t="s">
        <v>76</v>
      </c>
      <c r="C1319" t="s">
        <v>1582</v>
      </c>
      <c r="D1319" s="7" t="s">
        <v>231</v>
      </c>
      <c r="E1319" t="s">
        <v>64</v>
      </c>
      <c r="F1319" t="s">
        <v>18</v>
      </c>
      <c r="G1319" t="s">
        <v>19</v>
      </c>
      <c r="H1319">
        <v>2</v>
      </c>
      <c r="I1319">
        <v>185.83</v>
      </c>
      <c r="J1319">
        <v>0.15</v>
      </c>
      <c r="K1319">
        <v>315.91000000000003</v>
      </c>
      <c r="L1319">
        <v>55.78</v>
      </c>
      <c r="M1319" t="s">
        <v>20</v>
      </c>
    </row>
    <row r="1320" spans="1:13" x14ac:dyDescent="0.3">
      <c r="A1320" t="s">
        <v>2644</v>
      </c>
      <c r="B1320" t="s">
        <v>1879</v>
      </c>
      <c r="C1320" t="s">
        <v>93</v>
      </c>
      <c r="D1320" s="7" t="s">
        <v>462</v>
      </c>
      <c r="E1320" t="s">
        <v>64</v>
      </c>
      <c r="F1320" t="s">
        <v>33</v>
      </c>
      <c r="G1320" t="s">
        <v>69</v>
      </c>
      <c r="H1320">
        <v>4</v>
      </c>
      <c r="I1320">
        <v>218.56</v>
      </c>
      <c r="J1320">
        <v>0.05</v>
      </c>
      <c r="K1320">
        <v>830.53</v>
      </c>
      <c r="L1320">
        <v>91.54</v>
      </c>
      <c r="M1320" t="s">
        <v>20</v>
      </c>
    </row>
    <row r="1321" spans="1:13" x14ac:dyDescent="0.3">
      <c r="A1321" t="s">
        <v>2645</v>
      </c>
      <c r="B1321" t="s">
        <v>1773</v>
      </c>
      <c r="C1321" t="s">
        <v>890</v>
      </c>
      <c r="D1321" s="7" t="s">
        <v>1803</v>
      </c>
      <c r="E1321" t="s">
        <v>64</v>
      </c>
      <c r="F1321" t="s">
        <v>18</v>
      </c>
      <c r="G1321" t="s">
        <v>45</v>
      </c>
      <c r="H1321">
        <v>1</v>
      </c>
      <c r="I1321">
        <v>242.06</v>
      </c>
      <c r="J1321">
        <v>0.05</v>
      </c>
      <c r="K1321">
        <v>229.96</v>
      </c>
      <c r="L1321">
        <v>33.700000000000003</v>
      </c>
      <c r="M1321" t="s">
        <v>20</v>
      </c>
    </row>
    <row r="1322" spans="1:13" x14ac:dyDescent="0.3">
      <c r="A1322" t="s">
        <v>2646</v>
      </c>
      <c r="B1322" t="s">
        <v>558</v>
      </c>
      <c r="C1322" t="s">
        <v>1102</v>
      </c>
      <c r="D1322" s="7" t="s">
        <v>2454</v>
      </c>
      <c r="E1322" t="s">
        <v>25</v>
      </c>
      <c r="F1322" t="s">
        <v>89</v>
      </c>
      <c r="G1322" t="s">
        <v>90</v>
      </c>
      <c r="H1322">
        <v>1</v>
      </c>
      <c r="I1322">
        <v>184.42</v>
      </c>
      <c r="J1322">
        <v>0</v>
      </c>
      <c r="K1322">
        <v>184.42</v>
      </c>
      <c r="L1322">
        <v>38.619999999999997</v>
      </c>
      <c r="M1322" t="s">
        <v>40</v>
      </c>
    </row>
    <row r="1323" spans="1:13" x14ac:dyDescent="0.3">
      <c r="A1323" t="s">
        <v>2647</v>
      </c>
      <c r="B1323" t="s">
        <v>1280</v>
      </c>
      <c r="C1323" t="s">
        <v>1074</v>
      </c>
      <c r="D1323" s="7" t="s">
        <v>609</v>
      </c>
      <c r="E1323" t="s">
        <v>59</v>
      </c>
      <c r="F1323" t="s">
        <v>33</v>
      </c>
      <c r="G1323" t="s">
        <v>69</v>
      </c>
      <c r="H1323">
        <v>8</v>
      </c>
      <c r="I1323">
        <v>128.29</v>
      </c>
      <c r="J1323">
        <v>0.05</v>
      </c>
      <c r="K1323">
        <v>975</v>
      </c>
      <c r="L1323">
        <v>109.09</v>
      </c>
      <c r="M1323" t="s">
        <v>20</v>
      </c>
    </row>
    <row r="1324" spans="1:13" x14ac:dyDescent="0.3">
      <c r="A1324" t="s">
        <v>2648</v>
      </c>
      <c r="B1324" t="s">
        <v>630</v>
      </c>
      <c r="C1324" t="s">
        <v>160</v>
      </c>
      <c r="D1324" s="7" t="s">
        <v>383</v>
      </c>
      <c r="E1324" t="s">
        <v>25</v>
      </c>
      <c r="F1324" t="s">
        <v>33</v>
      </c>
      <c r="G1324" t="s">
        <v>74</v>
      </c>
      <c r="H1324">
        <v>3</v>
      </c>
      <c r="I1324">
        <v>100.42</v>
      </c>
      <c r="J1324">
        <v>0</v>
      </c>
      <c r="K1324">
        <v>301.26</v>
      </c>
      <c r="L1324">
        <v>70.89</v>
      </c>
      <c r="M1324" t="s">
        <v>20</v>
      </c>
    </row>
    <row r="1325" spans="1:13" x14ac:dyDescent="0.3">
      <c r="A1325" t="s">
        <v>2649</v>
      </c>
      <c r="B1325" t="s">
        <v>170</v>
      </c>
      <c r="C1325" t="s">
        <v>97</v>
      </c>
      <c r="D1325" s="7" t="s">
        <v>2060</v>
      </c>
      <c r="E1325" t="s">
        <v>25</v>
      </c>
      <c r="F1325" t="s">
        <v>89</v>
      </c>
      <c r="G1325" t="s">
        <v>90</v>
      </c>
      <c r="H1325">
        <v>1</v>
      </c>
      <c r="I1325">
        <v>160.03</v>
      </c>
      <c r="J1325">
        <v>0</v>
      </c>
      <c r="K1325">
        <v>160.03</v>
      </c>
      <c r="L1325">
        <v>13.67</v>
      </c>
      <c r="M1325" t="s">
        <v>20</v>
      </c>
    </row>
    <row r="1326" spans="1:13" x14ac:dyDescent="0.3">
      <c r="A1326" t="s">
        <v>2650</v>
      </c>
      <c r="B1326" t="s">
        <v>214</v>
      </c>
      <c r="C1326" t="s">
        <v>2651</v>
      </c>
      <c r="D1326" s="7" t="s">
        <v>1224</v>
      </c>
      <c r="E1326" t="s">
        <v>64</v>
      </c>
      <c r="F1326" t="s">
        <v>89</v>
      </c>
      <c r="G1326" t="s">
        <v>150</v>
      </c>
      <c r="H1326">
        <v>2</v>
      </c>
      <c r="I1326">
        <v>92.23</v>
      </c>
      <c r="J1326">
        <v>0</v>
      </c>
      <c r="K1326">
        <v>184.46</v>
      </c>
      <c r="L1326">
        <v>26.01</v>
      </c>
      <c r="M1326" t="s">
        <v>35</v>
      </c>
    </row>
    <row r="1327" spans="1:13" x14ac:dyDescent="0.3">
      <c r="A1327" t="s">
        <v>2652</v>
      </c>
      <c r="B1327" t="s">
        <v>420</v>
      </c>
      <c r="C1327" t="s">
        <v>507</v>
      </c>
      <c r="D1327" s="7" t="s">
        <v>944</v>
      </c>
      <c r="E1327" t="s">
        <v>17</v>
      </c>
      <c r="F1327" t="s">
        <v>18</v>
      </c>
      <c r="G1327" t="s">
        <v>79</v>
      </c>
      <c r="H1327">
        <v>6</v>
      </c>
      <c r="I1327">
        <v>105.98</v>
      </c>
      <c r="J1327">
        <v>0.05</v>
      </c>
      <c r="K1327">
        <v>604.09</v>
      </c>
      <c r="L1327">
        <v>49.7</v>
      </c>
      <c r="M1327" t="s">
        <v>20</v>
      </c>
    </row>
    <row r="1328" spans="1:13" x14ac:dyDescent="0.3">
      <c r="A1328" t="s">
        <v>2653</v>
      </c>
      <c r="B1328" t="s">
        <v>320</v>
      </c>
      <c r="C1328" t="s">
        <v>1126</v>
      </c>
      <c r="D1328" s="7" t="s">
        <v>1240</v>
      </c>
      <c r="E1328" t="s">
        <v>32</v>
      </c>
      <c r="F1328" t="s">
        <v>18</v>
      </c>
      <c r="G1328" t="s">
        <v>45</v>
      </c>
      <c r="H1328">
        <v>5</v>
      </c>
      <c r="I1328">
        <v>127.61</v>
      </c>
      <c r="J1328">
        <v>0.1</v>
      </c>
      <c r="K1328">
        <v>574.25</v>
      </c>
      <c r="L1328">
        <v>104.35</v>
      </c>
      <c r="M1328" t="s">
        <v>35</v>
      </c>
    </row>
    <row r="1329" spans="1:13" x14ac:dyDescent="0.3">
      <c r="A1329" t="s">
        <v>2654</v>
      </c>
      <c r="B1329" t="s">
        <v>1696</v>
      </c>
      <c r="C1329" t="s">
        <v>1327</v>
      </c>
      <c r="D1329" s="7" t="s">
        <v>343</v>
      </c>
      <c r="E1329" t="s">
        <v>32</v>
      </c>
      <c r="F1329" t="s">
        <v>26</v>
      </c>
      <c r="G1329" t="s">
        <v>27</v>
      </c>
      <c r="H1329">
        <v>2</v>
      </c>
      <c r="I1329">
        <v>152.63999999999999</v>
      </c>
      <c r="J1329">
        <v>0.15</v>
      </c>
      <c r="K1329">
        <v>259.49</v>
      </c>
      <c r="L1329">
        <v>38.71</v>
      </c>
      <c r="M1329" t="s">
        <v>40</v>
      </c>
    </row>
    <row r="1330" spans="1:13" x14ac:dyDescent="0.3">
      <c r="A1330" t="s">
        <v>2655</v>
      </c>
      <c r="B1330" t="s">
        <v>2207</v>
      </c>
      <c r="C1330" t="s">
        <v>623</v>
      </c>
      <c r="D1330" s="7" t="s">
        <v>94</v>
      </c>
      <c r="E1330" t="s">
        <v>25</v>
      </c>
      <c r="F1330" t="s">
        <v>89</v>
      </c>
      <c r="G1330" t="s">
        <v>90</v>
      </c>
      <c r="H1330">
        <v>2</v>
      </c>
      <c r="I1330">
        <v>117.17</v>
      </c>
      <c r="J1330">
        <v>0.1</v>
      </c>
      <c r="K1330">
        <v>210.91</v>
      </c>
      <c r="L1330">
        <v>25.81</v>
      </c>
      <c r="M1330" t="s">
        <v>20</v>
      </c>
    </row>
    <row r="1331" spans="1:13" x14ac:dyDescent="0.3">
      <c r="A1331" t="s">
        <v>2656</v>
      </c>
      <c r="B1331" t="s">
        <v>2166</v>
      </c>
      <c r="C1331" t="s">
        <v>1066</v>
      </c>
      <c r="D1331" s="7" t="s">
        <v>1899</v>
      </c>
      <c r="E1331" t="s">
        <v>25</v>
      </c>
      <c r="F1331" t="s">
        <v>33</v>
      </c>
      <c r="G1331" t="s">
        <v>74</v>
      </c>
      <c r="H1331">
        <v>7</v>
      </c>
      <c r="I1331">
        <v>124.06</v>
      </c>
      <c r="J1331">
        <v>0.05</v>
      </c>
      <c r="K1331">
        <v>825</v>
      </c>
      <c r="L1331">
        <v>83.91</v>
      </c>
      <c r="M1331" t="s">
        <v>20</v>
      </c>
    </row>
    <row r="1332" spans="1:13" x14ac:dyDescent="0.3">
      <c r="A1332" t="s">
        <v>2657</v>
      </c>
      <c r="B1332" t="s">
        <v>271</v>
      </c>
      <c r="C1332" t="s">
        <v>1543</v>
      </c>
      <c r="D1332" s="7" t="s">
        <v>161</v>
      </c>
      <c r="E1332" t="s">
        <v>17</v>
      </c>
      <c r="F1332" t="s">
        <v>18</v>
      </c>
      <c r="G1332" t="s">
        <v>45</v>
      </c>
      <c r="H1332">
        <v>6</v>
      </c>
      <c r="I1332">
        <v>86.18</v>
      </c>
      <c r="J1332">
        <v>0</v>
      </c>
      <c r="K1332">
        <v>517.08000000000004</v>
      </c>
      <c r="L1332">
        <v>148.26</v>
      </c>
      <c r="M1332" t="s">
        <v>35</v>
      </c>
    </row>
    <row r="1333" spans="1:13" x14ac:dyDescent="0.3">
      <c r="A1333" t="s">
        <v>2658</v>
      </c>
      <c r="B1333" t="s">
        <v>1198</v>
      </c>
      <c r="C1333" t="s">
        <v>230</v>
      </c>
      <c r="D1333" s="7" t="s">
        <v>1884</v>
      </c>
      <c r="E1333" t="s">
        <v>64</v>
      </c>
      <c r="F1333" t="s">
        <v>33</v>
      </c>
      <c r="G1333" t="s">
        <v>34</v>
      </c>
      <c r="H1333">
        <v>3</v>
      </c>
      <c r="I1333">
        <v>44.66</v>
      </c>
      <c r="J1333">
        <v>0.05</v>
      </c>
      <c r="K1333">
        <v>127.28</v>
      </c>
      <c r="L1333">
        <v>22.38</v>
      </c>
      <c r="M1333" t="s">
        <v>20</v>
      </c>
    </row>
    <row r="1334" spans="1:13" x14ac:dyDescent="0.3">
      <c r="A1334" t="s">
        <v>2659</v>
      </c>
      <c r="B1334" t="s">
        <v>1657</v>
      </c>
      <c r="C1334" t="s">
        <v>2208</v>
      </c>
      <c r="D1334" s="7" t="s">
        <v>2437</v>
      </c>
      <c r="E1334" t="s">
        <v>17</v>
      </c>
      <c r="F1334" t="s">
        <v>26</v>
      </c>
      <c r="G1334" t="s">
        <v>84</v>
      </c>
      <c r="H1334">
        <v>8</v>
      </c>
      <c r="I1334">
        <v>187.16</v>
      </c>
      <c r="J1334">
        <v>0</v>
      </c>
      <c r="K1334">
        <v>1497.28</v>
      </c>
      <c r="L1334">
        <v>434.26</v>
      </c>
      <c r="M1334" t="s">
        <v>40</v>
      </c>
    </row>
    <row r="1335" spans="1:13" x14ac:dyDescent="0.3">
      <c r="A1335" t="s">
        <v>2660</v>
      </c>
      <c r="B1335" t="s">
        <v>163</v>
      </c>
      <c r="C1335" t="s">
        <v>424</v>
      </c>
      <c r="D1335" s="7" t="s">
        <v>1647</v>
      </c>
      <c r="E1335" t="s">
        <v>64</v>
      </c>
      <c r="F1335" t="s">
        <v>18</v>
      </c>
      <c r="G1335" t="s">
        <v>45</v>
      </c>
      <c r="H1335">
        <v>7</v>
      </c>
      <c r="I1335">
        <v>181.45</v>
      </c>
      <c r="J1335">
        <v>0.1</v>
      </c>
      <c r="K1335">
        <v>1143.1300000000001</v>
      </c>
      <c r="L1335">
        <v>95.67</v>
      </c>
      <c r="M1335" t="s">
        <v>40</v>
      </c>
    </row>
    <row r="1336" spans="1:13" x14ac:dyDescent="0.3">
      <c r="A1336" t="s">
        <v>2661</v>
      </c>
      <c r="B1336" t="s">
        <v>1216</v>
      </c>
      <c r="C1336" t="s">
        <v>1920</v>
      </c>
      <c r="D1336" s="7" t="s">
        <v>126</v>
      </c>
      <c r="E1336" t="s">
        <v>59</v>
      </c>
      <c r="F1336" t="s">
        <v>33</v>
      </c>
      <c r="G1336" t="s">
        <v>50</v>
      </c>
      <c r="H1336">
        <v>2</v>
      </c>
      <c r="I1336">
        <v>63.23</v>
      </c>
      <c r="J1336">
        <v>0.1</v>
      </c>
      <c r="K1336">
        <v>113.81</v>
      </c>
      <c r="L1336">
        <v>27.41</v>
      </c>
      <c r="M1336" t="s">
        <v>20</v>
      </c>
    </row>
    <row r="1337" spans="1:13" x14ac:dyDescent="0.3">
      <c r="A1337" t="s">
        <v>2662</v>
      </c>
      <c r="B1337" t="s">
        <v>570</v>
      </c>
      <c r="C1337" t="s">
        <v>520</v>
      </c>
      <c r="D1337" s="7" t="s">
        <v>1264</v>
      </c>
      <c r="E1337" t="s">
        <v>17</v>
      </c>
      <c r="F1337" t="s">
        <v>18</v>
      </c>
      <c r="G1337" t="s">
        <v>19</v>
      </c>
      <c r="H1337">
        <v>1</v>
      </c>
      <c r="I1337">
        <v>19.23</v>
      </c>
      <c r="J1337">
        <v>0.05</v>
      </c>
      <c r="K1337">
        <v>18.27</v>
      </c>
      <c r="L1337">
        <v>1.92</v>
      </c>
      <c r="M1337" t="s">
        <v>40</v>
      </c>
    </row>
    <row r="1338" spans="1:13" x14ac:dyDescent="0.3">
      <c r="A1338" t="s">
        <v>2663</v>
      </c>
      <c r="B1338" t="s">
        <v>918</v>
      </c>
      <c r="C1338" t="s">
        <v>1033</v>
      </c>
      <c r="D1338" s="7" t="s">
        <v>254</v>
      </c>
      <c r="E1338" t="s">
        <v>59</v>
      </c>
      <c r="F1338" t="s">
        <v>26</v>
      </c>
      <c r="G1338" t="s">
        <v>84</v>
      </c>
      <c r="H1338">
        <v>5</v>
      </c>
      <c r="I1338">
        <v>186.2</v>
      </c>
      <c r="J1338">
        <v>0</v>
      </c>
      <c r="K1338">
        <v>931</v>
      </c>
      <c r="L1338">
        <v>141.77000000000001</v>
      </c>
      <c r="M1338" t="s">
        <v>20</v>
      </c>
    </row>
    <row r="1339" spans="1:13" x14ac:dyDescent="0.3">
      <c r="A1339" t="s">
        <v>2664</v>
      </c>
      <c r="B1339" t="s">
        <v>2458</v>
      </c>
      <c r="C1339" t="s">
        <v>2665</v>
      </c>
      <c r="D1339" s="7" t="s">
        <v>2295</v>
      </c>
      <c r="E1339" t="s">
        <v>59</v>
      </c>
      <c r="F1339" t="s">
        <v>33</v>
      </c>
      <c r="G1339" t="s">
        <v>50</v>
      </c>
      <c r="H1339">
        <v>1</v>
      </c>
      <c r="I1339">
        <v>18.010000000000002</v>
      </c>
      <c r="J1339">
        <v>0</v>
      </c>
      <c r="K1339">
        <v>18.010000000000002</v>
      </c>
      <c r="L1339">
        <v>2.93</v>
      </c>
      <c r="M1339" t="s">
        <v>35</v>
      </c>
    </row>
    <row r="1340" spans="1:13" x14ac:dyDescent="0.3">
      <c r="A1340" t="s">
        <v>2666</v>
      </c>
      <c r="B1340" t="s">
        <v>558</v>
      </c>
      <c r="C1340" t="s">
        <v>1558</v>
      </c>
      <c r="D1340" s="7" t="s">
        <v>906</v>
      </c>
      <c r="E1340" t="s">
        <v>17</v>
      </c>
      <c r="F1340" t="s">
        <v>26</v>
      </c>
      <c r="G1340" t="s">
        <v>27</v>
      </c>
      <c r="H1340">
        <v>5</v>
      </c>
      <c r="I1340">
        <v>151.81</v>
      </c>
      <c r="J1340">
        <v>0.1</v>
      </c>
      <c r="K1340">
        <v>683.14</v>
      </c>
      <c r="L1340">
        <v>141.84</v>
      </c>
      <c r="M1340" t="s">
        <v>20</v>
      </c>
    </row>
    <row r="1341" spans="1:13" x14ac:dyDescent="0.3">
      <c r="A1341" t="s">
        <v>2667</v>
      </c>
      <c r="B1341" t="s">
        <v>2458</v>
      </c>
      <c r="C1341" t="s">
        <v>1422</v>
      </c>
      <c r="D1341" s="7" t="s">
        <v>325</v>
      </c>
      <c r="E1341" t="s">
        <v>32</v>
      </c>
      <c r="F1341" t="s">
        <v>18</v>
      </c>
      <c r="G1341" t="s">
        <v>45</v>
      </c>
      <c r="H1341">
        <v>2</v>
      </c>
      <c r="I1341">
        <v>46.99</v>
      </c>
      <c r="J1341">
        <v>0.05</v>
      </c>
      <c r="K1341">
        <v>89.28</v>
      </c>
      <c r="L1341">
        <v>19.3</v>
      </c>
      <c r="M1341" t="s">
        <v>40</v>
      </c>
    </row>
    <row r="1342" spans="1:13" x14ac:dyDescent="0.3">
      <c r="A1342" t="s">
        <v>2668</v>
      </c>
      <c r="B1342" t="s">
        <v>137</v>
      </c>
      <c r="C1342" t="s">
        <v>1353</v>
      </c>
      <c r="D1342" s="7" t="s">
        <v>2669</v>
      </c>
      <c r="E1342" t="s">
        <v>59</v>
      </c>
      <c r="F1342" t="s">
        <v>33</v>
      </c>
      <c r="G1342" t="s">
        <v>34</v>
      </c>
      <c r="H1342">
        <v>3</v>
      </c>
      <c r="I1342">
        <v>84.61</v>
      </c>
      <c r="J1342">
        <v>0.15</v>
      </c>
      <c r="K1342">
        <v>215.76</v>
      </c>
      <c r="L1342">
        <v>40.64</v>
      </c>
      <c r="M1342" t="s">
        <v>35</v>
      </c>
    </row>
    <row r="1343" spans="1:13" x14ac:dyDescent="0.3">
      <c r="A1343" t="s">
        <v>2670</v>
      </c>
      <c r="B1343" t="s">
        <v>1377</v>
      </c>
      <c r="C1343" t="s">
        <v>204</v>
      </c>
      <c r="D1343" s="7" t="s">
        <v>609</v>
      </c>
      <c r="E1343" t="s">
        <v>32</v>
      </c>
      <c r="F1343" t="s">
        <v>89</v>
      </c>
      <c r="G1343" t="s">
        <v>90</v>
      </c>
      <c r="H1343">
        <v>2</v>
      </c>
      <c r="I1343">
        <v>149.74</v>
      </c>
      <c r="J1343">
        <v>0.15</v>
      </c>
      <c r="K1343">
        <v>254.56</v>
      </c>
      <c r="L1343">
        <v>24.92</v>
      </c>
      <c r="M1343" t="s">
        <v>40</v>
      </c>
    </row>
    <row r="1344" spans="1:13" x14ac:dyDescent="0.3">
      <c r="A1344" t="s">
        <v>2671</v>
      </c>
      <c r="B1344" t="s">
        <v>540</v>
      </c>
      <c r="C1344" t="s">
        <v>883</v>
      </c>
      <c r="D1344" s="7" t="s">
        <v>919</v>
      </c>
      <c r="E1344" t="s">
        <v>25</v>
      </c>
      <c r="F1344" t="s">
        <v>18</v>
      </c>
      <c r="G1344" t="s">
        <v>19</v>
      </c>
      <c r="H1344">
        <v>5</v>
      </c>
      <c r="I1344">
        <v>196.3</v>
      </c>
      <c r="J1344">
        <v>0.05</v>
      </c>
      <c r="K1344">
        <v>932.42</v>
      </c>
      <c r="L1344">
        <v>268.98</v>
      </c>
      <c r="M1344" t="s">
        <v>20</v>
      </c>
    </row>
    <row r="1345" spans="1:13" x14ac:dyDescent="0.3">
      <c r="A1345" t="s">
        <v>2672</v>
      </c>
      <c r="B1345" t="s">
        <v>873</v>
      </c>
      <c r="C1345" t="s">
        <v>156</v>
      </c>
      <c r="D1345" s="7" t="s">
        <v>819</v>
      </c>
      <c r="E1345" t="s">
        <v>59</v>
      </c>
      <c r="F1345" t="s">
        <v>33</v>
      </c>
      <c r="G1345" t="s">
        <v>69</v>
      </c>
      <c r="H1345">
        <v>8</v>
      </c>
      <c r="I1345">
        <v>53.14</v>
      </c>
      <c r="J1345">
        <v>0</v>
      </c>
      <c r="K1345">
        <v>425.12</v>
      </c>
      <c r="L1345">
        <v>110.58</v>
      </c>
      <c r="M1345" t="s">
        <v>35</v>
      </c>
    </row>
    <row r="1346" spans="1:13" x14ac:dyDescent="0.3">
      <c r="A1346" t="s">
        <v>2673</v>
      </c>
      <c r="B1346" t="s">
        <v>408</v>
      </c>
      <c r="C1346" t="s">
        <v>369</v>
      </c>
      <c r="D1346" s="7" t="s">
        <v>83</v>
      </c>
      <c r="E1346" t="s">
        <v>17</v>
      </c>
      <c r="F1346" t="s">
        <v>89</v>
      </c>
      <c r="G1346" t="s">
        <v>131</v>
      </c>
      <c r="H1346">
        <v>3</v>
      </c>
      <c r="I1346">
        <v>175.08</v>
      </c>
      <c r="J1346">
        <v>0.15</v>
      </c>
      <c r="K1346">
        <v>446.45</v>
      </c>
      <c r="L1346">
        <v>41.55</v>
      </c>
      <c r="M1346" t="s">
        <v>40</v>
      </c>
    </row>
    <row r="1347" spans="1:13" x14ac:dyDescent="0.3">
      <c r="A1347" t="s">
        <v>2674</v>
      </c>
      <c r="B1347" t="s">
        <v>317</v>
      </c>
      <c r="C1347" t="s">
        <v>1492</v>
      </c>
      <c r="D1347" s="7" t="s">
        <v>78</v>
      </c>
      <c r="E1347" t="s">
        <v>17</v>
      </c>
      <c r="F1347" t="s">
        <v>33</v>
      </c>
      <c r="G1347" t="s">
        <v>74</v>
      </c>
      <c r="H1347">
        <v>8</v>
      </c>
      <c r="I1347">
        <v>19.79</v>
      </c>
      <c r="J1347">
        <v>0</v>
      </c>
      <c r="K1347">
        <v>158.32</v>
      </c>
      <c r="L1347">
        <v>35.6</v>
      </c>
      <c r="M1347" t="s">
        <v>40</v>
      </c>
    </row>
    <row r="1348" spans="1:13" x14ac:dyDescent="0.3">
      <c r="A1348" t="s">
        <v>2675</v>
      </c>
      <c r="B1348" t="s">
        <v>540</v>
      </c>
      <c r="C1348" t="s">
        <v>67</v>
      </c>
      <c r="D1348" s="7" t="s">
        <v>16</v>
      </c>
      <c r="E1348" t="s">
        <v>17</v>
      </c>
      <c r="F1348" t="s">
        <v>18</v>
      </c>
      <c r="G1348" t="s">
        <v>79</v>
      </c>
      <c r="H1348">
        <v>6</v>
      </c>
      <c r="I1348">
        <v>16.62</v>
      </c>
      <c r="J1348">
        <v>0.1</v>
      </c>
      <c r="K1348">
        <v>89.75</v>
      </c>
      <c r="L1348">
        <v>9.66</v>
      </c>
      <c r="M1348" t="s">
        <v>40</v>
      </c>
    </row>
    <row r="1349" spans="1:13" x14ac:dyDescent="0.3">
      <c r="A1349" t="s">
        <v>2676</v>
      </c>
      <c r="B1349" t="s">
        <v>1267</v>
      </c>
      <c r="C1349" t="s">
        <v>243</v>
      </c>
      <c r="D1349" s="7" t="s">
        <v>598</v>
      </c>
      <c r="E1349" t="s">
        <v>59</v>
      </c>
      <c r="F1349" t="s">
        <v>18</v>
      </c>
      <c r="G1349" t="s">
        <v>45</v>
      </c>
      <c r="H1349">
        <v>7</v>
      </c>
      <c r="I1349">
        <v>135.54</v>
      </c>
      <c r="J1349">
        <v>0.1</v>
      </c>
      <c r="K1349">
        <v>853.9</v>
      </c>
      <c r="L1349">
        <v>127.87</v>
      </c>
      <c r="M1349" t="s">
        <v>35</v>
      </c>
    </row>
    <row r="1350" spans="1:13" x14ac:dyDescent="0.3">
      <c r="A1350" t="s">
        <v>2677</v>
      </c>
      <c r="B1350" t="s">
        <v>260</v>
      </c>
      <c r="C1350" t="s">
        <v>1653</v>
      </c>
      <c r="D1350" s="7" t="s">
        <v>383</v>
      </c>
      <c r="E1350" t="s">
        <v>17</v>
      </c>
      <c r="F1350" t="s">
        <v>33</v>
      </c>
      <c r="G1350" t="s">
        <v>74</v>
      </c>
      <c r="H1350">
        <v>3</v>
      </c>
      <c r="I1350">
        <v>229.71</v>
      </c>
      <c r="J1350">
        <v>0</v>
      </c>
      <c r="K1350">
        <v>689.13</v>
      </c>
      <c r="L1350">
        <v>78.8</v>
      </c>
      <c r="M1350" t="s">
        <v>35</v>
      </c>
    </row>
    <row r="1351" spans="1:13" x14ac:dyDescent="0.3">
      <c r="A1351" t="s">
        <v>2678</v>
      </c>
      <c r="B1351" t="s">
        <v>1307</v>
      </c>
      <c r="C1351" t="s">
        <v>2679</v>
      </c>
      <c r="D1351" s="7" t="s">
        <v>1001</v>
      </c>
      <c r="E1351" t="s">
        <v>25</v>
      </c>
      <c r="F1351" t="s">
        <v>33</v>
      </c>
      <c r="G1351" t="s">
        <v>69</v>
      </c>
      <c r="H1351">
        <v>7</v>
      </c>
      <c r="I1351">
        <v>192.23</v>
      </c>
      <c r="J1351">
        <v>0.05</v>
      </c>
      <c r="K1351">
        <v>1278.33</v>
      </c>
      <c r="L1351">
        <v>168.78</v>
      </c>
      <c r="M1351" t="s">
        <v>40</v>
      </c>
    </row>
    <row r="1352" spans="1:13" x14ac:dyDescent="0.3">
      <c r="A1352" t="s">
        <v>2680</v>
      </c>
      <c r="B1352" t="s">
        <v>385</v>
      </c>
      <c r="C1352" t="s">
        <v>1811</v>
      </c>
      <c r="D1352" s="7" t="s">
        <v>2681</v>
      </c>
      <c r="E1352" t="s">
        <v>25</v>
      </c>
      <c r="F1352" t="s">
        <v>26</v>
      </c>
      <c r="G1352" t="s">
        <v>27</v>
      </c>
      <c r="H1352">
        <v>5</v>
      </c>
      <c r="I1352">
        <v>81.459999999999994</v>
      </c>
      <c r="J1352">
        <v>0.05</v>
      </c>
      <c r="K1352">
        <v>386.93</v>
      </c>
      <c r="L1352">
        <v>65.739999999999995</v>
      </c>
      <c r="M1352" t="s">
        <v>40</v>
      </c>
    </row>
    <row r="1353" spans="1:13" x14ac:dyDescent="0.3">
      <c r="A1353" t="s">
        <v>2682</v>
      </c>
      <c r="B1353" t="s">
        <v>147</v>
      </c>
      <c r="C1353" t="s">
        <v>1881</v>
      </c>
      <c r="D1353" s="7" t="s">
        <v>1819</v>
      </c>
      <c r="E1353" t="s">
        <v>59</v>
      </c>
      <c r="F1353" t="s">
        <v>89</v>
      </c>
      <c r="G1353" t="s">
        <v>90</v>
      </c>
      <c r="H1353">
        <v>1</v>
      </c>
      <c r="I1353">
        <v>62.5</v>
      </c>
      <c r="J1353">
        <v>0.15</v>
      </c>
      <c r="K1353">
        <v>53.12</v>
      </c>
      <c r="L1353">
        <v>6.09</v>
      </c>
      <c r="M1353" t="s">
        <v>35</v>
      </c>
    </row>
    <row r="1354" spans="1:13" x14ac:dyDescent="0.3">
      <c r="A1354" t="s">
        <v>2683</v>
      </c>
      <c r="B1354" t="s">
        <v>596</v>
      </c>
      <c r="C1354" t="s">
        <v>1451</v>
      </c>
      <c r="D1354" s="7" t="s">
        <v>2002</v>
      </c>
      <c r="E1354" t="s">
        <v>59</v>
      </c>
      <c r="F1354" t="s">
        <v>33</v>
      </c>
      <c r="G1354" t="s">
        <v>34</v>
      </c>
      <c r="H1354">
        <v>1</v>
      </c>
      <c r="I1354">
        <v>170.89</v>
      </c>
      <c r="J1354">
        <v>0</v>
      </c>
      <c r="K1354">
        <v>170.89</v>
      </c>
      <c r="L1354">
        <v>25.39</v>
      </c>
      <c r="M1354" t="s">
        <v>40</v>
      </c>
    </row>
    <row r="1355" spans="1:13" x14ac:dyDescent="0.3">
      <c r="A1355" t="s">
        <v>2684</v>
      </c>
      <c r="B1355" t="s">
        <v>309</v>
      </c>
      <c r="C1355" t="s">
        <v>517</v>
      </c>
      <c r="D1355" s="7" t="s">
        <v>521</v>
      </c>
      <c r="E1355" t="s">
        <v>59</v>
      </c>
      <c r="F1355" t="s">
        <v>18</v>
      </c>
      <c r="G1355" t="s">
        <v>19</v>
      </c>
      <c r="H1355">
        <v>1</v>
      </c>
      <c r="I1355">
        <v>175.71</v>
      </c>
      <c r="J1355">
        <v>0</v>
      </c>
      <c r="K1355">
        <v>175.71</v>
      </c>
      <c r="L1355">
        <v>24.02</v>
      </c>
      <c r="M1355" t="s">
        <v>35</v>
      </c>
    </row>
    <row r="1356" spans="1:13" x14ac:dyDescent="0.3">
      <c r="A1356" t="s">
        <v>2685</v>
      </c>
      <c r="B1356" t="s">
        <v>464</v>
      </c>
      <c r="C1356" t="s">
        <v>1749</v>
      </c>
      <c r="D1356" s="7" t="s">
        <v>2413</v>
      </c>
      <c r="E1356" t="s">
        <v>25</v>
      </c>
      <c r="F1356" t="s">
        <v>89</v>
      </c>
      <c r="G1356" t="s">
        <v>90</v>
      </c>
      <c r="H1356">
        <v>2</v>
      </c>
      <c r="I1356">
        <v>140.44</v>
      </c>
      <c r="J1356">
        <v>0.1</v>
      </c>
      <c r="K1356">
        <v>252.79</v>
      </c>
      <c r="L1356">
        <v>37.99</v>
      </c>
      <c r="M1356" t="s">
        <v>20</v>
      </c>
    </row>
    <row r="1357" spans="1:13" x14ac:dyDescent="0.3">
      <c r="A1357" t="s">
        <v>2686</v>
      </c>
      <c r="B1357" t="s">
        <v>856</v>
      </c>
      <c r="C1357" t="s">
        <v>375</v>
      </c>
      <c r="D1357" s="7" t="s">
        <v>1139</v>
      </c>
      <c r="E1357" t="s">
        <v>59</v>
      </c>
      <c r="F1357" t="s">
        <v>18</v>
      </c>
      <c r="G1357" t="s">
        <v>79</v>
      </c>
      <c r="H1357">
        <v>8</v>
      </c>
      <c r="I1357">
        <v>81.84</v>
      </c>
      <c r="J1357">
        <v>0.05</v>
      </c>
      <c r="K1357">
        <v>621.98</v>
      </c>
      <c r="L1357">
        <v>151.47</v>
      </c>
      <c r="M1357" t="s">
        <v>40</v>
      </c>
    </row>
    <row r="1358" spans="1:13" x14ac:dyDescent="0.3">
      <c r="A1358" t="s">
        <v>2687</v>
      </c>
      <c r="B1358" t="s">
        <v>983</v>
      </c>
      <c r="C1358" t="s">
        <v>1653</v>
      </c>
      <c r="D1358" s="7" t="s">
        <v>1436</v>
      </c>
      <c r="E1358" t="s">
        <v>32</v>
      </c>
      <c r="F1358" t="s">
        <v>33</v>
      </c>
      <c r="G1358" t="s">
        <v>34</v>
      </c>
      <c r="H1358">
        <v>5</v>
      </c>
      <c r="I1358">
        <v>246.78</v>
      </c>
      <c r="J1358">
        <v>0.1</v>
      </c>
      <c r="K1358">
        <v>1110.51</v>
      </c>
      <c r="L1358">
        <v>135.83000000000001</v>
      </c>
      <c r="M1358" t="s">
        <v>40</v>
      </c>
    </row>
    <row r="1359" spans="1:13" x14ac:dyDescent="0.3">
      <c r="A1359" t="s">
        <v>2688</v>
      </c>
      <c r="B1359" t="s">
        <v>943</v>
      </c>
      <c r="C1359" t="s">
        <v>1793</v>
      </c>
      <c r="D1359" s="7" t="s">
        <v>2454</v>
      </c>
      <c r="E1359" t="s">
        <v>64</v>
      </c>
      <c r="F1359" t="s">
        <v>33</v>
      </c>
      <c r="G1359" t="s">
        <v>34</v>
      </c>
      <c r="H1359">
        <v>3</v>
      </c>
      <c r="I1359">
        <v>111.72</v>
      </c>
      <c r="J1359">
        <v>0</v>
      </c>
      <c r="K1359">
        <v>335.16</v>
      </c>
      <c r="L1359">
        <v>53.65</v>
      </c>
      <c r="M1359" t="s">
        <v>20</v>
      </c>
    </row>
    <row r="1360" spans="1:13" x14ac:dyDescent="0.3">
      <c r="A1360" t="s">
        <v>2689</v>
      </c>
      <c r="B1360" t="s">
        <v>558</v>
      </c>
      <c r="C1360" t="s">
        <v>1404</v>
      </c>
      <c r="D1360" s="7" t="s">
        <v>2544</v>
      </c>
      <c r="E1360" t="s">
        <v>25</v>
      </c>
      <c r="F1360" t="s">
        <v>33</v>
      </c>
      <c r="G1360" t="s">
        <v>50</v>
      </c>
      <c r="H1360">
        <v>6</v>
      </c>
      <c r="I1360">
        <v>230.75</v>
      </c>
      <c r="J1360">
        <v>0.05</v>
      </c>
      <c r="K1360">
        <v>1315.27</v>
      </c>
      <c r="L1360">
        <v>253.15</v>
      </c>
      <c r="M1360" t="s">
        <v>20</v>
      </c>
    </row>
    <row r="1361" spans="1:13" x14ac:dyDescent="0.3">
      <c r="A1361" t="s">
        <v>2690</v>
      </c>
      <c r="B1361" t="s">
        <v>1696</v>
      </c>
      <c r="C1361" t="s">
        <v>93</v>
      </c>
      <c r="D1361" s="7" t="s">
        <v>2271</v>
      </c>
      <c r="E1361" t="s">
        <v>32</v>
      </c>
      <c r="F1361" t="s">
        <v>33</v>
      </c>
      <c r="G1361" t="s">
        <v>34</v>
      </c>
      <c r="H1361">
        <v>6</v>
      </c>
      <c r="I1361">
        <v>37.89</v>
      </c>
      <c r="J1361">
        <v>0</v>
      </c>
      <c r="K1361">
        <v>227.34</v>
      </c>
      <c r="L1361">
        <v>63.88</v>
      </c>
      <c r="M1361" t="s">
        <v>35</v>
      </c>
    </row>
    <row r="1362" spans="1:13" x14ac:dyDescent="0.3">
      <c r="A1362" t="s">
        <v>2691</v>
      </c>
      <c r="B1362" t="s">
        <v>61</v>
      </c>
      <c r="C1362" t="s">
        <v>272</v>
      </c>
      <c r="D1362" s="7" t="s">
        <v>2085</v>
      </c>
      <c r="E1362" t="s">
        <v>25</v>
      </c>
      <c r="F1362" t="s">
        <v>33</v>
      </c>
      <c r="G1362" t="s">
        <v>50</v>
      </c>
      <c r="H1362">
        <v>7</v>
      </c>
      <c r="I1362">
        <v>214.76</v>
      </c>
      <c r="J1362">
        <v>0.05</v>
      </c>
      <c r="K1362">
        <v>1428.15</v>
      </c>
      <c r="L1362">
        <v>236.88</v>
      </c>
      <c r="M1362" t="s">
        <v>35</v>
      </c>
    </row>
    <row r="1363" spans="1:13" x14ac:dyDescent="0.3">
      <c r="A1363" t="s">
        <v>2692</v>
      </c>
      <c r="B1363" t="s">
        <v>1691</v>
      </c>
      <c r="C1363" t="s">
        <v>1932</v>
      </c>
      <c r="D1363" s="7" t="s">
        <v>2307</v>
      </c>
      <c r="E1363" t="s">
        <v>17</v>
      </c>
      <c r="F1363" t="s">
        <v>89</v>
      </c>
      <c r="G1363" t="s">
        <v>90</v>
      </c>
      <c r="H1363">
        <v>6</v>
      </c>
      <c r="I1363">
        <v>42.75</v>
      </c>
      <c r="J1363">
        <v>0.05</v>
      </c>
      <c r="K1363">
        <v>243.67</v>
      </c>
      <c r="L1363">
        <v>45.35</v>
      </c>
      <c r="M1363" t="s">
        <v>35</v>
      </c>
    </row>
    <row r="1364" spans="1:13" x14ac:dyDescent="0.3">
      <c r="A1364" t="s">
        <v>2693</v>
      </c>
      <c r="B1364" t="s">
        <v>731</v>
      </c>
      <c r="C1364" t="s">
        <v>1682</v>
      </c>
      <c r="D1364" s="7" t="s">
        <v>292</v>
      </c>
      <c r="E1364" t="s">
        <v>64</v>
      </c>
      <c r="F1364" t="s">
        <v>26</v>
      </c>
      <c r="G1364" t="s">
        <v>84</v>
      </c>
      <c r="H1364">
        <v>3</v>
      </c>
      <c r="I1364">
        <v>128.07</v>
      </c>
      <c r="J1364">
        <v>0.15</v>
      </c>
      <c r="K1364">
        <v>326.58</v>
      </c>
      <c r="L1364">
        <v>38.590000000000003</v>
      </c>
      <c r="M1364" t="s">
        <v>20</v>
      </c>
    </row>
    <row r="1365" spans="1:13" x14ac:dyDescent="0.3">
      <c r="A1365" t="s">
        <v>2694</v>
      </c>
      <c r="B1365" t="s">
        <v>510</v>
      </c>
      <c r="C1365" t="s">
        <v>1509</v>
      </c>
      <c r="D1365" s="7" t="s">
        <v>1163</v>
      </c>
      <c r="E1365" t="s">
        <v>17</v>
      </c>
      <c r="F1365" t="s">
        <v>33</v>
      </c>
      <c r="G1365" t="s">
        <v>74</v>
      </c>
      <c r="H1365">
        <v>8</v>
      </c>
      <c r="I1365">
        <v>184.42</v>
      </c>
      <c r="J1365">
        <v>0</v>
      </c>
      <c r="K1365">
        <v>1475.36</v>
      </c>
      <c r="L1365">
        <v>376.39</v>
      </c>
      <c r="M1365" t="s">
        <v>20</v>
      </c>
    </row>
    <row r="1366" spans="1:13" x14ac:dyDescent="0.3">
      <c r="A1366" t="s">
        <v>2695</v>
      </c>
      <c r="B1366" t="s">
        <v>500</v>
      </c>
      <c r="C1366" t="s">
        <v>1848</v>
      </c>
      <c r="D1366" s="7" t="s">
        <v>631</v>
      </c>
      <c r="E1366" t="s">
        <v>25</v>
      </c>
      <c r="F1366" t="s">
        <v>18</v>
      </c>
      <c r="G1366" t="s">
        <v>19</v>
      </c>
      <c r="H1366">
        <v>2</v>
      </c>
      <c r="I1366">
        <v>41.83</v>
      </c>
      <c r="J1366">
        <v>0.15</v>
      </c>
      <c r="K1366">
        <v>71.11</v>
      </c>
      <c r="L1366">
        <v>17.52</v>
      </c>
      <c r="M1366" t="s">
        <v>35</v>
      </c>
    </row>
    <row r="1367" spans="1:13" x14ac:dyDescent="0.3">
      <c r="A1367" t="s">
        <v>2696</v>
      </c>
      <c r="B1367" t="s">
        <v>210</v>
      </c>
      <c r="C1367" t="s">
        <v>272</v>
      </c>
      <c r="D1367" s="7" t="s">
        <v>532</v>
      </c>
      <c r="E1367" t="s">
        <v>17</v>
      </c>
      <c r="F1367" t="s">
        <v>26</v>
      </c>
      <c r="G1367" t="s">
        <v>27</v>
      </c>
      <c r="H1367">
        <v>5</v>
      </c>
      <c r="I1367">
        <v>195.53</v>
      </c>
      <c r="J1367">
        <v>0.05</v>
      </c>
      <c r="K1367">
        <v>928.77</v>
      </c>
      <c r="L1367">
        <v>105.9</v>
      </c>
      <c r="M1367" t="s">
        <v>20</v>
      </c>
    </row>
    <row r="1368" spans="1:13" x14ac:dyDescent="0.3">
      <c r="A1368" t="s">
        <v>2697</v>
      </c>
      <c r="B1368" t="s">
        <v>1691</v>
      </c>
      <c r="C1368" t="s">
        <v>1203</v>
      </c>
      <c r="D1368" s="7" t="s">
        <v>363</v>
      </c>
      <c r="E1368" t="s">
        <v>32</v>
      </c>
      <c r="F1368" t="s">
        <v>26</v>
      </c>
      <c r="G1368" t="s">
        <v>27</v>
      </c>
      <c r="H1368">
        <v>4</v>
      </c>
      <c r="I1368">
        <v>106.16</v>
      </c>
      <c r="J1368">
        <v>0.05</v>
      </c>
      <c r="K1368">
        <v>403.41</v>
      </c>
      <c r="L1368">
        <v>114.44</v>
      </c>
      <c r="M1368" t="s">
        <v>35</v>
      </c>
    </row>
    <row r="1369" spans="1:13" x14ac:dyDescent="0.3">
      <c r="A1369" t="s">
        <v>2698</v>
      </c>
      <c r="B1369" t="s">
        <v>133</v>
      </c>
      <c r="C1369" t="s">
        <v>1411</v>
      </c>
      <c r="D1369" s="7" t="s">
        <v>2162</v>
      </c>
      <c r="E1369" t="s">
        <v>59</v>
      </c>
      <c r="F1369" t="s">
        <v>33</v>
      </c>
      <c r="G1369" t="s">
        <v>74</v>
      </c>
      <c r="H1369">
        <v>7</v>
      </c>
      <c r="I1369">
        <v>215.42</v>
      </c>
      <c r="J1369">
        <v>0.05</v>
      </c>
      <c r="K1369">
        <v>1432.54</v>
      </c>
      <c r="L1369">
        <v>120.4</v>
      </c>
      <c r="M1369" t="s">
        <v>20</v>
      </c>
    </row>
    <row r="1370" spans="1:13" x14ac:dyDescent="0.3">
      <c r="A1370" t="s">
        <v>2699</v>
      </c>
      <c r="B1370" t="s">
        <v>331</v>
      </c>
      <c r="C1370" t="s">
        <v>480</v>
      </c>
      <c r="D1370" s="7" t="s">
        <v>1828</v>
      </c>
      <c r="E1370" t="s">
        <v>32</v>
      </c>
      <c r="F1370" t="s">
        <v>18</v>
      </c>
      <c r="G1370" t="s">
        <v>19</v>
      </c>
      <c r="H1370">
        <v>6</v>
      </c>
      <c r="I1370">
        <v>25.38</v>
      </c>
      <c r="J1370">
        <v>0.05</v>
      </c>
      <c r="K1370">
        <v>144.66999999999999</v>
      </c>
      <c r="L1370">
        <v>13.36</v>
      </c>
      <c r="M1370" t="s">
        <v>40</v>
      </c>
    </row>
    <row r="1371" spans="1:13" x14ac:dyDescent="0.3">
      <c r="A1371" t="s">
        <v>2700</v>
      </c>
      <c r="B1371" t="s">
        <v>1668</v>
      </c>
      <c r="C1371" t="s">
        <v>1793</v>
      </c>
      <c r="D1371" s="7" t="s">
        <v>791</v>
      </c>
      <c r="E1371" t="s">
        <v>59</v>
      </c>
      <c r="F1371" t="s">
        <v>33</v>
      </c>
      <c r="G1371" t="s">
        <v>69</v>
      </c>
      <c r="H1371">
        <v>7</v>
      </c>
      <c r="I1371">
        <v>25.28</v>
      </c>
      <c r="J1371">
        <v>0.1</v>
      </c>
      <c r="K1371">
        <v>159.26</v>
      </c>
      <c r="L1371">
        <v>32.89</v>
      </c>
      <c r="M1371" t="s">
        <v>35</v>
      </c>
    </row>
    <row r="1372" spans="1:13" x14ac:dyDescent="0.3">
      <c r="A1372" t="s">
        <v>2701</v>
      </c>
      <c r="B1372" t="s">
        <v>229</v>
      </c>
      <c r="C1372" t="s">
        <v>580</v>
      </c>
      <c r="D1372" s="7" t="s">
        <v>1612</v>
      </c>
      <c r="E1372" t="s">
        <v>64</v>
      </c>
      <c r="F1372" t="s">
        <v>26</v>
      </c>
      <c r="G1372" t="s">
        <v>27</v>
      </c>
      <c r="H1372">
        <v>8</v>
      </c>
      <c r="I1372">
        <v>219.39</v>
      </c>
      <c r="J1372">
        <v>0.1</v>
      </c>
      <c r="K1372">
        <v>1579.61</v>
      </c>
      <c r="L1372">
        <v>369.38</v>
      </c>
      <c r="M1372" t="s">
        <v>35</v>
      </c>
    </row>
    <row r="1373" spans="1:13" x14ac:dyDescent="0.3">
      <c r="A1373" t="s">
        <v>2702</v>
      </c>
      <c r="B1373" t="s">
        <v>782</v>
      </c>
      <c r="C1373" t="s">
        <v>1653</v>
      </c>
      <c r="D1373" s="7" t="s">
        <v>641</v>
      </c>
      <c r="E1373" t="s">
        <v>59</v>
      </c>
      <c r="F1373" t="s">
        <v>89</v>
      </c>
      <c r="G1373" t="s">
        <v>150</v>
      </c>
      <c r="H1373">
        <v>7</v>
      </c>
      <c r="I1373">
        <v>46.58</v>
      </c>
      <c r="J1373">
        <v>0.05</v>
      </c>
      <c r="K1373">
        <v>309.76</v>
      </c>
      <c r="L1373">
        <v>75.88</v>
      </c>
      <c r="M1373" t="s">
        <v>40</v>
      </c>
    </row>
    <row r="1374" spans="1:13" x14ac:dyDescent="0.3">
      <c r="A1374" t="s">
        <v>2703</v>
      </c>
      <c r="B1374" t="s">
        <v>1129</v>
      </c>
      <c r="C1374" t="s">
        <v>2541</v>
      </c>
      <c r="D1374" s="7" t="s">
        <v>2173</v>
      </c>
      <c r="E1374" t="s">
        <v>32</v>
      </c>
      <c r="F1374" t="s">
        <v>26</v>
      </c>
      <c r="G1374" t="s">
        <v>84</v>
      </c>
      <c r="H1374">
        <v>8</v>
      </c>
      <c r="I1374">
        <v>143.41999999999999</v>
      </c>
      <c r="J1374">
        <v>0.05</v>
      </c>
      <c r="K1374">
        <v>1089.99</v>
      </c>
      <c r="L1374">
        <v>105.53</v>
      </c>
      <c r="M1374" t="s">
        <v>35</v>
      </c>
    </row>
    <row r="1375" spans="1:13" x14ac:dyDescent="0.3">
      <c r="A1375" t="s">
        <v>2704</v>
      </c>
      <c r="B1375" t="s">
        <v>242</v>
      </c>
      <c r="C1375" t="s">
        <v>2104</v>
      </c>
      <c r="D1375" s="7" t="s">
        <v>747</v>
      </c>
      <c r="E1375" t="s">
        <v>59</v>
      </c>
      <c r="F1375" t="s">
        <v>33</v>
      </c>
      <c r="G1375" t="s">
        <v>74</v>
      </c>
      <c r="H1375">
        <v>8</v>
      </c>
      <c r="I1375">
        <v>93.34</v>
      </c>
      <c r="J1375">
        <v>0.05</v>
      </c>
      <c r="K1375">
        <v>709.38</v>
      </c>
      <c r="L1375">
        <v>211.39</v>
      </c>
      <c r="M1375" t="s">
        <v>20</v>
      </c>
    </row>
    <row r="1376" spans="1:13" x14ac:dyDescent="0.3">
      <c r="A1376" t="s">
        <v>2705</v>
      </c>
      <c r="B1376" t="s">
        <v>1192</v>
      </c>
      <c r="C1376" t="s">
        <v>2445</v>
      </c>
      <c r="D1376" s="7" t="s">
        <v>1038</v>
      </c>
      <c r="E1376" t="s">
        <v>25</v>
      </c>
      <c r="F1376" t="s">
        <v>89</v>
      </c>
      <c r="G1376" t="s">
        <v>131</v>
      </c>
      <c r="H1376">
        <v>5</v>
      </c>
      <c r="I1376">
        <v>227.65</v>
      </c>
      <c r="J1376">
        <v>0.05</v>
      </c>
      <c r="K1376">
        <v>1081.3399999999999</v>
      </c>
      <c r="L1376">
        <v>87.37</v>
      </c>
      <c r="M1376" t="s">
        <v>20</v>
      </c>
    </row>
    <row r="1377" spans="1:13" x14ac:dyDescent="0.3">
      <c r="A1377" t="s">
        <v>2706</v>
      </c>
      <c r="B1377" t="s">
        <v>1805</v>
      </c>
      <c r="C1377" t="s">
        <v>593</v>
      </c>
      <c r="D1377" s="7" t="s">
        <v>1490</v>
      </c>
      <c r="E1377" t="s">
        <v>32</v>
      </c>
      <c r="F1377" t="s">
        <v>26</v>
      </c>
      <c r="G1377" t="s">
        <v>84</v>
      </c>
      <c r="H1377">
        <v>5</v>
      </c>
      <c r="I1377">
        <v>192.04</v>
      </c>
      <c r="J1377">
        <v>0.05</v>
      </c>
      <c r="K1377">
        <v>912.19</v>
      </c>
      <c r="L1377">
        <v>120.17</v>
      </c>
      <c r="M1377" t="s">
        <v>20</v>
      </c>
    </row>
    <row r="1378" spans="1:13" x14ac:dyDescent="0.3">
      <c r="A1378" t="s">
        <v>2707</v>
      </c>
      <c r="B1378" t="s">
        <v>1441</v>
      </c>
      <c r="C1378" t="s">
        <v>1737</v>
      </c>
      <c r="D1378" s="7" t="s">
        <v>357</v>
      </c>
      <c r="E1378" t="s">
        <v>17</v>
      </c>
      <c r="F1378" t="s">
        <v>26</v>
      </c>
      <c r="G1378" t="s">
        <v>84</v>
      </c>
      <c r="H1378">
        <v>1</v>
      </c>
      <c r="I1378">
        <v>174.74</v>
      </c>
      <c r="J1378">
        <v>0.15</v>
      </c>
      <c r="K1378">
        <v>148.53</v>
      </c>
      <c r="L1378">
        <v>42.9</v>
      </c>
      <c r="M1378" t="s">
        <v>20</v>
      </c>
    </row>
    <row r="1379" spans="1:13" x14ac:dyDescent="0.3">
      <c r="A1379" t="s">
        <v>2708</v>
      </c>
      <c r="B1379" t="s">
        <v>1805</v>
      </c>
      <c r="C1379" t="s">
        <v>2070</v>
      </c>
      <c r="D1379" s="7" t="s">
        <v>1959</v>
      </c>
      <c r="E1379" t="s">
        <v>17</v>
      </c>
      <c r="F1379" t="s">
        <v>26</v>
      </c>
      <c r="G1379" t="s">
        <v>84</v>
      </c>
      <c r="H1379">
        <v>1</v>
      </c>
      <c r="I1379">
        <v>81.92</v>
      </c>
      <c r="J1379">
        <v>0</v>
      </c>
      <c r="K1379">
        <v>81.92</v>
      </c>
      <c r="L1379">
        <v>9.5399999999999991</v>
      </c>
      <c r="M1379" t="s">
        <v>35</v>
      </c>
    </row>
    <row r="1380" spans="1:13" x14ac:dyDescent="0.3">
      <c r="A1380" t="s">
        <v>2709</v>
      </c>
      <c r="B1380" t="s">
        <v>2073</v>
      </c>
      <c r="C1380" t="s">
        <v>984</v>
      </c>
      <c r="D1380" s="7" t="s">
        <v>944</v>
      </c>
      <c r="E1380" t="s">
        <v>64</v>
      </c>
      <c r="F1380" t="s">
        <v>33</v>
      </c>
      <c r="G1380" t="s">
        <v>69</v>
      </c>
      <c r="H1380">
        <v>3</v>
      </c>
      <c r="I1380">
        <v>86.93</v>
      </c>
      <c r="J1380">
        <v>0.15</v>
      </c>
      <c r="K1380">
        <v>221.67</v>
      </c>
      <c r="L1380">
        <v>49.6</v>
      </c>
      <c r="M1380" t="s">
        <v>40</v>
      </c>
    </row>
    <row r="1381" spans="1:13" x14ac:dyDescent="0.3">
      <c r="A1381" t="s">
        <v>2710</v>
      </c>
      <c r="B1381" t="s">
        <v>1557</v>
      </c>
      <c r="C1381" t="s">
        <v>1404</v>
      </c>
      <c r="D1381" s="7" t="s">
        <v>1884</v>
      </c>
      <c r="E1381" t="s">
        <v>32</v>
      </c>
      <c r="F1381" t="s">
        <v>89</v>
      </c>
      <c r="G1381" t="s">
        <v>150</v>
      </c>
      <c r="H1381">
        <v>5</v>
      </c>
      <c r="I1381">
        <v>103.86</v>
      </c>
      <c r="J1381">
        <v>0.1</v>
      </c>
      <c r="K1381">
        <v>467.37</v>
      </c>
      <c r="L1381">
        <v>69.09</v>
      </c>
      <c r="M1381" t="s">
        <v>20</v>
      </c>
    </row>
    <row r="1382" spans="1:13" x14ac:dyDescent="0.3">
      <c r="A1382" t="s">
        <v>2711</v>
      </c>
      <c r="B1382" t="s">
        <v>1961</v>
      </c>
      <c r="C1382" t="s">
        <v>1119</v>
      </c>
      <c r="D1382" s="7" t="s">
        <v>2712</v>
      </c>
      <c r="E1382" t="s">
        <v>59</v>
      </c>
      <c r="F1382" t="s">
        <v>33</v>
      </c>
      <c r="G1382" t="s">
        <v>50</v>
      </c>
      <c r="H1382">
        <v>6</v>
      </c>
      <c r="I1382">
        <v>42.48</v>
      </c>
      <c r="J1382">
        <v>0.05</v>
      </c>
      <c r="K1382">
        <v>242.14</v>
      </c>
      <c r="L1382">
        <v>60.14</v>
      </c>
      <c r="M1382" t="s">
        <v>40</v>
      </c>
    </row>
    <row r="1383" spans="1:13" x14ac:dyDescent="0.3">
      <c r="A1383" t="s">
        <v>2713</v>
      </c>
      <c r="B1383" t="s">
        <v>191</v>
      </c>
      <c r="C1383" t="s">
        <v>633</v>
      </c>
      <c r="D1383" s="7" t="s">
        <v>273</v>
      </c>
      <c r="E1383" t="s">
        <v>59</v>
      </c>
      <c r="F1383" t="s">
        <v>26</v>
      </c>
      <c r="G1383" t="s">
        <v>27</v>
      </c>
      <c r="H1383">
        <v>4</v>
      </c>
      <c r="I1383">
        <v>73.03</v>
      </c>
      <c r="J1383">
        <v>0</v>
      </c>
      <c r="K1383">
        <v>292.12</v>
      </c>
      <c r="L1383">
        <v>42.95</v>
      </c>
      <c r="M1383" t="s">
        <v>35</v>
      </c>
    </row>
    <row r="1384" spans="1:13" x14ac:dyDescent="0.3">
      <c r="A1384" t="s">
        <v>2714</v>
      </c>
      <c r="B1384" t="s">
        <v>681</v>
      </c>
      <c r="C1384" t="s">
        <v>328</v>
      </c>
      <c r="D1384" s="7" t="s">
        <v>31</v>
      </c>
      <c r="E1384" t="s">
        <v>59</v>
      </c>
      <c r="F1384" t="s">
        <v>33</v>
      </c>
      <c r="G1384" t="s">
        <v>74</v>
      </c>
      <c r="H1384">
        <v>8</v>
      </c>
      <c r="I1384">
        <v>180.9</v>
      </c>
      <c r="J1384">
        <v>0.1</v>
      </c>
      <c r="K1384">
        <v>1302.48</v>
      </c>
      <c r="L1384">
        <v>331.27</v>
      </c>
      <c r="M1384" t="s">
        <v>20</v>
      </c>
    </row>
    <row r="1385" spans="1:13" x14ac:dyDescent="0.3">
      <c r="A1385" t="s">
        <v>2715</v>
      </c>
      <c r="B1385" t="s">
        <v>1018</v>
      </c>
      <c r="C1385" t="s">
        <v>295</v>
      </c>
      <c r="D1385" s="7" t="s">
        <v>1923</v>
      </c>
      <c r="E1385" t="s">
        <v>17</v>
      </c>
      <c r="F1385" t="s">
        <v>33</v>
      </c>
      <c r="G1385" t="s">
        <v>34</v>
      </c>
      <c r="H1385">
        <v>5</v>
      </c>
      <c r="I1385">
        <v>149.36000000000001</v>
      </c>
      <c r="J1385">
        <v>0</v>
      </c>
      <c r="K1385">
        <v>746.8</v>
      </c>
      <c r="L1385">
        <v>73.31</v>
      </c>
      <c r="M1385" t="s">
        <v>35</v>
      </c>
    </row>
    <row r="1386" spans="1:13" x14ac:dyDescent="0.3">
      <c r="A1386" t="s">
        <v>2716</v>
      </c>
      <c r="B1386" t="s">
        <v>349</v>
      </c>
      <c r="C1386" t="s">
        <v>1385</v>
      </c>
      <c r="D1386" s="7" t="s">
        <v>1245</v>
      </c>
      <c r="E1386" t="s">
        <v>17</v>
      </c>
      <c r="F1386" t="s">
        <v>33</v>
      </c>
      <c r="G1386" t="s">
        <v>50</v>
      </c>
      <c r="H1386">
        <v>5</v>
      </c>
      <c r="I1386">
        <v>165.05</v>
      </c>
      <c r="J1386">
        <v>0.05</v>
      </c>
      <c r="K1386">
        <v>783.99</v>
      </c>
      <c r="L1386">
        <v>168.58</v>
      </c>
      <c r="M1386" t="s">
        <v>40</v>
      </c>
    </row>
    <row r="1387" spans="1:13" x14ac:dyDescent="0.3">
      <c r="A1387" t="s">
        <v>2717</v>
      </c>
      <c r="B1387" t="s">
        <v>385</v>
      </c>
      <c r="C1387" t="s">
        <v>1305</v>
      </c>
      <c r="D1387" s="7" t="s">
        <v>469</v>
      </c>
      <c r="E1387" t="s">
        <v>59</v>
      </c>
      <c r="F1387" t="s">
        <v>89</v>
      </c>
      <c r="G1387" t="s">
        <v>150</v>
      </c>
      <c r="H1387">
        <v>8</v>
      </c>
      <c r="I1387">
        <v>43.2</v>
      </c>
      <c r="J1387">
        <v>0.15</v>
      </c>
      <c r="K1387">
        <v>293.76</v>
      </c>
      <c r="L1387">
        <v>63.61</v>
      </c>
      <c r="M1387" t="s">
        <v>40</v>
      </c>
    </row>
    <row r="1388" spans="1:13" x14ac:dyDescent="0.3">
      <c r="A1388" t="s">
        <v>2718</v>
      </c>
      <c r="B1388" t="s">
        <v>749</v>
      </c>
      <c r="C1388" t="s">
        <v>318</v>
      </c>
      <c r="D1388" s="7" t="s">
        <v>322</v>
      </c>
      <c r="E1388" t="s">
        <v>64</v>
      </c>
      <c r="F1388" t="s">
        <v>89</v>
      </c>
      <c r="G1388" t="s">
        <v>90</v>
      </c>
      <c r="H1388">
        <v>4</v>
      </c>
      <c r="I1388">
        <v>59.63</v>
      </c>
      <c r="J1388">
        <v>0.15</v>
      </c>
      <c r="K1388">
        <v>202.74</v>
      </c>
      <c r="L1388">
        <v>50.75</v>
      </c>
      <c r="M1388" t="s">
        <v>40</v>
      </c>
    </row>
    <row r="1389" spans="1:13" x14ac:dyDescent="0.3">
      <c r="A1389" t="s">
        <v>2719</v>
      </c>
      <c r="B1389" t="s">
        <v>2425</v>
      </c>
      <c r="C1389" t="s">
        <v>105</v>
      </c>
      <c r="D1389" s="7" t="s">
        <v>906</v>
      </c>
      <c r="E1389" t="s">
        <v>32</v>
      </c>
      <c r="F1389" t="s">
        <v>26</v>
      </c>
      <c r="G1389" t="s">
        <v>118</v>
      </c>
      <c r="H1389">
        <v>6</v>
      </c>
      <c r="I1389">
        <v>68.209999999999994</v>
      </c>
      <c r="J1389">
        <v>0</v>
      </c>
      <c r="K1389">
        <v>409.26</v>
      </c>
      <c r="L1389">
        <v>57.48</v>
      </c>
      <c r="M1389" t="s">
        <v>40</v>
      </c>
    </row>
    <row r="1390" spans="1:13" x14ac:dyDescent="0.3">
      <c r="A1390" t="s">
        <v>2720</v>
      </c>
      <c r="B1390" t="s">
        <v>1965</v>
      </c>
      <c r="C1390" t="s">
        <v>1771</v>
      </c>
      <c r="D1390" s="7" t="s">
        <v>1038</v>
      </c>
      <c r="E1390" t="s">
        <v>64</v>
      </c>
      <c r="F1390" t="s">
        <v>26</v>
      </c>
      <c r="G1390" t="s">
        <v>118</v>
      </c>
      <c r="H1390">
        <v>2</v>
      </c>
      <c r="I1390">
        <v>206.2</v>
      </c>
      <c r="J1390">
        <v>0.15</v>
      </c>
      <c r="K1390">
        <v>350.54</v>
      </c>
      <c r="L1390">
        <v>53.36</v>
      </c>
      <c r="M1390" t="s">
        <v>35</v>
      </c>
    </row>
    <row r="1391" spans="1:13" x14ac:dyDescent="0.3">
      <c r="A1391" t="s">
        <v>2721</v>
      </c>
      <c r="B1391" t="s">
        <v>570</v>
      </c>
      <c r="C1391" t="s">
        <v>2388</v>
      </c>
      <c r="D1391" s="7" t="s">
        <v>1153</v>
      </c>
      <c r="E1391" t="s">
        <v>64</v>
      </c>
      <c r="F1391" t="s">
        <v>18</v>
      </c>
      <c r="G1391" t="s">
        <v>45</v>
      </c>
      <c r="H1391">
        <v>4</v>
      </c>
      <c r="I1391">
        <v>188.98</v>
      </c>
      <c r="J1391">
        <v>0</v>
      </c>
      <c r="K1391">
        <v>755.92</v>
      </c>
      <c r="L1391">
        <v>99.13</v>
      </c>
      <c r="M1391" t="s">
        <v>40</v>
      </c>
    </row>
    <row r="1392" spans="1:13" x14ac:dyDescent="0.3">
      <c r="A1392" t="s">
        <v>2722</v>
      </c>
      <c r="B1392" t="s">
        <v>2151</v>
      </c>
      <c r="C1392" t="s">
        <v>682</v>
      </c>
      <c r="D1392" s="7" t="s">
        <v>333</v>
      </c>
      <c r="E1392" t="s">
        <v>59</v>
      </c>
      <c r="F1392" t="s">
        <v>18</v>
      </c>
      <c r="G1392" t="s">
        <v>79</v>
      </c>
      <c r="H1392">
        <v>7</v>
      </c>
      <c r="I1392">
        <v>30.46</v>
      </c>
      <c r="J1392">
        <v>0.1</v>
      </c>
      <c r="K1392">
        <v>191.9</v>
      </c>
      <c r="L1392">
        <v>39.24</v>
      </c>
      <c r="M1392" t="s">
        <v>35</v>
      </c>
    </row>
    <row r="1393" spans="1:13" x14ac:dyDescent="0.3">
      <c r="A1393" t="s">
        <v>2723</v>
      </c>
      <c r="B1393" t="s">
        <v>2724</v>
      </c>
      <c r="C1393" t="s">
        <v>314</v>
      </c>
      <c r="D1393" s="7" t="s">
        <v>322</v>
      </c>
      <c r="E1393" t="s">
        <v>17</v>
      </c>
      <c r="F1393" t="s">
        <v>26</v>
      </c>
      <c r="G1393" t="s">
        <v>118</v>
      </c>
      <c r="H1393">
        <v>8</v>
      </c>
      <c r="I1393">
        <v>245.31</v>
      </c>
      <c r="J1393">
        <v>0.05</v>
      </c>
      <c r="K1393">
        <v>1864.36</v>
      </c>
      <c r="L1393">
        <v>411.28</v>
      </c>
      <c r="M1393" t="s">
        <v>35</v>
      </c>
    </row>
    <row r="1394" spans="1:13" x14ac:dyDescent="0.3">
      <c r="A1394" t="s">
        <v>2725</v>
      </c>
      <c r="B1394" t="s">
        <v>701</v>
      </c>
      <c r="C1394" t="s">
        <v>633</v>
      </c>
      <c r="D1394" s="7" t="s">
        <v>910</v>
      </c>
      <c r="E1394" t="s">
        <v>25</v>
      </c>
      <c r="F1394" t="s">
        <v>18</v>
      </c>
      <c r="G1394" t="s">
        <v>19</v>
      </c>
      <c r="H1394">
        <v>4</v>
      </c>
      <c r="I1394">
        <v>181.96</v>
      </c>
      <c r="J1394">
        <v>0</v>
      </c>
      <c r="K1394">
        <v>727.84</v>
      </c>
      <c r="L1394">
        <v>117.92</v>
      </c>
      <c r="M1394" t="s">
        <v>20</v>
      </c>
    </row>
    <row r="1395" spans="1:13" x14ac:dyDescent="0.3">
      <c r="A1395" t="s">
        <v>2726</v>
      </c>
      <c r="B1395" t="s">
        <v>2207</v>
      </c>
      <c r="C1395" t="s">
        <v>2369</v>
      </c>
      <c r="D1395" s="7" t="s">
        <v>805</v>
      </c>
      <c r="E1395" t="s">
        <v>64</v>
      </c>
      <c r="F1395" t="s">
        <v>89</v>
      </c>
      <c r="G1395" t="s">
        <v>131</v>
      </c>
      <c r="H1395">
        <v>4</v>
      </c>
      <c r="I1395">
        <v>72.13</v>
      </c>
      <c r="J1395">
        <v>0</v>
      </c>
      <c r="K1395">
        <v>288.52</v>
      </c>
      <c r="L1395">
        <v>69.58</v>
      </c>
      <c r="M1395" t="s">
        <v>35</v>
      </c>
    </row>
    <row r="1396" spans="1:13" x14ac:dyDescent="0.3">
      <c r="A1396" t="s">
        <v>2727</v>
      </c>
      <c r="B1396" t="s">
        <v>1620</v>
      </c>
      <c r="C1396" t="s">
        <v>1391</v>
      </c>
      <c r="D1396" s="7" t="s">
        <v>1828</v>
      </c>
      <c r="E1396" t="s">
        <v>64</v>
      </c>
      <c r="F1396" t="s">
        <v>26</v>
      </c>
      <c r="G1396" t="s">
        <v>84</v>
      </c>
      <c r="H1396">
        <v>3</v>
      </c>
      <c r="I1396">
        <v>227.7</v>
      </c>
      <c r="J1396">
        <v>0</v>
      </c>
      <c r="K1396">
        <v>683.1</v>
      </c>
      <c r="L1396">
        <v>181.86</v>
      </c>
      <c r="M1396" t="s">
        <v>35</v>
      </c>
    </row>
    <row r="1397" spans="1:13" x14ac:dyDescent="0.3">
      <c r="A1397" t="s">
        <v>2728</v>
      </c>
      <c r="B1397" t="s">
        <v>365</v>
      </c>
      <c r="C1397" t="s">
        <v>1825</v>
      </c>
      <c r="D1397" s="7" t="s">
        <v>556</v>
      </c>
      <c r="E1397" t="s">
        <v>64</v>
      </c>
      <c r="F1397" t="s">
        <v>89</v>
      </c>
      <c r="G1397" t="s">
        <v>150</v>
      </c>
      <c r="H1397">
        <v>5</v>
      </c>
      <c r="I1397">
        <v>112.37</v>
      </c>
      <c r="J1397">
        <v>0</v>
      </c>
      <c r="K1397">
        <v>561.85</v>
      </c>
      <c r="L1397">
        <v>150.94999999999999</v>
      </c>
      <c r="M1397" t="s">
        <v>40</v>
      </c>
    </row>
    <row r="1398" spans="1:13" x14ac:dyDescent="0.3">
      <c r="A1398" t="s">
        <v>2729</v>
      </c>
      <c r="B1398" t="s">
        <v>2034</v>
      </c>
      <c r="C1398" t="s">
        <v>2730</v>
      </c>
      <c r="D1398" s="7" t="s">
        <v>1224</v>
      </c>
      <c r="E1398" t="s">
        <v>25</v>
      </c>
      <c r="F1398" t="s">
        <v>26</v>
      </c>
      <c r="G1398" t="s">
        <v>84</v>
      </c>
      <c r="H1398">
        <v>6</v>
      </c>
      <c r="I1398">
        <v>173.11</v>
      </c>
      <c r="J1398">
        <v>0</v>
      </c>
      <c r="K1398">
        <v>1038.6600000000001</v>
      </c>
      <c r="L1398">
        <v>200.28</v>
      </c>
      <c r="M1398" t="s">
        <v>40</v>
      </c>
    </row>
    <row r="1399" spans="1:13" x14ac:dyDescent="0.3">
      <c r="A1399" t="s">
        <v>2731</v>
      </c>
      <c r="B1399" t="s">
        <v>313</v>
      </c>
      <c r="C1399" t="s">
        <v>720</v>
      </c>
      <c r="D1399" s="7" t="s">
        <v>1444</v>
      </c>
      <c r="E1399" t="s">
        <v>59</v>
      </c>
      <c r="F1399" t="s">
        <v>33</v>
      </c>
      <c r="G1399" t="s">
        <v>50</v>
      </c>
      <c r="H1399">
        <v>8</v>
      </c>
      <c r="I1399">
        <v>110.13</v>
      </c>
      <c r="J1399">
        <v>0.1</v>
      </c>
      <c r="K1399">
        <v>792.94</v>
      </c>
      <c r="L1399">
        <v>174.8</v>
      </c>
      <c r="M1399" t="s">
        <v>20</v>
      </c>
    </row>
    <row r="1400" spans="1:13" x14ac:dyDescent="0.3">
      <c r="A1400" t="s">
        <v>2732</v>
      </c>
      <c r="B1400" t="s">
        <v>1713</v>
      </c>
      <c r="C1400" t="s">
        <v>586</v>
      </c>
      <c r="D1400" s="7" t="s">
        <v>472</v>
      </c>
      <c r="E1400" t="s">
        <v>64</v>
      </c>
      <c r="F1400" t="s">
        <v>18</v>
      </c>
      <c r="G1400" t="s">
        <v>79</v>
      </c>
      <c r="H1400">
        <v>8</v>
      </c>
      <c r="I1400">
        <v>136.52000000000001</v>
      </c>
      <c r="J1400">
        <v>0.05</v>
      </c>
      <c r="K1400">
        <v>1037.55</v>
      </c>
      <c r="L1400">
        <v>94.58</v>
      </c>
      <c r="M1400" t="s">
        <v>20</v>
      </c>
    </row>
    <row r="1401" spans="1:13" x14ac:dyDescent="0.3">
      <c r="A1401" t="s">
        <v>2733</v>
      </c>
      <c r="B1401" t="s">
        <v>1418</v>
      </c>
      <c r="C1401" t="s">
        <v>342</v>
      </c>
      <c r="D1401" s="7" t="s">
        <v>315</v>
      </c>
      <c r="E1401" t="s">
        <v>25</v>
      </c>
      <c r="F1401" t="s">
        <v>18</v>
      </c>
      <c r="G1401" t="s">
        <v>19</v>
      </c>
      <c r="H1401">
        <v>5</v>
      </c>
      <c r="I1401">
        <v>65.08</v>
      </c>
      <c r="J1401">
        <v>0.15</v>
      </c>
      <c r="K1401">
        <v>276.58999999999997</v>
      </c>
      <c r="L1401">
        <v>64.81</v>
      </c>
      <c r="M1401" t="s">
        <v>40</v>
      </c>
    </row>
    <row r="1402" spans="1:13" x14ac:dyDescent="0.3">
      <c r="A1402" t="s">
        <v>2734</v>
      </c>
      <c r="B1402" t="s">
        <v>1483</v>
      </c>
      <c r="C1402" t="s">
        <v>511</v>
      </c>
      <c r="D1402" s="7" t="s">
        <v>161</v>
      </c>
      <c r="E1402" t="s">
        <v>64</v>
      </c>
      <c r="F1402" t="s">
        <v>18</v>
      </c>
      <c r="G1402" t="s">
        <v>45</v>
      </c>
      <c r="H1402">
        <v>8</v>
      </c>
      <c r="I1402">
        <v>220.29</v>
      </c>
      <c r="J1402">
        <v>0.1</v>
      </c>
      <c r="K1402">
        <v>1586.09</v>
      </c>
      <c r="L1402">
        <v>189.34</v>
      </c>
      <c r="M1402" t="s">
        <v>35</v>
      </c>
    </row>
    <row r="1403" spans="1:13" x14ac:dyDescent="0.3">
      <c r="A1403" t="s">
        <v>2735</v>
      </c>
      <c r="B1403" t="s">
        <v>574</v>
      </c>
      <c r="C1403" t="s">
        <v>1700</v>
      </c>
      <c r="D1403" s="7" t="s">
        <v>811</v>
      </c>
      <c r="E1403" t="s">
        <v>17</v>
      </c>
      <c r="F1403" t="s">
        <v>89</v>
      </c>
      <c r="G1403" t="s">
        <v>90</v>
      </c>
      <c r="H1403">
        <v>2</v>
      </c>
      <c r="I1403">
        <v>145.59</v>
      </c>
      <c r="J1403">
        <v>0</v>
      </c>
      <c r="K1403">
        <v>291.18</v>
      </c>
      <c r="L1403">
        <v>44.61</v>
      </c>
      <c r="M1403" t="s">
        <v>20</v>
      </c>
    </row>
    <row r="1404" spans="1:13" x14ac:dyDescent="0.3">
      <c r="A1404" t="s">
        <v>2736</v>
      </c>
      <c r="B1404" t="s">
        <v>1035</v>
      </c>
      <c r="C1404" t="s">
        <v>211</v>
      </c>
      <c r="D1404" s="7" t="s">
        <v>825</v>
      </c>
      <c r="E1404" t="s">
        <v>25</v>
      </c>
      <c r="F1404" t="s">
        <v>89</v>
      </c>
      <c r="G1404" t="s">
        <v>150</v>
      </c>
      <c r="H1404">
        <v>7</v>
      </c>
      <c r="I1404">
        <v>142.86000000000001</v>
      </c>
      <c r="J1404">
        <v>0.05</v>
      </c>
      <c r="K1404">
        <v>950.02</v>
      </c>
      <c r="L1404">
        <v>197.08</v>
      </c>
      <c r="M1404" t="s">
        <v>20</v>
      </c>
    </row>
    <row r="1405" spans="1:13" x14ac:dyDescent="0.3">
      <c r="A1405" t="s">
        <v>2737</v>
      </c>
      <c r="B1405" t="s">
        <v>1055</v>
      </c>
      <c r="C1405" t="s">
        <v>1305</v>
      </c>
      <c r="D1405" s="7" t="s">
        <v>1211</v>
      </c>
      <c r="E1405" t="s">
        <v>64</v>
      </c>
      <c r="F1405" t="s">
        <v>26</v>
      </c>
      <c r="G1405" t="s">
        <v>84</v>
      </c>
      <c r="H1405">
        <v>6</v>
      </c>
      <c r="I1405">
        <v>85.95</v>
      </c>
      <c r="J1405">
        <v>0</v>
      </c>
      <c r="K1405">
        <v>515.70000000000005</v>
      </c>
      <c r="L1405">
        <v>138</v>
      </c>
      <c r="M1405" t="s">
        <v>40</v>
      </c>
    </row>
    <row r="1406" spans="1:13" x14ac:dyDescent="0.3">
      <c r="A1406" t="s">
        <v>2738</v>
      </c>
      <c r="B1406" t="s">
        <v>76</v>
      </c>
      <c r="C1406" t="s">
        <v>87</v>
      </c>
      <c r="D1406" s="7" t="s">
        <v>628</v>
      </c>
      <c r="E1406" t="s">
        <v>32</v>
      </c>
      <c r="F1406" t="s">
        <v>89</v>
      </c>
      <c r="G1406" t="s">
        <v>150</v>
      </c>
      <c r="H1406">
        <v>3</v>
      </c>
      <c r="I1406">
        <v>150.19999999999999</v>
      </c>
      <c r="J1406">
        <v>0.15</v>
      </c>
      <c r="K1406">
        <v>383.01</v>
      </c>
      <c r="L1406">
        <v>102.73</v>
      </c>
      <c r="M1406" t="s">
        <v>35</v>
      </c>
    </row>
    <row r="1407" spans="1:13" x14ac:dyDescent="0.3">
      <c r="A1407" t="s">
        <v>2739</v>
      </c>
      <c r="B1407" t="s">
        <v>1956</v>
      </c>
      <c r="C1407" t="s">
        <v>1082</v>
      </c>
      <c r="D1407" s="7" t="s">
        <v>811</v>
      </c>
      <c r="E1407" t="s">
        <v>25</v>
      </c>
      <c r="F1407" t="s">
        <v>89</v>
      </c>
      <c r="G1407" t="s">
        <v>131</v>
      </c>
      <c r="H1407">
        <v>5</v>
      </c>
      <c r="I1407">
        <v>104.82</v>
      </c>
      <c r="J1407">
        <v>0.15</v>
      </c>
      <c r="K1407">
        <v>445.48</v>
      </c>
      <c r="L1407">
        <v>94.11</v>
      </c>
      <c r="M1407" t="s">
        <v>40</v>
      </c>
    </row>
    <row r="1408" spans="1:13" x14ac:dyDescent="0.3">
      <c r="A1408" t="s">
        <v>2740</v>
      </c>
      <c r="B1408" t="s">
        <v>2223</v>
      </c>
      <c r="C1408" t="s">
        <v>204</v>
      </c>
      <c r="D1408" s="7" t="s">
        <v>94</v>
      </c>
      <c r="E1408" t="s">
        <v>32</v>
      </c>
      <c r="F1408" t="s">
        <v>33</v>
      </c>
      <c r="G1408" t="s">
        <v>34</v>
      </c>
      <c r="H1408">
        <v>3</v>
      </c>
      <c r="I1408">
        <v>199.64</v>
      </c>
      <c r="J1408">
        <v>0</v>
      </c>
      <c r="K1408">
        <v>598.91999999999996</v>
      </c>
      <c r="L1408">
        <v>108.34</v>
      </c>
      <c r="M1408" t="s">
        <v>40</v>
      </c>
    </row>
    <row r="1409" spans="1:13" x14ac:dyDescent="0.3">
      <c r="A1409" t="s">
        <v>2741</v>
      </c>
      <c r="B1409" t="s">
        <v>1415</v>
      </c>
      <c r="C1409" t="s">
        <v>2065</v>
      </c>
      <c r="D1409" s="7" t="s">
        <v>126</v>
      </c>
      <c r="E1409" t="s">
        <v>32</v>
      </c>
      <c r="F1409" t="s">
        <v>33</v>
      </c>
      <c r="G1409" t="s">
        <v>34</v>
      </c>
      <c r="H1409">
        <v>3</v>
      </c>
      <c r="I1409">
        <v>74.569999999999993</v>
      </c>
      <c r="J1409">
        <v>0.05</v>
      </c>
      <c r="K1409">
        <v>212.52</v>
      </c>
      <c r="L1409">
        <v>32.31</v>
      </c>
      <c r="M1409" t="s">
        <v>35</v>
      </c>
    </row>
    <row r="1410" spans="1:13" x14ac:dyDescent="0.3">
      <c r="A1410" t="s">
        <v>2742</v>
      </c>
      <c r="B1410" t="s">
        <v>338</v>
      </c>
      <c r="C1410" t="s">
        <v>953</v>
      </c>
      <c r="D1410" s="7" t="s">
        <v>880</v>
      </c>
      <c r="E1410" t="s">
        <v>32</v>
      </c>
      <c r="F1410" t="s">
        <v>26</v>
      </c>
      <c r="G1410" t="s">
        <v>118</v>
      </c>
      <c r="H1410">
        <v>4</v>
      </c>
      <c r="I1410">
        <v>170.98</v>
      </c>
      <c r="J1410">
        <v>0.15</v>
      </c>
      <c r="K1410">
        <v>581.33000000000004</v>
      </c>
      <c r="L1410">
        <v>55.38</v>
      </c>
      <c r="M1410" t="s">
        <v>35</v>
      </c>
    </row>
    <row r="1411" spans="1:13" x14ac:dyDescent="0.3">
      <c r="A1411" t="s">
        <v>2743</v>
      </c>
      <c r="B1411" t="s">
        <v>1190</v>
      </c>
      <c r="C1411" t="s">
        <v>2744</v>
      </c>
      <c r="D1411" s="7" t="s">
        <v>821</v>
      </c>
      <c r="E1411" t="s">
        <v>25</v>
      </c>
      <c r="F1411" t="s">
        <v>26</v>
      </c>
      <c r="G1411" t="s">
        <v>118</v>
      </c>
      <c r="H1411">
        <v>3</v>
      </c>
      <c r="I1411">
        <v>87.57</v>
      </c>
      <c r="J1411">
        <v>0</v>
      </c>
      <c r="K1411">
        <v>262.70999999999998</v>
      </c>
      <c r="L1411">
        <v>40.18</v>
      </c>
      <c r="M1411" t="s">
        <v>40</v>
      </c>
    </row>
    <row r="1412" spans="1:13" x14ac:dyDescent="0.3">
      <c r="A1412" t="s">
        <v>2745</v>
      </c>
      <c r="B1412" t="s">
        <v>768</v>
      </c>
      <c r="C1412" t="s">
        <v>379</v>
      </c>
      <c r="D1412" s="7" t="s">
        <v>910</v>
      </c>
      <c r="E1412" t="s">
        <v>59</v>
      </c>
      <c r="F1412" t="s">
        <v>26</v>
      </c>
      <c r="G1412" t="s">
        <v>118</v>
      </c>
      <c r="H1412">
        <v>4</v>
      </c>
      <c r="I1412">
        <v>83.68</v>
      </c>
      <c r="J1412">
        <v>0</v>
      </c>
      <c r="K1412">
        <v>334.72</v>
      </c>
      <c r="L1412">
        <v>28.04</v>
      </c>
      <c r="M1412" t="s">
        <v>20</v>
      </c>
    </row>
    <row r="1413" spans="1:13" x14ac:dyDescent="0.3">
      <c r="A1413" t="s">
        <v>2746</v>
      </c>
      <c r="B1413" t="s">
        <v>1495</v>
      </c>
      <c r="C1413" t="s">
        <v>2747</v>
      </c>
      <c r="D1413" s="7" t="s">
        <v>1750</v>
      </c>
      <c r="E1413" t="s">
        <v>59</v>
      </c>
      <c r="F1413" t="s">
        <v>26</v>
      </c>
      <c r="G1413" t="s">
        <v>27</v>
      </c>
      <c r="H1413">
        <v>3</v>
      </c>
      <c r="I1413">
        <v>210.64</v>
      </c>
      <c r="J1413">
        <v>0</v>
      </c>
      <c r="K1413">
        <v>631.91999999999996</v>
      </c>
      <c r="L1413">
        <v>144.71</v>
      </c>
      <c r="M1413" t="s">
        <v>35</v>
      </c>
    </row>
    <row r="1414" spans="1:13" x14ac:dyDescent="0.3">
      <c r="A1414" t="s">
        <v>2748</v>
      </c>
      <c r="B1414" t="s">
        <v>2590</v>
      </c>
      <c r="C1414" t="s">
        <v>1255</v>
      </c>
      <c r="D1414" s="7" t="s">
        <v>44</v>
      </c>
      <c r="E1414" t="s">
        <v>64</v>
      </c>
      <c r="F1414" t="s">
        <v>26</v>
      </c>
      <c r="G1414" t="s">
        <v>118</v>
      </c>
      <c r="H1414">
        <v>8</v>
      </c>
      <c r="I1414">
        <v>32.44</v>
      </c>
      <c r="J1414">
        <v>0.05</v>
      </c>
      <c r="K1414">
        <v>246.54</v>
      </c>
      <c r="L1414">
        <v>26.69</v>
      </c>
      <c r="M1414" t="s">
        <v>35</v>
      </c>
    </row>
    <row r="1415" spans="1:13" x14ac:dyDescent="0.3">
      <c r="A1415" t="s">
        <v>2749</v>
      </c>
      <c r="B1415" t="s">
        <v>1226</v>
      </c>
      <c r="C1415" t="s">
        <v>1451</v>
      </c>
      <c r="D1415" s="7" t="s">
        <v>2177</v>
      </c>
      <c r="E1415" t="s">
        <v>17</v>
      </c>
      <c r="F1415" t="s">
        <v>18</v>
      </c>
      <c r="G1415" t="s">
        <v>45</v>
      </c>
      <c r="H1415">
        <v>1</v>
      </c>
      <c r="I1415">
        <v>202.24</v>
      </c>
      <c r="J1415">
        <v>0.1</v>
      </c>
      <c r="K1415">
        <v>182.02</v>
      </c>
      <c r="L1415">
        <v>53.75</v>
      </c>
      <c r="M1415" t="s">
        <v>40</v>
      </c>
    </row>
    <row r="1416" spans="1:13" x14ac:dyDescent="0.3">
      <c r="A1416" t="s">
        <v>2750</v>
      </c>
      <c r="B1416" t="s">
        <v>1043</v>
      </c>
      <c r="C1416" t="s">
        <v>2208</v>
      </c>
      <c r="D1416" s="7" t="s">
        <v>1231</v>
      </c>
      <c r="E1416" t="s">
        <v>64</v>
      </c>
      <c r="F1416" t="s">
        <v>18</v>
      </c>
      <c r="G1416" t="s">
        <v>45</v>
      </c>
      <c r="H1416">
        <v>7</v>
      </c>
      <c r="I1416">
        <v>154.69999999999999</v>
      </c>
      <c r="J1416">
        <v>0.15</v>
      </c>
      <c r="K1416">
        <v>920.46</v>
      </c>
      <c r="L1416">
        <v>274.05</v>
      </c>
      <c r="M1416" t="s">
        <v>20</v>
      </c>
    </row>
    <row r="1417" spans="1:13" x14ac:dyDescent="0.3">
      <c r="A1417" t="s">
        <v>2751</v>
      </c>
      <c r="B1417" t="s">
        <v>850</v>
      </c>
      <c r="C1417" t="s">
        <v>967</v>
      </c>
      <c r="D1417" s="7" t="s">
        <v>1047</v>
      </c>
      <c r="E1417" t="s">
        <v>32</v>
      </c>
      <c r="F1417" t="s">
        <v>26</v>
      </c>
      <c r="G1417" t="s">
        <v>118</v>
      </c>
      <c r="H1417">
        <v>3</v>
      </c>
      <c r="I1417">
        <v>204.76</v>
      </c>
      <c r="J1417">
        <v>0</v>
      </c>
      <c r="K1417">
        <v>614.28</v>
      </c>
      <c r="L1417">
        <v>67.239999999999995</v>
      </c>
      <c r="M1417" t="s">
        <v>35</v>
      </c>
    </row>
    <row r="1418" spans="1:13" x14ac:dyDescent="0.3">
      <c r="A1418" t="s">
        <v>2752</v>
      </c>
      <c r="B1418" t="s">
        <v>111</v>
      </c>
      <c r="C1418" t="s">
        <v>604</v>
      </c>
      <c r="D1418" s="7" t="s">
        <v>2354</v>
      </c>
      <c r="E1418" t="s">
        <v>59</v>
      </c>
      <c r="F1418" t="s">
        <v>89</v>
      </c>
      <c r="G1418" t="s">
        <v>90</v>
      </c>
      <c r="H1418">
        <v>7</v>
      </c>
      <c r="I1418">
        <v>97.81</v>
      </c>
      <c r="J1418">
        <v>0.05</v>
      </c>
      <c r="K1418">
        <v>650.44000000000005</v>
      </c>
      <c r="L1418">
        <v>60.15</v>
      </c>
      <c r="M1418" t="s">
        <v>20</v>
      </c>
    </row>
    <row r="1419" spans="1:13" x14ac:dyDescent="0.3">
      <c r="A1419" t="s">
        <v>2753</v>
      </c>
      <c r="B1419" t="s">
        <v>124</v>
      </c>
      <c r="C1419" t="s">
        <v>353</v>
      </c>
      <c r="D1419" s="7" t="s">
        <v>962</v>
      </c>
      <c r="E1419" t="s">
        <v>17</v>
      </c>
      <c r="F1419" t="s">
        <v>18</v>
      </c>
      <c r="G1419" t="s">
        <v>79</v>
      </c>
      <c r="H1419">
        <v>3</v>
      </c>
      <c r="I1419">
        <v>25.67</v>
      </c>
      <c r="J1419">
        <v>0.1</v>
      </c>
      <c r="K1419">
        <v>69.31</v>
      </c>
      <c r="L1419">
        <v>17.600000000000001</v>
      </c>
      <c r="M1419" t="s">
        <v>40</v>
      </c>
    </row>
    <row r="1420" spans="1:13" x14ac:dyDescent="0.3">
      <c r="A1420" t="s">
        <v>2754</v>
      </c>
      <c r="B1420" t="s">
        <v>2588</v>
      </c>
      <c r="C1420" t="s">
        <v>2755</v>
      </c>
      <c r="D1420" s="7" t="s">
        <v>300</v>
      </c>
      <c r="E1420" t="s">
        <v>59</v>
      </c>
      <c r="F1420" t="s">
        <v>26</v>
      </c>
      <c r="G1420" t="s">
        <v>27</v>
      </c>
      <c r="H1420">
        <v>7</v>
      </c>
      <c r="I1420">
        <v>107.5</v>
      </c>
      <c r="J1420">
        <v>0.15</v>
      </c>
      <c r="K1420">
        <v>639.62</v>
      </c>
      <c r="L1420">
        <v>116.17</v>
      </c>
      <c r="M1420" t="s">
        <v>20</v>
      </c>
    </row>
    <row r="1421" spans="1:13" x14ac:dyDescent="0.3">
      <c r="A1421" t="s">
        <v>2756</v>
      </c>
      <c r="B1421" t="s">
        <v>170</v>
      </c>
      <c r="C1421" t="s">
        <v>458</v>
      </c>
      <c r="D1421" s="7" t="s">
        <v>2319</v>
      </c>
      <c r="E1421" t="s">
        <v>32</v>
      </c>
      <c r="F1421" t="s">
        <v>26</v>
      </c>
      <c r="G1421" t="s">
        <v>84</v>
      </c>
      <c r="H1421">
        <v>7</v>
      </c>
      <c r="I1421">
        <v>184.91</v>
      </c>
      <c r="J1421">
        <v>0.15</v>
      </c>
      <c r="K1421">
        <v>1100.21</v>
      </c>
      <c r="L1421">
        <v>293.08</v>
      </c>
      <c r="M1421" t="s">
        <v>20</v>
      </c>
    </row>
    <row r="1422" spans="1:13" x14ac:dyDescent="0.3">
      <c r="A1422" t="s">
        <v>2757</v>
      </c>
      <c r="B1422" t="s">
        <v>1684</v>
      </c>
      <c r="C1422" t="s">
        <v>1145</v>
      </c>
      <c r="D1422" s="7" t="s">
        <v>2758</v>
      </c>
      <c r="E1422" t="s">
        <v>59</v>
      </c>
      <c r="F1422" t="s">
        <v>18</v>
      </c>
      <c r="G1422" t="s">
        <v>19</v>
      </c>
      <c r="H1422">
        <v>4</v>
      </c>
      <c r="I1422">
        <v>168.76</v>
      </c>
      <c r="J1422">
        <v>0.05</v>
      </c>
      <c r="K1422">
        <v>641.29</v>
      </c>
      <c r="L1422">
        <v>110.29</v>
      </c>
      <c r="M1422" t="s">
        <v>20</v>
      </c>
    </row>
    <row r="1423" spans="1:13" x14ac:dyDescent="0.3">
      <c r="A1423" t="s">
        <v>2759</v>
      </c>
      <c r="B1423" t="s">
        <v>1896</v>
      </c>
      <c r="C1423" t="s">
        <v>1545</v>
      </c>
      <c r="D1423" s="7" t="s">
        <v>601</v>
      </c>
      <c r="E1423" t="s">
        <v>17</v>
      </c>
      <c r="F1423" t="s">
        <v>33</v>
      </c>
      <c r="G1423" t="s">
        <v>50</v>
      </c>
      <c r="H1423">
        <v>3</v>
      </c>
      <c r="I1423">
        <v>158.51</v>
      </c>
      <c r="J1423">
        <v>0.05</v>
      </c>
      <c r="K1423">
        <v>451.75</v>
      </c>
      <c r="L1423">
        <v>40.450000000000003</v>
      </c>
      <c r="M1423" t="s">
        <v>40</v>
      </c>
    </row>
    <row r="1424" spans="1:13" x14ac:dyDescent="0.3">
      <c r="A1424" t="s">
        <v>2760</v>
      </c>
      <c r="B1424" t="s">
        <v>483</v>
      </c>
      <c r="C1424" t="s">
        <v>2761</v>
      </c>
      <c r="D1424" s="7" t="s">
        <v>666</v>
      </c>
      <c r="E1424" t="s">
        <v>25</v>
      </c>
      <c r="F1424" t="s">
        <v>33</v>
      </c>
      <c r="G1424" t="s">
        <v>34</v>
      </c>
      <c r="H1424">
        <v>4</v>
      </c>
      <c r="I1424">
        <v>106.46</v>
      </c>
      <c r="J1424">
        <v>0</v>
      </c>
      <c r="K1424">
        <v>425.84</v>
      </c>
      <c r="L1424">
        <v>107.65</v>
      </c>
      <c r="M1424" t="s">
        <v>35</v>
      </c>
    </row>
    <row r="1425" spans="1:13" x14ac:dyDescent="0.3">
      <c r="A1425" t="s">
        <v>2762</v>
      </c>
      <c r="B1425" t="s">
        <v>1252</v>
      </c>
      <c r="C1425" t="s">
        <v>1244</v>
      </c>
      <c r="D1425" s="7" t="s">
        <v>2418</v>
      </c>
      <c r="E1425" t="s">
        <v>59</v>
      </c>
      <c r="F1425" t="s">
        <v>26</v>
      </c>
      <c r="G1425" t="s">
        <v>84</v>
      </c>
      <c r="H1425">
        <v>6</v>
      </c>
      <c r="I1425">
        <v>210.38</v>
      </c>
      <c r="J1425">
        <v>0.15</v>
      </c>
      <c r="K1425">
        <v>1072.94</v>
      </c>
      <c r="L1425">
        <v>220.07</v>
      </c>
      <c r="M1425" t="s">
        <v>35</v>
      </c>
    </row>
    <row r="1426" spans="1:13" x14ac:dyDescent="0.3">
      <c r="A1426" t="s">
        <v>2763</v>
      </c>
      <c r="B1426" t="s">
        <v>1415</v>
      </c>
      <c r="C1426" t="s">
        <v>1737</v>
      </c>
      <c r="D1426" s="7" t="s">
        <v>1264</v>
      </c>
      <c r="E1426" t="s">
        <v>17</v>
      </c>
      <c r="F1426" t="s">
        <v>26</v>
      </c>
      <c r="G1426" t="s">
        <v>27</v>
      </c>
      <c r="H1426">
        <v>7</v>
      </c>
      <c r="I1426">
        <v>149.41999999999999</v>
      </c>
      <c r="J1426">
        <v>0</v>
      </c>
      <c r="K1426">
        <v>1045.94</v>
      </c>
      <c r="L1426">
        <v>310.72000000000003</v>
      </c>
      <c r="M1426" t="s">
        <v>35</v>
      </c>
    </row>
    <row r="1427" spans="1:13" x14ac:dyDescent="0.3">
      <c r="A1427" t="s">
        <v>2764</v>
      </c>
      <c r="B1427" t="s">
        <v>775</v>
      </c>
      <c r="C1427" t="s">
        <v>2208</v>
      </c>
      <c r="D1427" s="7" t="s">
        <v>808</v>
      </c>
      <c r="E1427" t="s">
        <v>59</v>
      </c>
      <c r="F1427" t="s">
        <v>26</v>
      </c>
      <c r="G1427" t="s">
        <v>84</v>
      </c>
      <c r="H1427">
        <v>2</v>
      </c>
      <c r="I1427">
        <v>101.41</v>
      </c>
      <c r="J1427">
        <v>0.15</v>
      </c>
      <c r="K1427">
        <v>172.4</v>
      </c>
      <c r="L1427">
        <v>20.440000000000001</v>
      </c>
      <c r="M1427" t="s">
        <v>40</v>
      </c>
    </row>
    <row r="1428" spans="1:13" x14ac:dyDescent="0.3">
      <c r="A1428" t="s">
        <v>2765</v>
      </c>
      <c r="B1428" t="s">
        <v>665</v>
      </c>
      <c r="C1428" t="s">
        <v>1653</v>
      </c>
      <c r="D1428" s="7" t="s">
        <v>922</v>
      </c>
      <c r="E1428" t="s">
        <v>17</v>
      </c>
      <c r="F1428" t="s">
        <v>18</v>
      </c>
      <c r="G1428" t="s">
        <v>19</v>
      </c>
      <c r="H1428">
        <v>5</v>
      </c>
      <c r="I1428">
        <v>70.25</v>
      </c>
      <c r="J1428">
        <v>0.15</v>
      </c>
      <c r="K1428">
        <v>298.56</v>
      </c>
      <c r="L1428">
        <v>89.12</v>
      </c>
      <c r="M1428" t="s">
        <v>20</v>
      </c>
    </row>
    <row r="1429" spans="1:13" x14ac:dyDescent="0.3">
      <c r="A1429" t="s">
        <v>2766</v>
      </c>
      <c r="B1429" t="s">
        <v>900</v>
      </c>
      <c r="C1429" t="s">
        <v>171</v>
      </c>
      <c r="D1429" s="7" t="s">
        <v>1669</v>
      </c>
      <c r="E1429" t="s">
        <v>32</v>
      </c>
      <c r="F1429" t="s">
        <v>18</v>
      </c>
      <c r="G1429" t="s">
        <v>19</v>
      </c>
      <c r="H1429">
        <v>8</v>
      </c>
      <c r="I1429">
        <v>86.68</v>
      </c>
      <c r="J1429">
        <v>0.05</v>
      </c>
      <c r="K1429">
        <v>658.77</v>
      </c>
      <c r="L1429">
        <v>120.5</v>
      </c>
      <c r="M1429" t="s">
        <v>40</v>
      </c>
    </row>
    <row r="1430" spans="1:13" x14ac:dyDescent="0.3">
      <c r="A1430" t="s">
        <v>2767</v>
      </c>
      <c r="B1430" t="s">
        <v>2166</v>
      </c>
      <c r="C1430" t="s">
        <v>1700</v>
      </c>
      <c r="D1430" s="7" t="s">
        <v>546</v>
      </c>
      <c r="E1430" t="s">
        <v>59</v>
      </c>
      <c r="F1430" t="s">
        <v>89</v>
      </c>
      <c r="G1430" t="s">
        <v>90</v>
      </c>
      <c r="H1430">
        <v>5</v>
      </c>
      <c r="I1430">
        <v>230.97</v>
      </c>
      <c r="J1430">
        <v>0.1</v>
      </c>
      <c r="K1430">
        <v>1039.3699999999999</v>
      </c>
      <c r="L1430">
        <v>184.33</v>
      </c>
      <c r="M1430" t="s">
        <v>20</v>
      </c>
    </row>
    <row r="1431" spans="1:13" x14ac:dyDescent="0.3">
      <c r="A1431" t="s">
        <v>2768</v>
      </c>
      <c r="B1431" t="s">
        <v>506</v>
      </c>
      <c r="C1431" t="s">
        <v>647</v>
      </c>
      <c r="D1431" s="7" t="s">
        <v>1182</v>
      </c>
      <c r="E1431" t="s">
        <v>17</v>
      </c>
      <c r="F1431" t="s">
        <v>18</v>
      </c>
      <c r="G1431" t="s">
        <v>45</v>
      </c>
      <c r="H1431">
        <v>7</v>
      </c>
      <c r="I1431">
        <v>155.54</v>
      </c>
      <c r="J1431">
        <v>0</v>
      </c>
      <c r="K1431">
        <v>1088.78</v>
      </c>
      <c r="L1431">
        <v>208.18</v>
      </c>
      <c r="M1431" t="s">
        <v>20</v>
      </c>
    </row>
    <row r="1432" spans="1:13" x14ac:dyDescent="0.3">
      <c r="A1432" t="s">
        <v>2769</v>
      </c>
      <c r="B1432" t="s">
        <v>1198</v>
      </c>
      <c r="C1432" t="s">
        <v>876</v>
      </c>
      <c r="D1432" s="7" t="s">
        <v>2319</v>
      </c>
      <c r="E1432" t="s">
        <v>32</v>
      </c>
      <c r="F1432" t="s">
        <v>18</v>
      </c>
      <c r="G1432" t="s">
        <v>45</v>
      </c>
      <c r="H1432">
        <v>5</v>
      </c>
      <c r="I1432">
        <v>37.03</v>
      </c>
      <c r="J1432">
        <v>0.05</v>
      </c>
      <c r="K1432">
        <v>175.89</v>
      </c>
      <c r="L1432">
        <v>40.61</v>
      </c>
      <c r="M1432" t="s">
        <v>35</v>
      </c>
    </row>
    <row r="1433" spans="1:13" x14ac:dyDescent="0.3">
      <c r="A1433" t="s">
        <v>2770</v>
      </c>
      <c r="B1433" t="s">
        <v>37</v>
      </c>
      <c r="C1433" t="s">
        <v>2004</v>
      </c>
      <c r="D1433" s="7" t="s">
        <v>1484</v>
      </c>
      <c r="E1433" t="s">
        <v>25</v>
      </c>
      <c r="F1433" t="s">
        <v>33</v>
      </c>
      <c r="G1433" t="s">
        <v>50</v>
      </c>
      <c r="H1433">
        <v>1</v>
      </c>
      <c r="I1433">
        <v>164.98</v>
      </c>
      <c r="J1433">
        <v>0.05</v>
      </c>
      <c r="K1433">
        <v>156.72999999999999</v>
      </c>
      <c r="L1433">
        <v>31.96</v>
      </c>
      <c r="M1433" t="s">
        <v>35</v>
      </c>
    </row>
    <row r="1434" spans="1:13" x14ac:dyDescent="0.3">
      <c r="A1434" t="s">
        <v>2771</v>
      </c>
      <c r="B1434" t="s">
        <v>2500</v>
      </c>
      <c r="C1434" t="s">
        <v>1504</v>
      </c>
      <c r="D1434" s="7" t="s">
        <v>205</v>
      </c>
      <c r="E1434" t="s">
        <v>17</v>
      </c>
      <c r="F1434" t="s">
        <v>26</v>
      </c>
      <c r="G1434" t="s">
        <v>27</v>
      </c>
      <c r="H1434">
        <v>2</v>
      </c>
      <c r="I1434">
        <v>192.67</v>
      </c>
      <c r="J1434">
        <v>0.1</v>
      </c>
      <c r="K1434">
        <v>346.81</v>
      </c>
      <c r="L1434">
        <v>79.989999999999995</v>
      </c>
      <c r="M1434" t="s">
        <v>20</v>
      </c>
    </row>
    <row r="1435" spans="1:13" x14ac:dyDescent="0.3">
      <c r="A1435" t="s">
        <v>2772</v>
      </c>
      <c r="B1435" t="s">
        <v>108</v>
      </c>
      <c r="C1435" t="s">
        <v>1283</v>
      </c>
      <c r="D1435" s="7" t="s">
        <v>153</v>
      </c>
      <c r="E1435" t="s">
        <v>32</v>
      </c>
      <c r="F1435" t="s">
        <v>26</v>
      </c>
      <c r="G1435" t="s">
        <v>118</v>
      </c>
      <c r="H1435">
        <v>5</v>
      </c>
      <c r="I1435">
        <v>111.69</v>
      </c>
      <c r="J1435">
        <v>0.15</v>
      </c>
      <c r="K1435">
        <v>474.68</v>
      </c>
      <c r="L1435">
        <v>105.27</v>
      </c>
      <c r="M1435" t="s">
        <v>20</v>
      </c>
    </row>
    <row r="1436" spans="1:13" x14ac:dyDescent="0.3">
      <c r="A1436" t="s">
        <v>2773</v>
      </c>
      <c r="B1436" t="s">
        <v>320</v>
      </c>
      <c r="C1436" t="s">
        <v>673</v>
      </c>
      <c r="D1436" s="7" t="s">
        <v>1553</v>
      </c>
      <c r="E1436" t="s">
        <v>59</v>
      </c>
      <c r="F1436" t="s">
        <v>18</v>
      </c>
      <c r="G1436" t="s">
        <v>19</v>
      </c>
      <c r="H1436">
        <v>6</v>
      </c>
      <c r="I1436">
        <v>179.23</v>
      </c>
      <c r="J1436">
        <v>0</v>
      </c>
      <c r="K1436">
        <v>1075.3800000000001</v>
      </c>
      <c r="L1436">
        <v>172.94</v>
      </c>
      <c r="M1436" t="s">
        <v>35</v>
      </c>
    </row>
    <row r="1437" spans="1:13" x14ac:dyDescent="0.3">
      <c r="A1437" t="s">
        <v>2774</v>
      </c>
      <c r="B1437" t="s">
        <v>929</v>
      </c>
      <c r="C1437" t="s">
        <v>1760</v>
      </c>
      <c r="D1437" s="7" t="s">
        <v>618</v>
      </c>
      <c r="E1437" t="s">
        <v>25</v>
      </c>
      <c r="F1437" t="s">
        <v>33</v>
      </c>
      <c r="G1437" t="s">
        <v>74</v>
      </c>
      <c r="H1437">
        <v>3</v>
      </c>
      <c r="I1437">
        <v>92.31</v>
      </c>
      <c r="J1437">
        <v>0.1</v>
      </c>
      <c r="K1437">
        <v>249.24</v>
      </c>
      <c r="L1437">
        <v>51.33</v>
      </c>
      <c r="M1437" t="s">
        <v>20</v>
      </c>
    </row>
    <row r="1438" spans="1:13" x14ac:dyDescent="0.3">
      <c r="A1438" t="s">
        <v>2775</v>
      </c>
      <c r="B1438" t="s">
        <v>731</v>
      </c>
      <c r="C1438" t="s">
        <v>409</v>
      </c>
      <c r="D1438" s="7" t="s">
        <v>895</v>
      </c>
      <c r="E1438" t="s">
        <v>59</v>
      </c>
      <c r="F1438" t="s">
        <v>26</v>
      </c>
      <c r="G1438" t="s">
        <v>118</v>
      </c>
      <c r="H1438">
        <v>7</v>
      </c>
      <c r="I1438">
        <v>120.53</v>
      </c>
      <c r="J1438">
        <v>0</v>
      </c>
      <c r="K1438">
        <v>843.71</v>
      </c>
      <c r="L1438">
        <v>213.42</v>
      </c>
      <c r="M1438" t="s">
        <v>40</v>
      </c>
    </row>
    <row r="1439" spans="1:13" x14ac:dyDescent="0.3">
      <c r="A1439" t="s">
        <v>2776</v>
      </c>
      <c r="B1439" t="s">
        <v>878</v>
      </c>
      <c r="C1439" t="s">
        <v>1653</v>
      </c>
      <c r="D1439" s="7" t="s">
        <v>1689</v>
      </c>
      <c r="E1439" t="s">
        <v>64</v>
      </c>
      <c r="F1439" t="s">
        <v>26</v>
      </c>
      <c r="G1439" t="s">
        <v>118</v>
      </c>
      <c r="H1439">
        <v>7</v>
      </c>
      <c r="I1439">
        <v>31.44</v>
      </c>
      <c r="J1439">
        <v>0.15</v>
      </c>
      <c r="K1439">
        <v>187.07</v>
      </c>
      <c r="L1439">
        <v>26.73</v>
      </c>
      <c r="M1439" t="s">
        <v>20</v>
      </c>
    </row>
    <row r="1440" spans="1:13" x14ac:dyDescent="0.3">
      <c r="A1440" t="s">
        <v>2777</v>
      </c>
      <c r="B1440" t="s">
        <v>2778</v>
      </c>
      <c r="C1440" t="s">
        <v>389</v>
      </c>
      <c r="D1440" s="7" t="s">
        <v>2096</v>
      </c>
      <c r="E1440" t="s">
        <v>25</v>
      </c>
      <c r="F1440" t="s">
        <v>89</v>
      </c>
      <c r="G1440" t="s">
        <v>131</v>
      </c>
      <c r="H1440">
        <v>7</v>
      </c>
      <c r="I1440">
        <v>204.65</v>
      </c>
      <c r="J1440">
        <v>0</v>
      </c>
      <c r="K1440">
        <v>1432.55</v>
      </c>
      <c r="L1440">
        <v>401.05</v>
      </c>
      <c r="M1440" t="s">
        <v>40</v>
      </c>
    </row>
    <row r="1441" spans="1:13" x14ac:dyDescent="0.3">
      <c r="A1441" t="s">
        <v>2779</v>
      </c>
      <c r="B1441" t="s">
        <v>47</v>
      </c>
      <c r="C1441" t="s">
        <v>1782</v>
      </c>
      <c r="D1441" s="7" t="s">
        <v>1510</v>
      </c>
      <c r="E1441" t="s">
        <v>25</v>
      </c>
      <c r="F1441" t="s">
        <v>89</v>
      </c>
      <c r="G1441" t="s">
        <v>150</v>
      </c>
      <c r="H1441">
        <v>3</v>
      </c>
      <c r="I1441">
        <v>53.72</v>
      </c>
      <c r="J1441">
        <v>0</v>
      </c>
      <c r="K1441">
        <v>161.16</v>
      </c>
      <c r="L1441">
        <v>48.21</v>
      </c>
      <c r="M1441" t="s">
        <v>20</v>
      </c>
    </row>
    <row r="1442" spans="1:13" x14ac:dyDescent="0.3">
      <c r="A1442" t="s">
        <v>2780</v>
      </c>
      <c r="B1442" t="s">
        <v>893</v>
      </c>
      <c r="C1442" t="s">
        <v>148</v>
      </c>
      <c r="D1442" s="7" t="s">
        <v>94</v>
      </c>
      <c r="E1442" t="s">
        <v>64</v>
      </c>
      <c r="F1442" t="s">
        <v>18</v>
      </c>
      <c r="G1442" t="s">
        <v>19</v>
      </c>
      <c r="H1442">
        <v>4</v>
      </c>
      <c r="I1442">
        <v>83.42</v>
      </c>
      <c r="J1442">
        <v>0.05</v>
      </c>
      <c r="K1442">
        <v>317</v>
      </c>
      <c r="L1442">
        <v>57.54</v>
      </c>
      <c r="M1442" t="s">
        <v>20</v>
      </c>
    </row>
    <row r="1443" spans="1:13" x14ac:dyDescent="0.3">
      <c r="A1443" t="s">
        <v>2781</v>
      </c>
      <c r="B1443" t="s">
        <v>378</v>
      </c>
      <c r="C1443" t="s">
        <v>633</v>
      </c>
      <c r="D1443" s="7" t="s">
        <v>1910</v>
      </c>
      <c r="E1443" t="s">
        <v>25</v>
      </c>
      <c r="F1443" t="s">
        <v>18</v>
      </c>
      <c r="G1443" t="s">
        <v>45</v>
      </c>
      <c r="H1443">
        <v>5</v>
      </c>
      <c r="I1443">
        <v>167.74</v>
      </c>
      <c r="J1443">
        <v>0.1</v>
      </c>
      <c r="K1443">
        <v>754.83</v>
      </c>
      <c r="L1443">
        <v>225.21</v>
      </c>
      <c r="M1443" t="s">
        <v>35</v>
      </c>
    </row>
    <row r="1444" spans="1:13" x14ac:dyDescent="0.3">
      <c r="A1444" t="s">
        <v>2782</v>
      </c>
      <c r="B1444" t="s">
        <v>302</v>
      </c>
      <c r="C1444" t="s">
        <v>401</v>
      </c>
      <c r="D1444" s="7" t="s">
        <v>2279</v>
      </c>
      <c r="E1444" t="s">
        <v>17</v>
      </c>
      <c r="F1444" t="s">
        <v>89</v>
      </c>
      <c r="G1444" t="s">
        <v>90</v>
      </c>
      <c r="H1444">
        <v>1</v>
      </c>
      <c r="I1444">
        <v>66.290000000000006</v>
      </c>
      <c r="J1444">
        <v>0.1</v>
      </c>
      <c r="K1444">
        <v>59.66</v>
      </c>
      <c r="L1444">
        <v>15.71</v>
      </c>
      <c r="M1444" t="s">
        <v>35</v>
      </c>
    </row>
    <row r="1445" spans="1:13" x14ac:dyDescent="0.3">
      <c r="A1445" t="s">
        <v>2783</v>
      </c>
      <c r="B1445" t="s">
        <v>731</v>
      </c>
      <c r="C1445" t="s">
        <v>597</v>
      </c>
      <c r="D1445" s="7" t="s">
        <v>745</v>
      </c>
      <c r="E1445" t="s">
        <v>25</v>
      </c>
      <c r="F1445" t="s">
        <v>18</v>
      </c>
      <c r="G1445" t="s">
        <v>79</v>
      </c>
      <c r="H1445">
        <v>2</v>
      </c>
      <c r="I1445">
        <v>75.73</v>
      </c>
      <c r="J1445">
        <v>0.05</v>
      </c>
      <c r="K1445">
        <v>143.88999999999999</v>
      </c>
      <c r="L1445">
        <v>32.57</v>
      </c>
      <c r="M1445" t="s">
        <v>20</v>
      </c>
    </row>
    <row r="1446" spans="1:13" x14ac:dyDescent="0.3">
      <c r="A1446" t="s">
        <v>2784</v>
      </c>
      <c r="B1446" t="s">
        <v>2627</v>
      </c>
      <c r="C1446" t="s">
        <v>870</v>
      </c>
      <c r="D1446" s="7" t="s">
        <v>1077</v>
      </c>
      <c r="E1446" t="s">
        <v>17</v>
      </c>
      <c r="F1446" t="s">
        <v>18</v>
      </c>
      <c r="G1446" t="s">
        <v>19</v>
      </c>
      <c r="H1446">
        <v>6</v>
      </c>
      <c r="I1446">
        <v>131.96</v>
      </c>
      <c r="J1446">
        <v>0.15</v>
      </c>
      <c r="K1446">
        <v>673</v>
      </c>
      <c r="L1446">
        <v>88.17</v>
      </c>
      <c r="M1446" t="s">
        <v>35</v>
      </c>
    </row>
    <row r="1447" spans="1:13" x14ac:dyDescent="0.3">
      <c r="A1447" t="s">
        <v>2785</v>
      </c>
      <c r="B1447" t="s">
        <v>1626</v>
      </c>
      <c r="C1447" t="s">
        <v>1166</v>
      </c>
      <c r="D1447" s="7" t="s">
        <v>78</v>
      </c>
      <c r="E1447" t="s">
        <v>17</v>
      </c>
      <c r="F1447" t="s">
        <v>89</v>
      </c>
      <c r="G1447" t="s">
        <v>150</v>
      </c>
      <c r="H1447">
        <v>2</v>
      </c>
      <c r="I1447">
        <v>166.07</v>
      </c>
      <c r="J1447">
        <v>0.15</v>
      </c>
      <c r="K1447">
        <v>282.32</v>
      </c>
      <c r="L1447">
        <v>23.57</v>
      </c>
      <c r="M1447" t="s">
        <v>35</v>
      </c>
    </row>
    <row r="1448" spans="1:13" x14ac:dyDescent="0.3">
      <c r="A1448" t="s">
        <v>2786</v>
      </c>
      <c r="B1448" t="s">
        <v>147</v>
      </c>
      <c r="C1448" t="s">
        <v>640</v>
      </c>
      <c r="D1448" s="7" t="s">
        <v>2260</v>
      </c>
      <c r="E1448" t="s">
        <v>17</v>
      </c>
      <c r="F1448" t="s">
        <v>18</v>
      </c>
      <c r="G1448" t="s">
        <v>45</v>
      </c>
      <c r="H1448">
        <v>5</v>
      </c>
      <c r="I1448">
        <v>230.25</v>
      </c>
      <c r="J1448">
        <v>0.05</v>
      </c>
      <c r="K1448">
        <v>1093.69</v>
      </c>
      <c r="L1448">
        <v>99.27</v>
      </c>
      <c r="M1448" t="s">
        <v>40</v>
      </c>
    </row>
    <row r="1449" spans="1:13" x14ac:dyDescent="0.3">
      <c r="A1449" t="s">
        <v>2787</v>
      </c>
      <c r="B1449" t="s">
        <v>22</v>
      </c>
      <c r="C1449" t="s">
        <v>941</v>
      </c>
      <c r="D1449" s="7" t="s">
        <v>1731</v>
      </c>
      <c r="E1449" t="s">
        <v>25</v>
      </c>
      <c r="F1449" t="s">
        <v>18</v>
      </c>
      <c r="G1449" t="s">
        <v>19</v>
      </c>
      <c r="H1449">
        <v>6</v>
      </c>
      <c r="I1449">
        <v>228.42</v>
      </c>
      <c r="J1449">
        <v>0.15</v>
      </c>
      <c r="K1449">
        <v>1164.94</v>
      </c>
      <c r="L1449">
        <v>141.85</v>
      </c>
      <c r="M1449" t="s">
        <v>40</v>
      </c>
    </row>
    <row r="1450" spans="1:13" x14ac:dyDescent="0.3">
      <c r="A1450" t="s">
        <v>2788</v>
      </c>
      <c r="B1450" t="s">
        <v>558</v>
      </c>
      <c r="C1450" t="s">
        <v>597</v>
      </c>
      <c r="D1450" s="7" t="s">
        <v>651</v>
      </c>
      <c r="E1450" t="s">
        <v>59</v>
      </c>
      <c r="F1450" t="s">
        <v>89</v>
      </c>
      <c r="G1450" t="s">
        <v>90</v>
      </c>
      <c r="H1450">
        <v>7</v>
      </c>
      <c r="I1450">
        <v>200.41</v>
      </c>
      <c r="J1450">
        <v>0</v>
      </c>
      <c r="K1450">
        <v>1402.87</v>
      </c>
      <c r="L1450">
        <v>311.29000000000002</v>
      </c>
      <c r="M1450" t="s">
        <v>35</v>
      </c>
    </row>
    <row r="1451" spans="1:13" x14ac:dyDescent="0.3">
      <c r="A1451" t="s">
        <v>2789</v>
      </c>
      <c r="B1451" t="s">
        <v>493</v>
      </c>
      <c r="C1451" t="s">
        <v>1451</v>
      </c>
      <c r="D1451" s="7" t="s">
        <v>2790</v>
      </c>
      <c r="E1451" t="s">
        <v>59</v>
      </c>
      <c r="F1451" t="s">
        <v>33</v>
      </c>
      <c r="G1451" t="s">
        <v>69</v>
      </c>
      <c r="H1451">
        <v>8</v>
      </c>
      <c r="I1451">
        <v>167.99</v>
      </c>
      <c r="J1451">
        <v>0.1</v>
      </c>
      <c r="K1451">
        <v>1209.53</v>
      </c>
      <c r="L1451">
        <v>120.61</v>
      </c>
      <c r="M1451" t="s">
        <v>35</v>
      </c>
    </row>
    <row r="1452" spans="1:13" x14ac:dyDescent="0.3">
      <c r="A1452" t="s">
        <v>2791</v>
      </c>
      <c r="B1452" t="s">
        <v>705</v>
      </c>
      <c r="C1452" t="s">
        <v>682</v>
      </c>
      <c r="D1452" s="7" t="s">
        <v>2792</v>
      </c>
      <c r="E1452" t="s">
        <v>25</v>
      </c>
      <c r="F1452" t="s">
        <v>18</v>
      </c>
      <c r="G1452" t="s">
        <v>79</v>
      </c>
      <c r="H1452">
        <v>7</v>
      </c>
      <c r="I1452">
        <v>240.67</v>
      </c>
      <c r="J1452">
        <v>0.05</v>
      </c>
      <c r="K1452">
        <v>1600.46</v>
      </c>
      <c r="L1452">
        <v>152.62</v>
      </c>
      <c r="M1452" t="s">
        <v>20</v>
      </c>
    </row>
    <row r="1453" spans="1:13" x14ac:dyDescent="0.3">
      <c r="A1453" t="s">
        <v>2793</v>
      </c>
      <c r="B1453" t="s">
        <v>1696</v>
      </c>
      <c r="C1453" t="s">
        <v>43</v>
      </c>
      <c r="D1453" s="7" t="s">
        <v>588</v>
      </c>
      <c r="E1453" t="s">
        <v>32</v>
      </c>
      <c r="F1453" t="s">
        <v>18</v>
      </c>
      <c r="G1453" t="s">
        <v>19</v>
      </c>
      <c r="H1453">
        <v>6</v>
      </c>
      <c r="I1453">
        <v>147.57</v>
      </c>
      <c r="J1453">
        <v>0.1</v>
      </c>
      <c r="K1453">
        <v>796.88</v>
      </c>
      <c r="L1453">
        <v>165.84</v>
      </c>
      <c r="M1453" t="s">
        <v>40</v>
      </c>
    </row>
    <row r="1454" spans="1:13" x14ac:dyDescent="0.3">
      <c r="A1454" t="s">
        <v>2794</v>
      </c>
      <c r="B1454" t="s">
        <v>1081</v>
      </c>
      <c r="C1454" t="s">
        <v>215</v>
      </c>
      <c r="D1454" s="7" t="s">
        <v>1596</v>
      </c>
      <c r="E1454" t="s">
        <v>17</v>
      </c>
      <c r="F1454" t="s">
        <v>26</v>
      </c>
      <c r="G1454" t="s">
        <v>118</v>
      </c>
      <c r="H1454">
        <v>3</v>
      </c>
      <c r="I1454">
        <v>41.49</v>
      </c>
      <c r="J1454">
        <v>0.05</v>
      </c>
      <c r="K1454">
        <v>118.25</v>
      </c>
      <c r="L1454">
        <v>21.47</v>
      </c>
      <c r="M1454" t="s">
        <v>35</v>
      </c>
    </row>
    <row r="1455" spans="1:13" x14ac:dyDescent="0.3">
      <c r="A1455" t="s">
        <v>2795</v>
      </c>
      <c r="B1455" t="s">
        <v>412</v>
      </c>
      <c r="C1455" t="s">
        <v>853</v>
      </c>
      <c r="D1455" s="7" t="s">
        <v>688</v>
      </c>
      <c r="E1455" t="s">
        <v>64</v>
      </c>
      <c r="F1455" t="s">
        <v>89</v>
      </c>
      <c r="G1455" t="s">
        <v>150</v>
      </c>
      <c r="H1455">
        <v>4</v>
      </c>
      <c r="I1455">
        <v>172.43</v>
      </c>
      <c r="J1455">
        <v>0.05</v>
      </c>
      <c r="K1455">
        <v>655.23</v>
      </c>
      <c r="L1455">
        <v>85.01</v>
      </c>
      <c r="M1455" t="s">
        <v>40</v>
      </c>
    </row>
    <row r="1456" spans="1:13" x14ac:dyDescent="0.3">
      <c r="A1456" t="s">
        <v>2796</v>
      </c>
      <c r="B1456" t="s">
        <v>1198</v>
      </c>
      <c r="C1456" t="s">
        <v>332</v>
      </c>
      <c r="D1456" s="7" t="s">
        <v>658</v>
      </c>
      <c r="E1456" t="s">
        <v>25</v>
      </c>
      <c r="F1456" t="s">
        <v>26</v>
      </c>
      <c r="G1456" t="s">
        <v>118</v>
      </c>
      <c r="H1456">
        <v>3</v>
      </c>
      <c r="I1456">
        <v>16.149999999999999</v>
      </c>
      <c r="J1456">
        <v>0</v>
      </c>
      <c r="K1456">
        <v>48.45</v>
      </c>
      <c r="L1456">
        <v>13.1</v>
      </c>
      <c r="M1456" t="s">
        <v>40</v>
      </c>
    </row>
    <row r="1457" spans="1:13" x14ac:dyDescent="0.3">
      <c r="A1457" t="s">
        <v>2797</v>
      </c>
      <c r="B1457" t="s">
        <v>115</v>
      </c>
      <c r="C1457" t="s">
        <v>1322</v>
      </c>
      <c r="D1457" s="7" t="s">
        <v>965</v>
      </c>
      <c r="E1457" t="s">
        <v>25</v>
      </c>
      <c r="F1457" t="s">
        <v>33</v>
      </c>
      <c r="G1457" t="s">
        <v>50</v>
      </c>
      <c r="H1457">
        <v>8</v>
      </c>
      <c r="I1457">
        <v>40.98</v>
      </c>
      <c r="J1457">
        <v>0</v>
      </c>
      <c r="K1457">
        <v>327.84</v>
      </c>
      <c r="L1457">
        <v>75.510000000000005</v>
      </c>
      <c r="M1457" t="s">
        <v>35</v>
      </c>
    </row>
    <row r="1458" spans="1:13" x14ac:dyDescent="0.3">
      <c r="A1458" t="s">
        <v>2798</v>
      </c>
      <c r="B1458" t="s">
        <v>2223</v>
      </c>
      <c r="C1458" t="s">
        <v>23</v>
      </c>
      <c r="D1458" s="7" t="s">
        <v>2408</v>
      </c>
      <c r="E1458" t="s">
        <v>17</v>
      </c>
      <c r="F1458" t="s">
        <v>18</v>
      </c>
      <c r="G1458" t="s">
        <v>79</v>
      </c>
      <c r="H1458">
        <v>6</v>
      </c>
      <c r="I1458">
        <v>14.35</v>
      </c>
      <c r="J1458">
        <v>0.15</v>
      </c>
      <c r="K1458">
        <v>73.180000000000007</v>
      </c>
      <c r="L1458">
        <v>16.75</v>
      </c>
      <c r="M1458" t="s">
        <v>40</v>
      </c>
    </row>
    <row r="1459" spans="1:13" x14ac:dyDescent="0.3">
      <c r="A1459" t="s">
        <v>2799</v>
      </c>
      <c r="B1459" t="s">
        <v>752</v>
      </c>
      <c r="C1459" t="s">
        <v>2208</v>
      </c>
      <c r="D1459" s="7" t="s">
        <v>2260</v>
      </c>
      <c r="E1459" t="s">
        <v>32</v>
      </c>
      <c r="F1459" t="s">
        <v>26</v>
      </c>
      <c r="G1459" t="s">
        <v>27</v>
      </c>
      <c r="H1459">
        <v>1</v>
      </c>
      <c r="I1459">
        <v>86.13</v>
      </c>
      <c r="J1459">
        <v>0</v>
      </c>
      <c r="K1459">
        <v>86.13</v>
      </c>
      <c r="L1459">
        <v>13.74</v>
      </c>
      <c r="M1459" t="s">
        <v>35</v>
      </c>
    </row>
    <row r="1460" spans="1:13" x14ac:dyDescent="0.3">
      <c r="A1460" t="s">
        <v>2800</v>
      </c>
      <c r="B1460" t="s">
        <v>2801</v>
      </c>
      <c r="C1460" t="s">
        <v>2065</v>
      </c>
      <c r="D1460" s="7" t="s">
        <v>512</v>
      </c>
      <c r="E1460" t="s">
        <v>25</v>
      </c>
      <c r="F1460" t="s">
        <v>18</v>
      </c>
      <c r="G1460" t="s">
        <v>45</v>
      </c>
      <c r="H1460">
        <v>3</v>
      </c>
      <c r="I1460">
        <v>123.72</v>
      </c>
      <c r="J1460">
        <v>0.15</v>
      </c>
      <c r="K1460">
        <v>315.49</v>
      </c>
      <c r="L1460">
        <v>46.78</v>
      </c>
      <c r="M1460" t="s">
        <v>20</v>
      </c>
    </row>
    <row r="1461" spans="1:13" x14ac:dyDescent="0.3">
      <c r="A1461" t="s">
        <v>2802</v>
      </c>
      <c r="B1461" t="s">
        <v>497</v>
      </c>
      <c r="C1461" t="s">
        <v>43</v>
      </c>
      <c r="D1461" s="7" t="s">
        <v>197</v>
      </c>
      <c r="E1461" t="s">
        <v>59</v>
      </c>
      <c r="F1461" t="s">
        <v>33</v>
      </c>
      <c r="G1461" t="s">
        <v>69</v>
      </c>
      <c r="H1461">
        <v>1</v>
      </c>
      <c r="I1461">
        <v>150.51</v>
      </c>
      <c r="J1461">
        <v>0.15</v>
      </c>
      <c r="K1461">
        <v>127.93</v>
      </c>
      <c r="L1461">
        <v>12.32</v>
      </c>
      <c r="M1461" t="s">
        <v>35</v>
      </c>
    </row>
    <row r="1462" spans="1:13" x14ac:dyDescent="0.3">
      <c r="A1462" t="s">
        <v>2803</v>
      </c>
      <c r="B1462" t="s">
        <v>96</v>
      </c>
      <c r="C1462" t="s">
        <v>2181</v>
      </c>
      <c r="D1462" s="7" t="s">
        <v>2074</v>
      </c>
      <c r="E1462" t="s">
        <v>32</v>
      </c>
      <c r="F1462" t="s">
        <v>18</v>
      </c>
      <c r="G1462" t="s">
        <v>45</v>
      </c>
      <c r="H1462">
        <v>7</v>
      </c>
      <c r="I1462">
        <v>143.56</v>
      </c>
      <c r="J1462">
        <v>0.1</v>
      </c>
      <c r="K1462">
        <v>904.43</v>
      </c>
      <c r="L1462">
        <v>187.87</v>
      </c>
      <c r="M1462" t="s">
        <v>35</v>
      </c>
    </row>
    <row r="1463" spans="1:13" x14ac:dyDescent="0.3">
      <c r="A1463" t="s">
        <v>2804</v>
      </c>
      <c r="B1463" t="s">
        <v>889</v>
      </c>
      <c r="C1463" t="s">
        <v>890</v>
      </c>
      <c r="D1463" s="7" t="s">
        <v>2805</v>
      </c>
      <c r="E1463" t="s">
        <v>32</v>
      </c>
      <c r="F1463" t="s">
        <v>89</v>
      </c>
      <c r="G1463" t="s">
        <v>90</v>
      </c>
      <c r="H1463">
        <v>3</v>
      </c>
      <c r="I1463">
        <v>112.03</v>
      </c>
      <c r="J1463">
        <v>0.1</v>
      </c>
      <c r="K1463">
        <v>302.48</v>
      </c>
      <c r="L1463">
        <v>59.58</v>
      </c>
      <c r="M1463" t="s">
        <v>35</v>
      </c>
    </row>
    <row r="1464" spans="1:13" x14ac:dyDescent="0.3">
      <c r="A1464" t="s">
        <v>2806</v>
      </c>
      <c r="B1464" t="s">
        <v>681</v>
      </c>
      <c r="C1464" t="s">
        <v>2482</v>
      </c>
      <c r="D1464" s="7" t="s">
        <v>1278</v>
      </c>
      <c r="E1464" t="s">
        <v>17</v>
      </c>
      <c r="F1464" t="s">
        <v>89</v>
      </c>
      <c r="G1464" t="s">
        <v>90</v>
      </c>
      <c r="H1464">
        <v>8</v>
      </c>
      <c r="I1464">
        <v>176.92</v>
      </c>
      <c r="J1464">
        <v>0</v>
      </c>
      <c r="K1464">
        <v>1415.36</v>
      </c>
      <c r="L1464">
        <v>252.99</v>
      </c>
      <c r="M1464" t="s">
        <v>20</v>
      </c>
    </row>
    <row r="1465" spans="1:13" x14ac:dyDescent="0.3">
      <c r="A1465" t="s">
        <v>2807</v>
      </c>
      <c r="B1465" t="s">
        <v>949</v>
      </c>
      <c r="C1465" t="s">
        <v>562</v>
      </c>
      <c r="D1465" s="7" t="s">
        <v>269</v>
      </c>
      <c r="E1465" t="s">
        <v>64</v>
      </c>
      <c r="F1465" t="s">
        <v>26</v>
      </c>
      <c r="G1465" t="s">
        <v>118</v>
      </c>
      <c r="H1465">
        <v>5</v>
      </c>
      <c r="I1465">
        <v>136.08000000000001</v>
      </c>
      <c r="J1465">
        <v>0.05</v>
      </c>
      <c r="K1465">
        <v>646.38</v>
      </c>
      <c r="L1465">
        <v>179.2</v>
      </c>
      <c r="M1465" t="s">
        <v>40</v>
      </c>
    </row>
    <row r="1466" spans="1:13" x14ac:dyDescent="0.3">
      <c r="A1466" t="s">
        <v>2808</v>
      </c>
      <c r="B1466" t="s">
        <v>140</v>
      </c>
      <c r="C1466" t="s">
        <v>2809</v>
      </c>
      <c r="D1466" s="7" t="s">
        <v>2712</v>
      </c>
      <c r="E1466" t="s">
        <v>32</v>
      </c>
      <c r="F1466" t="s">
        <v>18</v>
      </c>
      <c r="G1466" t="s">
        <v>19</v>
      </c>
      <c r="H1466">
        <v>8</v>
      </c>
      <c r="I1466">
        <v>76.13</v>
      </c>
      <c r="J1466">
        <v>0.15</v>
      </c>
      <c r="K1466">
        <v>517.67999999999995</v>
      </c>
      <c r="L1466">
        <v>82.17</v>
      </c>
      <c r="M1466" t="s">
        <v>40</v>
      </c>
    </row>
    <row r="1467" spans="1:13" x14ac:dyDescent="0.3">
      <c r="A1467" t="s">
        <v>2810</v>
      </c>
      <c r="B1467" t="s">
        <v>2207</v>
      </c>
      <c r="C1467" t="s">
        <v>961</v>
      </c>
      <c r="D1467" s="7" t="s">
        <v>601</v>
      </c>
      <c r="E1467" t="s">
        <v>17</v>
      </c>
      <c r="F1467" t="s">
        <v>18</v>
      </c>
      <c r="G1467" t="s">
        <v>45</v>
      </c>
      <c r="H1467">
        <v>8</v>
      </c>
      <c r="I1467">
        <v>15.71</v>
      </c>
      <c r="J1467">
        <v>0.05</v>
      </c>
      <c r="K1467">
        <v>119.4</v>
      </c>
      <c r="L1467">
        <v>14.8</v>
      </c>
      <c r="M1467" t="s">
        <v>20</v>
      </c>
    </row>
    <row r="1468" spans="1:13" x14ac:dyDescent="0.3">
      <c r="A1468" t="s">
        <v>2811</v>
      </c>
      <c r="B1468" t="s">
        <v>320</v>
      </c>
      <c r="C1468" t="s">
        <v>2812</v>
      </c>
      <c r="D1468" s="7" t="s">
        <v>233</v>
      </c>
      <c r="E1468" t="s">
        <v>64</v>
      </c>
      <c r="F1468" t="s">
        <v>89</v>
      </c>
      <c r="G1468" t="s">
        <v>131</v>
      </c>
      <c r="H1468">
        <v>8</v>
      </c>
      <c r="I1468">
        <v>100.19</v>
      </c>
      <c r="J1468">
        <v>0.1</v>
      </c>
      <c r="K1468">
        <v>721.37</v>
      </c>
      <c r="L1468">
        <v>88.53</v>
      </c>
      <c r="M1468" t="s">
        <v>20</v>
      </c>
    </row>
    <row r="1469" spans="1:13" x14ac:dyDescent="0.3">
      <c r="A1469" t="s">
        <v>2813</v>
      </c>
      <c r="B1469" t="s">
        <v>1013</v>
      </c>
      <c r="C1469" t="s">
        <v>1359</v>
      </c>
      <c r="D1469" s="7" t="s">
        <v>1224</v>
      </c>
      <c r="E1469" t="s">
        <v>17</v>
      </c>
      <c r="F1469" t="s">
        <v>89</v>
      </c>
      <c r="G1469" t="s">
        <v>150</v>
      </c>
      <c r="H1469">
        <v>6</v>
      </c>
      <c r="I1469">
        <v>242.58</v>
      </c>
      <c r="J1469">
        <v>0.1</v>
      </c>
      <c r="K1469">
        <v>1309.93</v>
      </c>
      <c r="L1469">
        <v>124.01</v>
      </c>
      <c r="M1469" t="s">
        <v>40</v>
      </c>
    </row>
    <row r="1470" spans="1:13" x14ac:dyDescent="0.3">
      <c r="A1470" t="s">
        <v>2814</v>
      </c>
      <c r="B1470" t="s">
        <v>728</v>
      </c>
      <c r="C1470" t="s">
        <v>1230</v>
      </c>
      <c r="D1470" s="7" t="s">
        <v>472</v>
      </c>
      <c r="E1470" t="s">
        <v>59</v>
      </c>
      <c r="F1470" t="s">
        <v>26</v>
      </c>
      <c r="G1470" t="s">
        <v>118</v>
      </c>
      <c r="H1470">
        <v>8</v>
      </c>
      <c r="I1470">
        <v>111.48</v>
      </c>
      <c r="J1470">
        <v>0.1</v>
      </c>
      <c r="K1470">
        <v>802.66</v>
      </c>
      <c r="L1470">
        <v>106.96</v>
      </c>
      <c r="M1470" t="s">
        <v>35</v>
      </c>
    </row>
    <row r="1471" spans="1:13" x14ac:dyDescent="0.3">
      <c r="A1471" t="s">
        <v>2815</v>
      </c>
      <c r="B1471" t="s">
        <v>540</v>
      </c>
      <c r="C1471" t="s">
        <v>1789</v>
      </c>
      <c r="D1471" s="7" t="s">
        <v>153</v>
      </c>
      <c r="E1471" t="s">
        <v>17</v>
      </c>
      <c r="F1471" t="s">
        <v>26</v>
      </c>
      <c r="G1471" t="s">
        <v>84</v>
      </c>
      <c r="H1471">
        <v>5</v>
      </c>
      <c r="I1471">
        <v>60.24</v>
      </c>
      <c r="J1471">
        <v>0.05</v>
      </c>
      <c r="K1471">
        <v>286.14</v>
      </c>
      <c r="L1471">
        <v>75.38</v>
      </c>
      <c r="M1471" t="s">
        <v>40</v>
      </c>
    </row>
    <row r="1472" spans="1:13" x14ac:dyDescent="0.3">
      <c r="A1472" t="s">
        <v>2816</v>
      </c>
      <c r="B1472" t="s">
        <v>56</v>
      </c>
      <c r="C1472" t="s">
        <v>1176</v>
      </c>
      <c r="D1472" s="7" t="s">
        <v>39</v>
      </c>
      <c r="E1472" t="s">
        <v>25</v>
      </c>
      <c r="F1472" t="s">
        <v>33</v>
      </c>
      <c r="G1472" t="s">
        <v>69</v>
      </c>
      <c r="H1472">
        <v>6</v>
      </c>
      <c r="I1472">
        <v>224.56</v>
      </c>
      <c r="J1472">
        <v>0</v>
      </c>
      <c r="K1472">
        <v>1347.36</v>
      </c>
      <c r="L1472">
        <v>169.45</v>
      </c>
      <c r="M1472" t="s">
        <v>35</v>
      </c>
    </row>
    <row r="1473" spans="1:13" x14ac:dyDescent="0.3">
      <c r="A1473" t="s">
        <v>2817</v>
      </c>
      <c r="B1473" t="s">
        <v>2223</v>
      </c>
      <c r="C1473" t="s">
        <v>994</v>
      </c>
      <c r="D1473" s="7" t="s">
        <v>992</v>
      </c>
      <c r="E1473" t="s">
        <v>32</v>
      </c>
      <c r="F1473" t="s">
        <v>89</v>
      </c>
      <c r="G1473" t="s">
        <v>131</v>
      </c>
      <c r="H1473">
        <v>5</v>
      </c>
      <c r="I1473">
        <v>76.13</v>
      </c>
      <c r="J1473">
        <v>0.05</v>
      </c>
      <c r="K1473">
        <v>361.62</v>
      </c>
      <c r="L1473">
        <v>105.2</v>
      </c>
      <c r="M1473" t="s">
        <v>35</v>
      </c>
    </row>
    <row r="1474" spans="1:13" x14ac:dyDescent="0.3">
      <c r="A1474" t="s">
        <v>2818</v>
      </c>
      <c r="B1474" t="s">
        <v>1118</v>
      </c>
      <c r="C1474" t="s">
        <v>1322</v>
      </c>
      <c r="D1474" s="7" t="s">
        <v>478</v>
      </c>
      <c r="E1474" t="s">
        <v>32</v>
      </c>
      <c r="F1474" t="s">
        <v>26</v>
      </c>
      <c r="G1474" t="s">
        <v>84</v>
      </c>
      <c r="H1474">
        <v>2</v>
      </c>
      <c r="I1474">
        <v>25.44</v>
      </c>
      <c r="J1474">
        <v>0.1</v>
      </c>
      <c r="K1474">
        <v>45.79</v>
      </c>
      <c r="L1474">
        <v>13.26</v>
      </c>
      <c r="M1474" t="s">
        <v>20</v>
      </c>
    </row>
    <row r="1475" spans="1:13" x14ac:dyDescent="0.3">
      <c r="A1475" t="s">
        <v>2819</v>
      </c>
      <c r="B1475" t="s">
        <v>392</v>
      </c>
      <c r="C1475" t="s">
        <v>729</v>
      </c>
      <c r="D1475" s="7" t="s">
        <v>304</v>
      </c>
      <c r="E1475" t="s">
        <v>25</v>
      </c>
      <c r="F1475" t="s">
        <v>18</v>
      </c>
      <c r="G1475" t="s">
        <v>45</v>
      </c>
      <c r="H1475">
        <v>1</v>
      </c>
      <c r="I1475">
        <v>170.42</v>
      </c>
      <c r="J1475">
        <v>0</v>
      </c>
      <c r="K1475">
        <v>170.42</v>
      </c>
      <c r="L1475">
        <v>28.51</v>
      </c>
      <c r="M1475" t="s">
        <v>35</v>
      </c>
    </row>
    <row r="1476" spans="1:13" x14ac:dyDescent="0.3">
      <c r="A1476" t="s">
        <v>2820</v>
      </c>
      <c r="B1476" t="s">
        <v>338</v>
      </c>
      <c r="C1476" t="s">
        <v>2000</v>
      </c>
      <c r="D1476" s="7" t="s">
        <v>63</v>
      </c>
      <c r="E1476" t="s">
        <v>59</v>
      </c>
      <c r="F1476" t="s">
        <v>26</v>
      </c>
      <c r="G1476" t="s">
        <v>84</v>
      </c>
      <c r="H1476">
        <v>3</v>
      </c>
      <c r="I1476">
        <v>86.87</v>
      </c>
      <c r="J1476">
        <v>0.15</v>
      </c>
      <c r="K1476">
        <v>221.52</v>
      </c>
      <c r="L1476">
        <v>40.18</v>
      </c>
      <c r="M1476" t="s">
        <v>20</v>
      </c>
    </row>
    <row r="1477" spans="1:13" x14ac:dyDescent="0.3">
      <c r="A1477" t="s">
        <v>2821</v>
      </c>
      <c r="B1477" t="s">
        <v>324</v>
      </c>
      <c r="C1477" t="s">
        <v>1807</v>
      </c>
      <c r="D1477" s="7" t="s">
        <v>1603</v>
      </c>
      <c r="E1477" t="s">
        <v>32</v>
      </c>
      <c r="F1477" t="s">
        <v>33</v>
      </c>
      <c r="G1477" t="s">
        <v>74</v>
      </c>
      <c r="H1477">
        <v>1</v>
      </c>
      <c r="I1477">
        <v>119.73</v>
      </c>
      <c r="J1477">
        <v>0</v>
      </c>
      <c r="K1477">
        <v>119.73</v>
      </c>
      <c r="L1477">
        <v>10.29</v>
      </c>
      <c r="M1477" t="s">
        <v>20</v>
      </c>
    </row>
    <row r="1478" spans="1:13" x14ac:dyDescent="0.3">
      <c r="A1478" t="s">
        <v>2822</v>
      </c>
      <c r="B1478" t="s">
        <v>810</v>
      </c>
      <c r="C1478" t="s">
        <v>725</v>
      </c>
      <c r="D1478" s="7" t="s">
        <v>2823</v>
      </c>
      <c r="E1478" t="s">
        <v>17</v>
      </c>
      <c r="F1478" t="s">
        <v>18</v>
      </c>
      <c r="G1478" t="s">
        <v>19</v>
      </c>
      <c r="H1478">
        <v>2</v>
      </c>
      <c r="I1478">
        <v>86.75</v>
      </c>
      <c r="J1478">
        <v>0.15</v>
      </c>
      <c r="K1478">
        <v>147.47</v>
      </c>
      <c r="L1478">
        <v>23.09</v>
      </c>
      <c r="M1478" t="s">
        <v>20</v>
      </c>
    </row>
    <row r="1479" spans="1:13" x14ac:dyDescent="0.3">
      <c r="A1479" t="s">
        <v>2824</v>
      </c>
      <c r="B1479" t="s">
        <v>2077</v>
      </c>
      <c r="C1479" t="s">
        <v>734</v>
      </c>
      <c r="D1479" s="7" t="s">
        <v>1130</v>
      </c>
      <c r="E1479" t="s">
        <v>59</v>
      </c>
      <c r="F1479" t="s">
        <v>18</v>
      </c>
      <c r="G1479" t="s">
        <v>79</v>
      </c>
      <c r="H1479">
        <v>2</v>
      </c>
      <c r="I1479">
        <v>92.15</v>
      </c>
      <c r="J1479">
        <v>0.15</v>
      </c>
      <c r="K1479">
        <v>156.66</v>
      </c>
      <c r="L1479">
        <v>33.29</v>
      </c>
      <c r="M1479" t="s">
        <v>35</v>
      </c>
    </row>
    <row r="1480" spans="1:13" x14ac:dyDescent="0.3">
      <c r="A1480" t="s">
        <v>2825</v>
      </c>
      <c r="B1480" t="s">
        <v>359</v>
      </c>
      <c r="C1480" t="s">
        <v>2416</v>
      </c>
      <c r="D1480" s="7" t="s">
        <v>965</v>
      </c>
      <c r="E1480" t="s">
        <v>32</v>
      </c>
      <c r="F1480" t="s">
        <v>18</v>
      </c>
      <c r="G1480" t="s">
        <v>79</v>
      </c>
      <c r="H1480">
        <v>1</v>
      </c>
      <c r="I1480">
        <v>190.91</v>
      </c>
      <c r="J1480">
        <v>0.05</v>
      </c>
      <c r="K1480">
        <v>181.36</v>
      </c>
      <c r="L1480">
        <v>47.16</v>
      </c>
      <c r="M1480" t="s">
        <v>40</v>
      </c>
    </row>
    <row r="1481" spans="1:13" x14ac:dyDescent="0.3">
      <c r="A1481" t="s">
        <v>2826</v>
      </c>
      <c r="B1481" t="s">
        <v>56</v>
      </c>
      <c r="C1481" t="s">
        <v>1082</v>
      </c>
      <c r="D1481" s="7" t="s">
        <v>1362</v>
      </c>
      <c r="E1481" t="s">
        <v>17</v>
      </c>
      <c r="F1481" t="s">
        <v>26</v>
      </c>
      <c r="G1481" t="s">
        <v>84</v>
      </c>
      <c r="H1481">
        <v>3</v>
      </c>
      <c r="I1481">
        <v>224.52</v>
      </c>
      <c r="J1481">
        <v>0.15</v>
      </c>
      <c r="K1481">
        <v>572.53</v>
      </c>
      <c r="L1481">
        <v>108.82</v>
      </c>
      <c r="M1481" t="s">
        <v>35</v>
      </c>
    </row>
    <row r="1482" spans="1:13" x14ac:dyDescent="0.3">
      <c r="A1482" t="s">
        <v>2827</v>
      </c>
      <c r="B1482" t="s">
        <v>66</v>
      </c>
      <c r="C1482" t="s">
        <v>1833</v>
      </c>
      <c r="D1482" s="7" t="s">
        <v>373</v>
      </c>
      <c r="E1482" t="s">
        <v>64</v>
      </c>
      <c r="F1482" t="s">
        <v>18</v>
      </c>
      <c r="G1482" t="s">
        <v>79</v>
      </c>
      <c r="H1482">
        <v>3</v>
      </c>
      <c r="I1482">
        <v>71.319999999999993</v>
      </c>
      <c r="J1482">
        <v>0.15</v>
      </c>
      <c r="K1482">
        <v>181.87</v>
      </c>
      <c r="L1482">
        <v>16.399999999999999</v>
      </c>
      <c r="M1482" t="s">
        <v>20</v>
      </c>
    </row>
    <row r="1483" spans="1:13" x14ac:dyDescent="0.3">
      <c r="A1483" t="s">
        <v>2828</v>
      </c>
      <c r="B1483" t="s">
        <v>503</v>
      </c>
      <c r="C1483" t="s">
        <v>691</v>
      </c>
      <c r="D1483" s="7" t="s">
        <v>1550</v>
      </c>
      <c r="E1483" t="s">
        <v>17</v>
      </c>
      <c r="F1483" t="s">
        <v>33</v>
      </c>
      <c r="G1483" t="s">
        <v>50</v>
      </c>
      <c r="H1483">
        <v>8</v>
      </c>
      <c r="I1483">
        <v>236.31</v>
      </c>
      <c r="J1483">
        <v>0</v>
      </c>
      <c r="K1483">
        <v>1890.48</v>
      </c>
      <c r="L1483">
        <v>336.13</v>
      </c>
      <c r="M1483" t="s">
        <v>20</v>
      </c>
    </row>
    <row r="1484" spans="1:13" x14ac:dyDescent="0.3">
      <c r="A1484" t="s">
        <v>2829</v>
      </c>
      <c r="B1484" t="s">
        <v>210</v>
      </c>
      <c r="C1484" t="s">
        <v>424</v>
      </c>
      <c r="D1484" s="7" t="s">
        <v>880</v>
      </c>
      <c r="E1484" t="s">
        <v>64</v>
      </c>
      <c r="F1484" t="s">
        <v>26</v>
      </c>
      <c r="G1484" t="s">
        <v>84</v>
      </c>
      <c r="H1484">
        <v>7</v>
      </c>
      <c r="I1484">
        <v>133.41</v>
      </c>
      <c r="J1484">
        <v>0.15</v>
      </c>
      <c r="K1484">
        <v>793.79</v>
      </c>
      <c r="L1484">
        <v>170.63</v>
      </c>
      <c r="M1484" t="s">
        <v>35</v>
      </c>
    </row>
    <row r="1485" spans="1:13" x14ac:dyDescent="0.3">
      <c r="A1485" t="s">
        <v>2830</v>
      </c>
      <c r="B1485" t="s">
        <v>915</v>
      </c>
      <c r="C1485" t="s">
        <v>224</v>
      </c>
      <c r="D1485" s="7" t="s">
        <v>430</v>
      </c>
      <c r="E1485" t="s">
        <v>64</v>
      </c>
      <c r="F1485" t="s">
        <v>26</v>
      </c>
      <c r="G1485" t="s">
        <v>27</v>
      </c>
      <c r="H1485">
        <v>3</v>
      </c>
      <c r="I1485">
        <v>233.93</v>
      </c>
      <c r="J1485">
        <v>0.05</v>
      </c>
      <c r="K1485">
        <v>666.7</v>
      </c>
      <c r="L1485">
        <v>172.44</v>
      </c>
      <c r="M1485" t="s">
        <v>40</v>
      </c>
    </row>
    <row r="1486" spans="1:13" x14ac:dyDescent="0.3">
      <c r="A1486" t="s">
        <v>2831</v>
      </c>
      <c r="B1486" t="s">
        <v>37</v>
      </c>
      <c r="C1486" t="s">
        <v>2056</v>
      </c>
      <c r="D1486" s="7" t="s">
        <v>1507</v>
      </c>
      <c r="E1486" t="s">
        <v>32</v>
      </c>
      <c r="F1486" t="s">
        <v>89</v>
      </c>
      <c r="G1486" t="s">
        <v>150</v>
      </c>
      <c r="H1486">
        <v>4</v>
      </c>
      <c r="I1486">
        <v>235.48</v>
      </c>
      <c r="J1486">
        <v>0.15</v>
      </c>
      <c r="K1486">
        <v>800.63</v>
      </c>
      <c r="L1486">
        <v>107.81</v>
      </c>
      <c r="M1486" t="s">
        <v>20</v>
      </c>
    </row>
    <row r="1487" spans="1:13" x14ac:dyDescent="0.3">
      <c r="A1487" t="s">
        <v>2832</v>
      </c>
      <c r="B1487" t="s">
        <v>1715</v>
      </c>
      <c r="C1487" t="s">
        <v>865</v>
      </c>
      <c r="D1487" s="7" t="s">
        <v>455</v>
      </c>
      <c r="E1487" t="s">
        <v>32</v>
      </c>
      <c r="F1487" t="s">
        <v>18</v>
      </c>
      <c r="G1487" t="s">
        <v>79</v>
      </c>
      <c r="H1487">
        <v>4</v>
      </c>
      <c r="I1487">
        <v>80.63</v>
      </c>
      <c r="J1487">
        <v>0.05</v>
      </c>
      <c r="K1487">
        <v>306.39</v>
      </c>
      <c r="L1487">
        <v>87.53</v>
      </c>
      <c r="M1487" t="s">
        <v>20</v>
      </c>
    </row>
    <row r="1488" spans="1:13" x14ac:dyDescent="0.3">
      <c r="A1488" t="s">
        <v>2833</v>
      </c>
      <c r="B1488" t="s">
        <v>450</v>
      </c>
      <c r="C1488" t="s">
        <v>604</v>
      </c>
      <c r="D1488" s="7" t="s">
        <v>126</v>
      </c>
      <c r="E1488" t="s">
        <v>32</v>
      </c>
      <c r="F1488" t="s">
        <v>18</v>
      </c>
      <c r="G1488" t="s">
        <v>79</v>
      </c>
      <c r="H1488">
        <v>5</v>
      </c>
      <c r="I1488">
        <v>141.30000000000001</v>
      </c>
      <c r="J1488">
        <v>0.1</v>
      </c>
      <c r="K1488">
        <v>635.85</v>
      </c>
      <c r="L1488">
        <v>78.66</v>
      </c>
      <c r="M1488" t="s">
        <v>35</v>
      </c>
    </row>
    <row r="1489" spans="1:13" x14ac:dyDescent="0.3">
      <c r="A1489" t="s">
        <v>2834</v>
      </c>
      <c r="B1489" t="s">
        <v>1260</v>
      </c>
      <c r="C1489" t="s">
        <v>1247</v>
      </c>
      <c r="D1489" s="7" t="s">
        <v>1291</v>
      </c>
      <c r="E1489" t="s">
        <v>25</v>
      </c>
      <c r="F1489" t="s">
        <v>89</v>
      </c>
      <c r="G1489" t="s">
        <v>131</v>
      </c>
      <c r="H1489">
        <v>3</v>
      </c>
      <c r="I1489">
        <v>157.66</v>
      </c>
      <c r="J1489">
        <v>0.15</v>
      </c>
      <c r="K1489">
        <v>402.03</v>
      </c>
      <c r="L1489">
        <v>41.75</v>
      </c>
      <c r="M1489" t="s">
        <v>20</v>
      </c>
    </row>
    <row r="1490" spans="1:13" x14ac:dyDescent="0.3">
      <c r="A1490" t="s">
        <v>2835</v>
      </c>
      <c r="B1490" t="s">
        <v>1696</v>
      </c>
      <c r="C1490" t="s">
        <v>1121</v>
      </c>
      <c r="D1490" s="7" t="s">
        <v>1899</v>
      </c>
      <c r="E1490" t="s">
        <v>32</v>
      </c>
      <c r="F1490" t="s">
        <v>89</v>
      </c>
      <c r="G1490" t="s">
        <v>90</v>
      </c>
      <c r="H1490">
        <v>4</v>
      </c>
      <c r="I1490">
        <v>218.07</v>
      </c>
      <c r="J1490">
        <v>0.1</v>
      </c>
      <c r="K1490">
        <v>785.05</v>
      </c>
      <c r="L1490">
        <v>98.74</v>
      </c>
      <c r="M1490" t="s">
        <v>35</v>
      </c>
    </row>
    <row r="1491" spans="1:13" x14ac:dyDescent="0.3">
      <c r="A1491" t="s">
        <v>2836</v>
      </c>
      <c r="B1491" t="s">
        <v>1992</v>
      </c>
      <c r="C1491" t="s">
        <v>857</v>
      </c>
      <c r="D1491" s="7" t="s">
        <v>380</v>
      </c>
      <c r="E1491" t="s">
        <v>17</v>
      </c>
      <c r="F1491" t="s">
        <v>33</v>
      </c>
      <c r="G1491" t="s">
        <v>50</v>
      </c>
      <c r="H1491">
        <v>4</v>
      </c>
      <c r="I1491">
        <v>106.3</v>
      </c>
      <c r="J1491">
        <v>0.15</v>
      </c>
      <c r="K1491">
        <v>361.42</v>
      </c>
      <c r="L1491">
        <v>54.5</v>
      </c>
      <c r="M1491" t="s">
        <v>40</v>
      </c>
    </row>
    <row r="1492" spans="1:13" x14ac:dyDescent="0.3">
      <c r="A1492" t="s">
        <v>2837</v>
      </c>
      <c r="B1492" t="s">
        <v>443</v>
      </c>
      <c r="C1492" t="s">
        <v>1618</v>
      </c>
      <c r="D1492" s="7" t="s">
        <v>2260</v>
      </c>
      <c r="E1492" t="s">
        <v>59</v>
      </c>
      <c r="F1492" t="s">
        <v>18</v>
      </c>
      <c r="G1492" t="s">
        <v>45</v>
      </c>
      <c r="H1492">
        <v>4</v>
      </c>
      <c r="I1492">
        <v>169.32</v>
      </c>
      <c r="J1492">
        <v>0</v>
      </c>
      <c r="K1492">
        <v>677.28</v>
      </c>
      <c r="L1492">
        <v>108.98</v>
      </c>
      <c r="M1492" t="s">
        <v>20</v>
      </c>
    </row>
    <row r="1493" spans="1:13" x14ac:dyDescent="0.3">
      <c r="A1493" t="s">
        <v>2838</v>
      </c>
      <c r="B1493" t="s">
        <v>2615</v>
      </c>
      <c r="C1493" t="s">
        <v>1205</v>
      </c>
      <c r="D1493" s="7" t="s">
        <v>284</v>
      </c>
      <c r="E1493" t="s">
        <v>17</v>
      </c>
      <c r="F1493" t="s">
        <v>33</v>
      </c>
      <c r="G1493" t="s">
        <v>74</v>
      </c>
      <c r="H1493">
        <v>8</v>
      </c>
      <c r="I1493">
        <v>124.35</v>
      </c>
      <c r="J1493">
        <v>0.1</v>
      </c>
      <c r="K1493">
        <v>895.32</v>
      </c>
      <c r="L1493">
        <v>79.34</v>
      </c>
      <c r="M1493" t="s">
        <v>35</v>
      </c>
    </row>
    <row r="1494" spans="1:13" x14ac:dyDescent="0.3">
      <c r="A1494" t="s">
        <v>2839</v>
      </c>
      <c r="B1494" t="s">
        <v>643</v>
      </c>
      <c r="C1494" t="s">
        <v>226</v>
      </c>
      <c r="D1494" s="7" t="s">
        <v>1859</v>
      </c>
      <c r="E1494" t="s">
        <v>25</v>
      </c>
      <c r="F1494" t="s">
        <v>33</v>
      </c>
      <c r="G1494" t="s">
        <v>34</v>
      </c>
      <c r="H1494">
        <v>4</v>
      </c>
      <c r="I1494">
        <v>172.04</v>
      </c>
      <c r="J1494">
        <v>0.1</v>
      </c>
      <c r="K1494">
        <v>619.34</v>
      </c>
      <c r="L1494">
        <v>65.19</v>
      </c>
      <c r="M1494" t="s">
        <v>40</v>
      </c>
    </row>
    <row r="1495" spans="1:13" x14ac:dyDescent="0.3">
      <c r="A1495" t="s">
        <v>2840</v>
      </c>
      <c r="B1495" t="s">
        <v>1081</v>
      </c>
      <c r="C1495" t="s">
        <v>283</v>
      </c>
      <c r="D1495" s="7" t="s">
        <v>1592</v>
      </c>
      <c r="E1495" t="s">
        <v>64</v>
      </c>
      <c r="F1495" t="s">
        <v>33</v>
      </c>
      <c r="G1495" t="s">
        <v>50</v>
      </c>
      <c r="H1495">
        <v>7</v>
      </c>
      <c r="I1495">
        <v>186.75</v>
      </c>
      <c r="J1495">
        <v>0.05</v>
      </c>
      <c r="K1495">
        <v>1241.8900000000001</v>
      </c>
      <c r="L1495">
        <v>316.66000000000003</v>
      </c>
      <c r="M1495" t="s">
        <v>40</v>
      </c>
    </row>
    <row r="1496" spans="1:13" x14ac:dyDescent="0.3">
      <c r="A1496" t="s">
        <v>2841</v>
      </c>
      <c r="B1496" t="s">
        <v>56</v>
      </c>
      <c r="C1496" t="s">
        <v>2842</v>
      </c>
      <c r="D1496" s="7" t="s">
        <v>2196</v>
      </c>
      <c r="E1496" t="s">
        <v>64</v>
      </c>
      <c r="F1496" t="s">
        <v>33</v>
      </c>
      <c r="G1496" t="s">
        <v>34</v>
      </c>
      <c r="H1496">
        <v>7</v>
      </c>
      <c r="I1496">
        <v>96.48</v>
      </c>
      <c r="J1496">
        <v>0.15</v>
      </c>
      <c r="K1496">
        <v>574.05999999999995</v>
      </c>
      <c r="L1496">
        <v>113.4</v>
      </c>
      <c r="M1496" t="s">
        <v>35</v>
      </c>
    </row>
    <row r="1497" spans="1:13" x14ac:dyDescent="0.3">
      <c r="A1497" t="s">
        <v>2843</v>
      </c>
      <c r="B1497" t="s">
        <v>2588</v>
      </c>
      <c r="C1497" t="s">
        <v>1957</v>
      </c>
      <c r="D1497" s="7" t="s">
        <v>521</v>
      </c>
      <c r="E1497" t="s">
        <v>59</v>
      </c>
      <c r="F1497" t="s">
        <v>33</v>
      </c>
      <c r="G1497" t="s">
        <v>74</v>
      </c>
      <c r="H1497">
        <v>1</v>
      </c>
      <c r="I1497">
        <v>53.24</v>
      </c>
      <c r="J1497">
        <v>0</v>
      </c>
      <c r="K1497">
        <v>53.24</v>
      </c>
      <c r="L1497">
        <v>12.75</v>
      </c>
      <c r="M1497" t="s">
        <v>40</v>
      </c>
    </row>
    <row r="1498" spans="1:13" x14ac:dyDescent="0.3">
      <c r="A1498" t="s">
        <v>2844</v>
      </c>
      <c r="B1498" t="s">
        <v>42</v>
      </c>
      <c r="C1498" t="s">
        <v>62</v>
      </c>
      <c r="D1498" s="7" t="s">
        <v>699</v>
      </c>
      <c r="E1498" t="s">
        <v>32</v>
      </c>
      <c r="F1498" t="s">
        <v>89</v>
      </c>
      <c r="G1498" t="s">
        <v>131</v>
      </c>
      <c r="H1498">
        <v>3</v>
      </c>
      <c r="I1498">
        <v>101.4</v>
      </c>
      <c r="J1498">
        <v>0.15</v>
      </c>
      <c r="K1498">
        <v>258.57</v>
      </c>
      <c r="L1498">
        <v>49.67</v>
      </c>
      <c r="M1498" t="s">
        <v>35</v>
      </c>
    </row>
    <row r="1499" spans="1:13" x14ac:dyDescent="0.3">
      <c r="A1499" t="s">
        <v>2845</v>
      </c>
      <c r="B1499" t="s">
        <v>1187</v>
      </c>
      <c r="C1499" t="s">
        <v>1188</v>
      </c>
      <c r="D1499" s="7" t="s">
        <v>891</v>
      </c>
      <c r="E1499" t="s">
        <v>64</v>
      </c>
      <c r="F1499" t="s">
        <v>26</v>
      </c>
      <c r="G1499" t="s">
        <v>84</v>
      </c>
      <c r="H1499">
        <v>2</v>
      </c>
      <c r="I1499">
        <v>199.22</v>
      </c>
      <c r="J1499">
        <v>0.1</v>
      </c>
      <c r="K1499">
        <v>358.6</v>
      </c>
      <c r="L1499">
        <v>54.08</v>
      </c>
      <c r="M1499" t="s">
        <v>35</v>
      </c>
    </row>
    <row r="1500" spans="1:13" x14ac:dyDescent="0.3">
      <c r="A1500" t="s">
        <v>2846</v>
      </c>
      <c r="B1500" t="s">
        <v>235</v>
      </c>
      <c r="C1500" t="s">
        <v>1293</v>
      </c>
      <c r="D1500" s="7" t="s">
        <v>1038</v>
      </c>
      <c r="E1500" t="s">
        <v>59</v>
      </c>
      <c r="F1500" t="s">
        <v>18</v>
      </c>
      <c r="G1500" t="s">
        <v>79</v>
      </c>
      <c r="H1500">
        <v>1</v>
      </c>
      <c r="I1500">
        <v>216.88</v>
      </c>
      <c r="J1500">
        <v>0.1</v>
      </c>
      <c r="K1500">
        <v>195.19</v>
      </c>
      <c r="L1500">
        <v>18.03</v>
      </c>
      <c r="M1500" t="s">
        <v>35</v>
      </c>
    </row>
    <row r="1501" spans="1:13" x14ac:dyDescent="0.3">
      <c r="A1501" t="s">
        <v>2847</v>
      </c>
      <c r="B1501" t="s">
        <v>940</v>
      </c>
      <c r="C1501" t="s">
        <v>1539</v>
      </c>
      <c r="D1501" s="7" t="s">
        <v>750</v>
      </c>
      <c r="E1501" t="s">
        <v>25</v>
      </c>
      <c r="F1501" t="s">
        <v>18</v>
      </c>
      <c r="G1501" t="s">
        <v>19</v>
      </c>
      <c r="H1501">
        <v>8</v>
      </c>
      <c r="I1501">
        <v>90.66</v>
      </c>
      <c r="J1501">
        <v>0</v>
      </c>
      <c r="K1501">
        <v>725.28</v>
      </c>
      <c r="L1501">
        <v>115.01</v>
      </c>
      <c r="M1501" t="s">
        <v>20</v>
      </c>
    </row>
    <row r="1502" spans="1:13" x14ac:dyDescent="0.3">
      <c r="A1502" t="s">
        <v>2848</v>
      </c>
      <c r="B1502" t="s">
        <v>1252</v>
      </c>
      <c r="C1502" t="s">
        <v>221</v>
      </c>
      <c r="D1502" s="7" t="s">
        <v>1902</v>
      </c>
      <c r="E1502" t="s">
        <v>25</v>
      </c>
      <c r="F1502" t="s">
        <v>33</v>
      </c>
      <c r="G1502" t="s">
        <v>74</v>
      </c>
      <c r="H1502">
        <v>2</v>
      </c>
      <c r="I1502">
        <v>13.61</v>
      </c>
      <c r="J1502">
        <v>0.05</v>
      </c>
      <c r="K1502">
        <v>25.86</v>
      </c>
      <c r="L1502">
        <v>3.97</v>
      </c>
      <c r="M1502" t="s">
        <v>20</v>
      </c>
    </row>
    <row r="1503" spans="1:13" x14ac:dyDescent="0.3">
      <c r="A1503" t="s">
        <v>2849</v>
      </c>
      <c r="B1503" t="s">
        <v>335</v>
      </c>
      <c r="C1503" t="s">
        <v>204</v>
      </c>
      <c r="D1503" s="7" t="s">
        <v>1510</v>
      </c>
      <c r="E1503" t="s">
        <v>59</v>
      </c>
      <c r="F1503" t="s">
        <v>26</v>
      </c>
      <c r="G1503" t="s">
        <v>84</v>
      </c>
      <c r="H1503">
        <v>7</v>
      </c>
      <c r="I1503">
        <v>111.14</v>
      </c>
      <c r="J1503">
        <v>0</v>
      </c>
      <c r="K1503">
        <v>777.98</v>
      </c>
      <c r="L1503">
        <v>186.49</v>
      </c>
      <c r="M1503" t="s">
        <v>40</v>
      </c>
    </row>
    <row r="1504" spans="1:13" x14ac:dyDescent="0.3">
      <c r="A1504" t="s">
        <v>2850</v>
      </c>
      <c r="B1504" t="s">
        <v>686</v>
      </c>
      <c r="C1504" t="s">
        <v>1176</v>
      </c>
      <c r="D1504" s="7" t="s">
        <v>2600</v>
      </c>
      <c r="E1504" t="s">
        <v>64</v>
      </c>
      <c r="F1504" t="s">
        <v>33</v>
      </c>
      <c r="G1504" t="s">
        <v>74</v>
      </c>
      <c r="H1504">
        <v>5</v>
      </c>
      <c r="I1504">
        <v>105.89</v>
      </c>
      <c r="J1504">
        <v>0.15</v>
      </c>
      <c r="K1504">
        <v>450.03</v>
      </c>
      <c r="L1504">
        <v>42.65</v>
      </c>
      <c r="M1504" t="s">
        <v>40</v>
      </c>
    </row>
    <row r="1505" spans="1:13" x14ac:dyDescent="0.3">
      <c r="A1505" t="s">
        <v>2851</v>
      </c>
      <c r="B1505" t="s">
        <v>345</v>
      </c>
      <c r="C1505" t="s">
        <v>713</v>
      </c>
      <c r="D1505" s="7" t="s">
        <v>1923</v>
      </c>
      <c r="E1505" t="s">
        <v>59</v>
      </c>
      <c r="F1505" t="s">
        <v>33</v>
      </c>
      <c r="G1505" t="s">
        <v>50</v>
      </c>
      <c r="H1505">
        <v>1</v>
      </c>
      <c r="I1505">
        <v>162.52000000000001</v>
      </c>
      <c r="J1505">
        <v>0.1</v>
      </c>
      <c r="K1505">
        <v>146.27000000000001</v>
      </c>
      <c r="L1505">
        <v>17.579999999999998</v>
      </c>
      <c r="M1505" t="s">
        <v>40</v>
      </c>
    </row>
    <row r="1506" spans="1:13" x14ac:dyDescent="0.3">
      <c r="A1506" t="s">
        <v>2852</v>
      </c>
      <c r="B1506" t="s">
        <v>180</v>
      </c>
      <c r="C1506" t="s">
        <v>978</v>
      </c>
      <c r="D1506" s="7" t="s">
        <v>1084</v>
      </c>
      <c r="E1506" t="s">
        <v>64</v>
      </c>
      <c r="F1506" t="s">
        <v>18</v>
      </c>
      <c r="G1506" t="s">
        <v>45</v>
      </c>
      <c r="H1506">
        <v>1</v>
      </c>
      <c r="I1506">
        <v>168.65</v>
      </c>
      <c r="J1506">
        <v>0.05</v>
      </c>
      <c r="K1506">
        <v>160.22</v>
      </c>
      <c r="L1506">
        <v>21.01</v>
      </c>
      <c r="M1506" t="s">
        <v>40</v>
      </c>
    </row>
    <row r="1507" spans="1:13" x14ac:dyDescent="0.3">
      <c r="A1507" t="s">
        <v>2853</v>
      </c>
      <c r="B1507" t="s">
        <v>788</v>
      </c>
      <c r="C1507" t="s">
        <v>2618</v>
      </c>
      <c r="D1507" s="7" t="s">
        <v>2491</v>
      </c>
      <c r="E1507" t="s">
        <v>64</v>
      </c>
      <c r="F1507" t="s">
        <v>26</v>
      </c>
      <c r="G1507" t="s">
        <v>84</v>
      </c>
      <c r="H1507">
        <v>7</v>
      </c>
      <c r="I1507">
        <v>41.42</v>
      </c>
      <c r="J1507">
        <v>0.05</v>
      </c>
      <c r="K1507">
        <v>275.44</v>
      </c>
      <c r="L1507">
        <v>77.88</v>
      </c>
      <c r="M1507" t="s">
        <v>40</v>
      </c>
    </row>
    <row r="1508" spans="1:13" x14ac:dyDescent="0.3">
      <c r="A1508" t="s">
        <v>2854</v>
      </c>
      <c r="B1508" t="s">
        <v>1997</v>
      </c>
      <c r="C1508" t="s">
        <v>125</v>
      </c>
      <c r="D1508" s="7" t="s">
        <v>2060</v>
      </c>
      <c r="E1508" t="s">
        <v>25</v>
      </c>
      <c r="F1508" t="s">
        <v>89</v>
      </c>
      <c r="G1508" t="s">
        <v>131</v>
      </c>
      <c r="H1508">
        <v>1</v>
      </c>
      <c r="I1508">
        <v>100.46</v>
      </c>
      <c r="J1508">
        <v>0.05</v>
      </c>
      <c r="K1508">
        <v>95.44</v>
      </c>
      <c r="L1508">
        <v>15.59</v>
      </c>
      <c r="M1508" t="s">
        <v>40</v>
      </c>
    </row>
    <row r="1509" spans="1:13" x14ac:dyDescent="0.3">
      <c r="A1509" t="s">
        <v>2855</v>
      </c>
      <c r="B1509" t="s">
        <v>1101</v>
      </c>
      <c r="C1509" t="s">
        <v>1044</v>
      </c>
      <c r="D1509" s="7" t="s">
        <v>165</v>
      </c>
      <c r="E1509" t="s">
        <v>17</v>
      </c>
      <c r="F1509" t="s">
        <v>33</v>
      </c>
      <c r="G1509" t="s">
        <v>74</v>
      </c>
      <c r="H1509">
        <v>3</v>
      </c>
      <c r="I1509">
        <v>225.29</v>
      </c>
      <c r="J1509">
        <v>0</v>
      </c>
      <c r="K1509">
        <v>675.87</v>
      </c>
      <c r="L1509">
        <v>57.64</v>
      </c>
      <c r="M1509" t="s">
        <v>20</v>
      </c>
    </row>
    <row r="1510" spans="1:13" x14ac:dyDescent="0.3">
      <c r="A1510" t="s">
        <v>2856</v>
      </c>
      <c r="B1510" t="s">
        <v>195</v>
      </c>
      <c r="C1510" t="s">
        <v>1176</v>
      </c>
      <c r="D1510" s="7" t="s">
        <v>962</v>
      </c>
      <c r="E1510" t="s">
        <v>64</v>
      </c>
      <c r="F1510" t="s">
        <v>18</v>
      </c>
      <c r="G1510" t="s">
        <v>19</v>
      </c>
      <c r="H1510">
        <v>2</v>
      </c>
      <c r="I1510">
        <v>199.12</v>
      </c>
      <c r="J1510">
        <v>0.15</v>
      </c>
      <c r="K1510">
        <v>338.5</v>
      </c>
      <c r="L1510">
        <v>82.89</v>
      </c>
      <c r="M1510" t="s">
        <v>35</v>
      </c>
    </row>
    <row r="1511" spans="1:13" x14ac:dyDescent="0.3">
      <c r="A1511" t="s">
        <v>2857</v>
      </c>
      <c r="B1511" t="s">
        <v>715</v>
      </c>
      <c r="C1511" t="s">
        <v>375</v>
      </c>
      <c r="D1511" s="7" t="s">
        <v>962</v>
      </c>
      <c r="E1511" t="s">
        <v>59</v>
      </c>
      <c r="F1511" t="s">
        <v>18</v>
      </c>
      <c r="G1511" t="s">
        <v>79</v>
      </c>
      <c r="H1511">
        <v>5</v>
      </c>
      <c r="I1511">
        <v>76.900000000000006</v>
      </c>
      <c r="J1511">
        <v>0.05</v>
      </c>
      <c r="K1511">
        <v>365.27</v>
      </c>
      <c r="L1511">
        <v>59.37</v>
      </c>
      <c r="M1511" t="s">
        <v>40</v>
      </c>
    </row>
    <row r="1512" spans="1:13" x14ac:dyDescent="0.3">
      <c r="A1512" t="s">
        <v>2858</v>
      </c>
      <c r="B1512" t="s">
        <v>1089</v>
      </c>
      <c r="C1512" t="s">
        <v>802</v>
      </c>
      <c r="D1512" s="7" t="s">
        <v>1431</v>
      </c>
      <c r="E1512" t="s">
        <v>32</v>
      </c>
      <c r="F1512" t="s">
        <v>26</v>
      </c>
      <c r="G1512" t="s">
        <v>27</v>
      </c>
      <c r="H1512">
        <v>4</v>
      </c>
      <c r="I1512">
        <v>167.36</v>
      </c>
      <c r="J1512">
        <v>0</v>
      </c>
      <c r="K1512">
        <v>669.44</v>
      </c>
      <c r="L1512">
        <v>196.69</v>
      </c>
      <c r="M1512" t="s">
        <v>20</v>
      </c>
    </row>
    <row r="1513" spans="1:13" x14ac:dyDescent="0.3">
      <c r="A1513" t="s">
        <v>2859</v>
      </c>
      <c r="B1513" t="s">
        <v>1252</v>
      </c>
      <c r="C1513" t="s">
        <v>2241</v>
      </c>
      <c r="D1513" s="7" t="s">
        <v>1084</v>
      </c>
      <c r="E1513" t="s">
        <v>64</v>
      </c>
      <c r="F1513" t="s">
        <v>26</v>
      </c>
      <c r="G1513" t="s">
        <v>118</v>
      </c>
      <c r="H1513">
        <v>2</v>
      </c>
      <c r="I1513">
        <v>89.63</v>
      </c>
      <c r="J1513">
        <v>0</v>
      </c>
      <c r="K1513">
        <v>179.26</v>
      </c>
      <c r="L1513">
        <v>24.05</v>
      </c>
      <c r="M1513" t="s">
        <v>35</v>
      </c>
    </row>
    <row r="1514" spans="1:13" x14ac:dyDescent="0.3">
      <c r="A1514" t="s">
        <v>2860</v>
      </c>
      <c r="B1514" t="s">
        <v>1055</v>
      </c>
      <c r="C1514" t="s">
        <v>647</v>
      </c>
      <c r="D1514" s="7" t="s">
        <v>106</v>
      </c>
      <c r="E1514" t="s">
        <v>32</v>
      </c>
      <c r="F1514" t="s">
        <v>89</v>
      </c>
      <c r="G1514" t="s">
        <v>131</v>
      </c>
      <c r="H1514">
        <v>4</v>
      </c>
      <c r="I1514">
        <v>50.38</v>
      </c>
      <c r="J1514">
        <v>0.05</v>
      </c>
      <c r="K1514">
        <v>191.44</v>
      </c>
      <c r="L1514">
        <v>54.85</v>
      </c>
      <c r="M1514" t="s">
        <v>20</v>
      </c>
    </row>
    <row r="1515" spans="1:13" x14ac:dyDescent="0.3">
      <c r="A1515" t="s">
        <v>2861</v>
      </c>
      <c r="B1515" t="s">
        <v>1350</v>
      </c>
      <c r="C1515" t="s">
        <v>1030</v>
      </c>
      <c r="D1515" s="7" t="s">
        <v>1859</v>
      </c>
      <c r="E1515" t="s">
        <v>25</v>
      </c>
      <c r="F1515" t="s">
        <v>18</v>
      </c>
      <c r="G1515" t="s">
        <v>79</v>
      </c>
      <c r="H1515">
        <v>2</v>
      </c>
      <c r="I1515">
        <v>215.5</v>
      </c>
      <c r="J1515">
        <v>0.05</v>
      </c>
      <c r="K1515">
        <v>409.45</v>
      </c>
      <c r="L1515">
        <v>94.23</v>
      </c>
      <c r="M1515" t="s">
        <v>20</v>
      </c>
    </row>
    <row r="1516" spans="1:13" x14ac:dyDescent="0.3">
      <c r="A1516" t="s">
        <v>2862</v>
      </c>
      <c r="B1516" t="s">
        <v>423</v>
      </c>
      <c r="C1516" t="s">
        <v>1567</v>
      </c>
      <c r="D1516" s="7" t="s">
        <v>1426</v>
      </c>
      <c r="E1516" t="s">
        <v>64</v>
      </c>
      <c r="F1516" t="s">
        <v>18</v>
      </c>
      <c r="G1516" t="s">
        <v>45</v>
      </c>
      <c r="H1516">
        <v>7</v>
      </c>
      <c r="I1516">
        <v>144.1</v>
      </c>
      <c r="J1516">
        <v>0.1</v>
      </c>
      <c r="K1516">
        <v>907.83</v>
      </c>
      <c r="L1516">
        <v>234.99</v>
      </c>
      <c r="M1516" t="s">
        <v>40</v>
      </c>
    </row>
    <row r="1517" spans="1:13" x14ac:dyDescent="0.3">
      <c r="A1517" t="s">
        <v>2863</v>
      </c>
      <c r="B1517" t="s">
        <v>345</v>
      </c>
      <c r="C1517" t="s">
        <v>633</v>
      </c>
      <c r="D1517" s="7" t="s">
        <v>1392</v>
      </c>
      <c r="E1517" t="s">
        <v>59</v>
      </c>
      <c r="F1517" t="s">
        <v>33</v>
      </c>
      <c r="G1517" t="s">
        <v>34</v>
      </c>
      <c r="H1517">
        <v>3</v>
      </c>
      <c r="I1517">
        <v>117.33</v>
      </c>
      <c r="J1517">
        <v>0</v>
      </c>
      <c r="K1517">
        <v>351.99</v>
      </c>
      <c r="L1517">
        <v>74.97</v>
      </c>
      <c r="M1517" t="s">
        <v>20</v>
      </c>
    </row>
    <row r="1518" spans="1:13" x14ac:dyDescent="0.3">
      <c r="A1518" t="s">
        <v>2864</v>
      </c>
      <c r="B1518" t="s">
        <v>1108</v>
      </c>
      <c r="C1518" t="s">
        <v>1314</v>
      </c>
      <c r="D1518" s="7" t="s">
        <v>390</v>
      </c>
      <c r="E1518" t="s">
        <v>64</v>
      </c>
      <c r="F1518" t="s">
        <v>18</v>
      </c>
      <c r="G1518" t="s">
        <v>45</v>
      </c>
      <c r="H1518">
        <v>3</v>
      </c>
      <c r="I1518">
        <v>136.15</v>
      </c>
      <c r="J1518">
        <v>0.15</v>
      </c>
      <c r="K1518">
        <v>347.18</v>
      </c>
      <c r="L1518">
        <v>87.31</v>
      </c>
      <c r="M1518" t="s">
        <v>35</v>
      </c>
    </row>
    <row r="1519" spans="1:13" x14ac:dyDescent="0.3">
      <c r="A1519" t="s">
        <v>2865</v>
      </c>
      <c r="B1519" t="s">
        <v>1536</v>
      </c>
      <c r="C1519" t="s">
        <v>802</v>
      </c>
      <c r="D1519" s="7" t="s">
        <v>102</v>
      </c>
      <c r="E1519" t="s">
        <v>25</v>
      </c>
      <c r="F1519" t="s">
        <v>33</v>
      </c>
      <c r="G1519" t="s">
        <v>34</v>
      </c>
      <c r="H1519">
        <v>5</v>
      </c>
      <c r="I1519">
        <v>52.06</v>
      </c>
      <c r="J1519">
        <v>0.15</v>
      </c>
      <c r="K1519">
        <v>221.25</v>
      </c>
      <c r="L1519">
        <v>48.3</v>
      </c>
      <c r="M1519" t="s">
        <v>20</v>
      </c>
    </row>
    <row r="1520" spans="1:13" x14ac:dyDescent="0.3">
      <c r="A1520" t="s">
        <v>2866</v>
      </c>
      <c r="B1520" t="s">
        <v>1441</v>
      </c>
      <c r="C1520" t="s">
        <v>2498</v>
      </c>
      <c r="D1520" s="7" t="s">
        <v>688</v>
      </c>
      <c r="E1520" t="s">
        <v>25</v>
      </c>
      <c r="F1520" t="s">
        <v>18</v>
      </c>
      <c r="G1520" t="s">
        <v>19</v>
      </c>
      <c r="H1520">
        <v>3</v>
      </c>
      <c r="I1520">
        <v>112.12</v>
      </c>
      <c r="J1520">
        <v>0.1</v>
      </c>
      <c r="K1520">
        <v>302.72000000000003</v>
      </c>
      <c r="L1520">
        <v>85.36</v>
      </c>
      <c r="M1520" t="s">
        <v>20</v>
      </c>
    </row>
    <row r="1521" spans="1:13" x14ac:dyDescent="0.3">
      <c r="A1521" t="s">
        <v>2867</v>
      </c>
      <c r="B1521" t="s">
        <v>439</v>
      </c>
      <c r="C1521" t="s">
        <v>2563</v>
      </c>
      <c r="D1521" s="7" t="s">
        <v>1419</v>
      </c>
      <c r="E1521" t="s">
        <v>59</v>
      </c>
      <c r="F1521" t="s">
        <v>89</v>
      </c>
      <c r="G1521" t="s">
        <v>90</v>
      </c>
      <c r="H1521">
        <v>8</v>
      </c>
      <c r="I1521">
        <v>151.35</v>
      </c>
      <c r="J1521">
        <v>0</v>
      </c>
      <c r="K1521">
        <v>1210.8</v>
      </c>
      <c r="L1521">
        <v>287.88</v>
      </c>
      <c r="M1521" t="s">
        <v>35</v>
      </c>
    </row>
    <row r="1522" spans="1:13" x14ac:dyDescent="0.3">
      <c r="A1522" t="s">
        <v>2868</v>
      </c>
      <c r="B1522" t="s">
        <v>1059</v>
      </c>
      <c r="C1522" t="s">
        <v>559</v>
      </c>
      <c r="D1522" s="7" t="s">
        <v>1240</v>
      </c>
      <c r="E1522" t="s">
        <v>25</v>
      </c>
      <c r="F1522" t="s">
        <v>26</v>
      </c>
      <c r="G1522" t="s">
        <v>118</v>
      </c>
      <c r="H1522">
        <v>2</v>
      </c>
      <c r="I1522">
        <v>219.57</v>
      </c>
      <c r="J1522">
        <v>0.15</v>
      </c>
      <c r="K1522">
        <v>373.27</v>
      </c>
      <c r="L1522">
        <v>56</v>
      </c>
      <c r="M1522" t="s">
        <v>40</v>
      </c>
    </row>
    <row r="1523" spans="1:13" x14ac:dyDescent="0.3">
      <c r="A1523" t="s">
        <v>2869</v>
      </c>
      <c r="B1523" t="s">
        <v>924</v>
      </c>
      <c r="C1523" t="s">
        <v>673</v>
      </c>
      <c r="D1523" s="7" t="s">
        <v>2152</v>
      </c>
      <c r="E1523" t="s">
        <v>64</v>
      </c>
      <c r="F1523" t="s">
        <v>18</v>
      </c>
      <c r="G1523" t="s">
        <v>79</v>
      </c>
      <c r="H1523">
        <v>1</v>
      </c>
      <c r="I1523">
        <v>173.31</v>
      </c>
      <c r="J1523">
        <v>0.1</v>
      </c>
      <c r="K1523">
        <v>155.97999999999999</v>
      </c>
      <c r="L1523">
        <v>20.72</v>
      </c>
      <c r="M1523" t="s">
        <v>35</v>
      </c>
    </row>
    <row r="1524" spans="1:13" x14ac:dyDescent="0.3">
      <c r="A1524" t="s">
        <v>2870</v>
      </c>
      <c r="B1524" t="s">
        <v>1358</v>
      </c>
      <c r="C1524" t="s">
        <v>559</v>
      </c>
      <c r="D1524" s="7" t="s">
        <v>1828</v>
      </c>
      <c r="E1524" t="s">
        <v>64</v>
      </c>
      <c r="F1524" t="s">
        <v>89</v>
      </c>
      <c r="G1524" t="s">
        <v>150</v>
      </c>
      <c r="H1524">
        <v>8</v>
      </c>
      <c r="I1524">
        <v>236.9</v>
      </c>
      <c r="J1524">
        <v>0.1</v>
      </c>
      <c r="K1524">
        <v>1705.68</v>
      </c>
      <c r="L1524">
        <v>441.28</v>
      </c>
      <c r="M1524" t="s">
        <v>35</v>
      </c>
    </row>
    <row r="1525" spans="1:13" x14ac:dyDescent="0.3">
      <c r="A1525" t="s">
        <v>2871</v>
      </c>
      <c r="B1525" t="s">
        <v>143</v>
      </c>
      <c r="C1525" t="s">
        <v>372</v>
      </c>
      <c r="D1525" s="7" t="s">
        <v>63</v>
      </c>
      <c r="E1525" t="s">
        <v>17</v>
      </c>
      <c r="F1525" t="s">
        <v>33</v>
      </c>
      <c r="G1525" t="s">
        <v>34</v>
      </c>
      <c r="H1525">
        <v>8</v>
      </c>
      <c r="I1525">
        <v>168.94</v>
      </c>
      <c r="J1525">
        <v>0.15</v>
      </c>
      <c r="K1525">
        <v>1148.79</v>
      </c>
      <c r="L1525">
        <v>268.08999999999997</v>
      </c>
      <c r="M1525" t="s">
        <v>40</v>
      </c>
    </row>
    <row r="1526" spans="1:13" x14ac:dyDescent="0.3">
      <c r="A1526" t="s">
        <v>2872</v>
      </c>
      <c r="B1526" t="s">
        <v>943</v>
      </c>
      <c r="C1526" t="s">
        <v>1237</v>
      </c>
      <c r="D1526" s="7" t="s">
        <v>1392</v>
      </c>
      <c r="E1526" t="s">
        <v>64</v>
      </c>
      <c r="F1526" t="s">
        <v>89</v>
      </c>
      <c r="G1526" t="s">
        <v>150</v>
      </c>
      <c r="H1526">
        <v>3</v>
      </c>
      <c r="I1526">
        <v>41.16</v>
      </c>
      <c r="J1526">
        <v>0.05</v>
      </c>
      <c r="K1526">
        <v>117.31</v>
      </c>
      <c r="L1526">
        <v>22.47</v>
      </c>
      <c r="M1526" t="s">
        <v>40</v>
      </c>
    </row>
    <row r="1527" spans="1:13" x14ac:dyDescent="0.3">
      <c r="A1527" t="s">
        <v>2873</v>
      </c>
      <c r="B1527" t="s">
        <v>596</v>
      </c>
      <c r="C1527" t="s">
        <v>853</v>
      </c>
      <c r="D1527" s="7" t="s">
        <v>1106</v>
      </c>
      <c r="E1527" t="s">
        <v>32</v>
      </c>
      <c r="F1527" t="s">
        <v>18</v>
      </c>
      <c r="G1527" t="s">
        <v>19</v>
      </c>
      <c r="H1527">
        <v>1</v>
      </c>
      <c r="I1527">
        <v>230</v>
      </c>
      <c r="J1527">
        <v>0.1</v>
      </c>
      <c r="K1527">
        <v>207</v>
      </c>
      <c r="L1527">
        <v>40.68</v>
      </c>
      <c r="M1527" t="s">
        <v>40</v>
      </c>
    </row>
    <row r="1528" spans="1:13" x14ac:dyDescent="0.3">
      <c r="A1528" t="s">
        <v>2874</v>
      </c>
      <c r="B1528" t="s">
        <v>92</v>
      </c>
      <c r="C1528" t="s">
        <v>1780</v>
      </c>
      <c r="D1528" s="7" t="s">
        <v>1809</v>
      </c>
      <c r="E1528" t="s">
        <v>17</v>
      </c>
      <c r="F1528" t="s">
        <v>89</v>
      </c>
      <c r="G1528" t="s">
        <v>150</v>
      </c>
      <c r="H1528">
        <v>7</v>
      </c>
      <c r="I1528">
        <v>24.76</v>
      </c>
      <c r="J1528">
        <v>0</v>
      </c>
      <c r="K1528">
        <v>173.32</v>
      </c>
      <c r="L1528">
        <v>50.2</v>
      </c>
      <c r="M1528" t="s">
        <v>40</v>
      </c>
    </row>
    <row r="1529" spans="1:13" x14ac:dyDescent="0.3">
      <c r="A1529" t="s">
        <v>2875</v>
      </c>
      <c r="B1529" t="s">
        <v>483</v>
      </c>
      <c r="C1529" t="s">
        <v>257</v>
      </c>
      <c r="D1529" s="7" t="s">
        <v>2418</v>
      </c>
      <c r="E1529" t="s">
        <v>17</v>
      </c>
      <c r="F1529" t="s">
        <v>26</v>
      </c>
      <c r="G1529" t="s">
        <v>84</v>
      </c>
      <c r="H1529">
        <v>7</v>
      </c>
      <c r="I1529">
        <v>115.53</v>
      </c>
      <c r="J1529">
        <v>0</v>
      </c>
      <c r="K1529">
        <v>808.71</v>
      </c>
      <c r="L1529">
        <v>202.59</v>
      </c>
      <c r="M1529" t="s">
        <v>35</v>
      </c>
    </row>
    <row r="1530" spans="1:13" x14ac:dyDescent="0.3">
      <c r="A1530" t="s">
        <v>2876</v>
      </c>
      <c r="B1530" t="s">
        <v>554</v>
      </c>
      <c r="C1530" t="s">
        <v>1461</v>
      </c>
      <c r="D1530" s="7" t="s">
        <v>601</v>
      </c>
      <c r="E1530" t="s">
        <v>59</v>
      </c>
      <c r="F1530" t="s">
        <v>26</v>
      </c>
      <c r="G1530" t="s">
        <v>27</v>
      </c>
      <c r="H1530">
        <v>8</v>
      </c>
      <c r="I1530">
        <v>206.72</v>
      </c>
      <c r="J1530">
        <v>0.1</v>
      </c>
      <c r="K1530">
        <v>1488.38</v>
      </c>
      <c r="L1530">
        <v>232.62</v>
      </c>
      <c r="M1530" t="s">
        <v>35</v>
      </c>
    </row>
    <row r="1531" spans="1:13" x14ac:dyDescent="0.3">
      <c r="A1531" t="s">
        <v>2877</v>
      </c>
      <c r="B1531" t="s">
        <v>548</v>
      </c>
      <c r="C1531" t="s">
        <v>62</v>
      </c>
      <c r="D1531" s="7" t="s">
        <v>528</v>
      </c>
      <c r="E1531" t="s">
        <v>59</v>
      </c>
      <c r="F1531" t="s">
        <v>26</v>
      </c>
      <c r="G1531" t="s">
        <v>27</v>
      </c>
      <c r="H1531">
        <v>6</v>
      </c>
      <c r="I1531">
        <v>235.62</v>
      </c>
      <c r="J1531">
        <v>0</v>
      </c>
      <c r="K1531">
        <v>1413.72</v>
      </c>
      <c r="L1531">
        <v>408.11</v>
      </c>
      <c r="M1531" t="s">
        <v>40</v>
      </c>
    </row>
    <row r="1532" spans="1:13" x14ac:dyDescent="0.3">
      <c r="A1532" t="s">
        <v>2878</v>
      </c>
      <c r="B1532" t="s">
        <v>908</v>
      </c>
      <c r="C1532" t="s">
        <v>1888</v>
      </c>
      <c r="D1532" s="7" t="s">
        <v>1463</v>
      </c>
      <c r="E1532" t="s">
        <v>59</v>
      </c>
      <c r="F1532" t="s">
        <v>33</v>
      </c>
      <c r="G1532" t="s">
        <v>50</v>
      </c>
      <c r="H1532">
        <v>5</v>
      </c>
      <c r="I1532">
        <v>90.12</v>
      </c>
      <c r="J1532">
        <v>0.15</v>
      </c>
      <c r="K1532">
        <v>383.01</v>
      </c>
      <c r="L1532">
        <v>98.25</v>
      </c>
      <c r="M1532" t="s">
        <v>35</v>
      </c>
    </row>
    <row r="1533" spans="1:13" x14ac:dyDescent="0.3">
      <c r="A1533" t="s">
        <v>2879</v>
      </c>
      <c r="B1533" t="s">
        <v>239</v>
      </c>
      <c r="C1533" t="s">
        <v>2396</v>
      </c>
      <c r="D1533" s="7" t="s">
        <v>598</v>
      </c>
      <c r="E1533" t="s">
        <v>25</v>
      </c>
      <c r="F1533" t="s">
        <v>26</v>
      </c>
      <c r="G1533" t="s">
        <v>84</v>
      </c>
      <c r="H1533">
        <v>6</v>
      </c>
      <c r="I1533">
        <v>116.07</v>
      </c>
      <c r="J1533">
        <v>0.1</v>
      </c>
      <c r="K1533">
        <v>626.78</v>
      </c>
      <c r="L1533">
        <v>61.11</v>
      </c>
      <c r="M1533" t="s">
        <v>35</v>
      </c>
    </row>
    <row r="1534" spans="1:13" x14ac:dyDescent="0.3">
      <c r="A1534" t="s">
        <v>2880</v>
      </c>
      <c r="B1534" t="s">
        <v>620</v>
      </c>
      <c r="C1534" t="s">
        <v>1990</v>
      </c>
      <c r="D1534" s="7" t="s">
        <v>1038</v>
      </c>
      <c r="E1534" t="s">
        <v>59</v>
      </c>
      <c r="F1534" t="s">
        <v>18</v>
      </c>
      <c r="G1534" t="s">
        <v>79</v>
      </c>
      <c r="H1534">
        <v>4</v>
      </c>
      <c r="I1534">
        <v>52.27</v>
      </c>
      <c r="J1534">
        <v>0.05</v>
      </c>
      <c r="K1534">
        <v>198.63</v>
      </c>
      <c r="L1534">
        <v>51.1</v>
      </c>
      <c r="M1534" t="s">
        <v>35</v>
      </c>
    </row>
    <row r="1535" spans="1:13" x14ac:dyDescent="0.3">
      <c r="A1535" t="s">
        <v>2881</v>
      </c>
      <c r="B1535" t="s">
        <v>260</v>
      </c>
      <c r="C1535" t="s">
        <v>1008</v>
      </c>
      <c r="D1535" s="7" t="s">
        <v>609</v>
      </c>
      <c r="E1535" t="s">
        <v>32</v>
      </c>
      <c r="F1535" t="s">
        <v>89</v>
      </c>
      <c r="G1535" t="s">
        <v>150</v>
      </c>
      <c r="H1535">
        <v>3</v>
      </c>
      <c r="I1535">
        <v>215.01</v>
      </c>
      <c r="J1535">
        <v>0.15</v>
      </c>
      <c r="K1535">
        <v>548.28</v>
      </c>
      <c r="L1535">
        <v>63.07</v>
      </c>
      <c r="M1535" t="s">
        <v>20</v>
      </c>
    </row>
    <row r="1536" spans="1:13" x14ac:dyDescent="0.3">
      <c r="A1536" t="s">
        <v>2882</v>
      </c>
      <c r="B1536" t="s">
        <v>76</v>
      </c>
      <c r="C1536" t="s">
        <v>1487</v>
      </c>
      <c r="D1536" s="7" t="s">
        <v>1603</v>
      </c>
      <c r="E1536" t="s">
        <v>17</v>
      </c>
      <c r="F1536" t="s">
        <v>89</v>
      </c>
      <c r="G1536" t="s">
        <v>150</v>
      </c>
      <c r="H1536">
        <v>4</v>
      </c>
      <c r="I1536">
        <v>175.07</v>
      </c>
      <c r="J1536">
        <v>0.15</v>
      </c>
      <c r="K1536">
        <v>595.24</v>
      </c>
      <c r="L1536">
        <v>72.44</v>
      </c>
      <c r="M1536" t="s">
        <v>40</v>
      </c>
    </row>
    <row r="1537" spans="1:13" x14ac:dyDescent="0.3">
      <c r="A1537" t="s">
        <v>2883</v>
      </c>
      <c r="B1537" t="s">
        <v>1037</v>
      </c>
      <c r="C1537" t="s">
        <v>101</v>
      </c>
      <c r="D1537" s="7" t="s">
        <v>193</v>
      </c>
      <c r="E1537" t="s">
        <v>25</v>
      </c>
      <c r="F1537" t="s">
        <v>18</v>
      </c>
      <c r="G1537" t="s">
        <v>79</v>
      </c>
      <c r="H1537">
        <v>3</v>
      </c>
      <c r="I1537">
        <v>248.54</v>
      </c>
      <c r="J1537">
        <v>0.1</v>
      </c>
      <c r="K1537">
        <v>671.06</v>
      </c>
      <c r="L1537">
        <v>84.93</v>
      </c>
      <c r="M1537" t="s">
        <v>20</v>
      </c>
    </row>
    <row r="1538" spans="1:13" x14ac:dyDescent="0.3">
      <c r="A1538" t="s">
        <v>2884</v>
      </c>
      <c r="B1538" t="s">
        <v>516</v>
      </c>
      <c r="C1538" t="s">
        <v>1974</v>
      </c>
      <c r="D1538" s="7" t="s">
        <v>1655</v>
      </c>
      <c r="E1538" t="s">
        <v>64</v>
      </c>
      <c r="F1538" t="s">
        <v>33</v>
      </c>
      <c r="G1538" t="s">
        <v>34</v>
      </c>
      <c r="H1538">
        <v>6</v>
      </c>
      <c r="I1538">
        <v>74.510000000000005</v>
      </c>
      <c r="J1538">
        <v>0.1</v>
      </c>
      <c r="K1538">
        <v>402.35</v>
      </c>
      <c r="L1538">
        <v>120.19</v>
      </c>
      <c r="M1538" t="s">
        <v>35</v>
      </c>
    </row>
    <row r="1539" spans="1:13" x14ac:dyDescent="0.3">
      <c r="A1539" t="s">
        <v>2885</v>
      </c>
      <c r="B1539" t="s">
        <v>268</v>
      </c>
      <c r="C1539" t="s">
        <v>1379</v>
      </c>
      <c r="D1539" s="7" t="s">
        <v>102</v>
      </c>
      <c r="E1539" t="s">
        <v>64</v>
      </c>
      <c r="F1539" t="s">
        <v>26</v>
      </c>
      <c r="G1539" t="s">
        <v>84</v>
      </c>
      <c r="H1539">
        <v>6</v>
      </c>
      <c r="I1539">
        <v>32.14</v>
      </c>
      <c r="J1539">
        <v>0.15</v>
      </c>
      <c r="K1539">
        <v>163.91</v>
      </c>
      <c r="L1539">
        <v>28.7</v>
      </c>
      <c r="M1539" t="s">
        <v>35</v>
      </c>
    </row>
    <row r="1540" spans="1:13" x14ac:dyDescent="0.3">
      <c r="A1540" t="s">
        <v>2886</v>
      </c>
      <c r="B1540" t="s">
        <v>1773</v>
      </c>
      <c r="C1540" t="s">
        <v>2541</v>
      </c>
      <c r="D1540" s="7" t="s">
        <v>887</v>
      </c>
      <c r="E1540" t="s">
        <v>25</v>
      </c>
      <c r="F1540" t="s">
        <v>26</v>
      </c>
      <c r="G1540" t="s">
        <v>118</v>
      </c>
      <c r="H1540">
        <v>3</v>
      </c>
      <c r="I1540">
        <v>11.41</v>
      </c>
      <c r="J1540">
        <v>0.05</v>
      </c>
      <c r="K1540">
        <v>32.520000000000003</v>
      </c>
      <c r="L1540">
        <v>4.42</v>
      </c>
      <c r="M1540" t="s">
        <v>40</v>
      </c>
    </row>
    <row r="1541" spans="1:13" x14ac:dyDescent="0.3">
      <c r="A1541" t="s">
        <v>2887</v>
      </c>
      <c r="B1541" t="s">
        <v>558</v>
      </c>
      <c r="C1541" t="s">
        <v>1831</v>
      </c>
      <c r="D1541" s="7" t="s">
        <v>919</v>
      </c>
      <c r="E1541" t="s">
        <v>25</v>
      </c>
      <c r="F1541" t="s">
        <v>26</v>
      </c>
      <c r="G1541" t="s">
        <v>118</v>
      </c>
      <c r="H1541">
        <v>8</v>
      </c>
      <c r="I1541">
        <v>102.21</v>
      </c>
      <c r="J1541">
        <v>0.05</v>
      </c>
      <c r="K1541">
        <v>776.8</v>
      </c>
      <c r="L1541">
        <v>159.06</v>
      </c>
      <c r="M1541" t="s">
        <v>35</v>
      </c>
    </row>
    <row r="1542" spans="1:13" x14ac:dyDescent="0.3">
      <c r="A1542" t="s">
        <v>2888</v>
      </c>
      <c r="B1542" t="s">
        <v>242</v>
      </c>
      <c r="C1542" t="s">
        <v>978</v>
      </c>
      <c r="D1542" s="7" t="s">
        <v>2239</v>
      </c>
      <c r="E1542" t="s">
        <v>59</v>
      </c>
      <c r="F1542" t="s">
        <v>33</v>
      </c>
      <c r="G1542" t="s">
        <v>69</v>
      </c>
      <c r="H1542">
        <v>6</v>
      </c>
      <c r="I1542">
        <v>114.44</v>
      </c>
      <c r="J1542">
        <v>0.1</v>
      </c>
      <c r="K1542">
        <v>617.98</v>
      </c>
      <c r="L1542">
        <v>96.95</v>
      </c>
      <c r="M1542" t="s">
        <v>35</v>
      </c>
    </row>
    <row r="1543" spans="1:13" x14ac:dyDescent="0.3">
      <c r="A1543" t="s">
        <v>2889</v>
      </c>
      <c r="B1543" t="s">
        <v>1254</v>
      </c>
      <c r="C1543" t="s">
        <v>2541</v>
      </c>
      <c r="D1543" s="7" t="s">
        <v>1723</v>
      </c>
      <c r="E1543" t="s">
        <v>59</v>
      </c>
      <c r="F1543" t="s">
        <v>26</v>
      </c>
      <c r="G1543" t="s">
        <v>27</v>
      </c>
      <c r="H1543">
        <v>4</v>
      </c>
      <c r="I1543">
        <v>98.81</v>
      </c>
      <c r="J1543">
        <v>0.15</v>
      </c>
      <c r="K1543">
        <v>335.95</v>
      </c>
      <c r="L1543">
        <v>29.11</v>
      </c>
      <c r="M1543" t="s">
        <v>40</v>
      </c>
    </row>
    <row r="1544" spans="1:13" x14ac:dyDescent="0.3">
      <c r="A1544" t="s">
        <v>2890</v>
      </c>
      <c r="B1544" t="s">
        <v>988</v>
      </c>
      <c r="C1544" t="s">
        <v>961</v>
      </c>
      <c r="D1544" s="7" t="s">
        <v>1245</v>
      </c>
      <c r="E1544" t="s">
        <v>32</v>
      </c>
      <c r="F1544" t="s">
        <v>33</v>
      </c>
      <c r="G1544" t="s">
        <v>50</v>
      </c>
      <c r="H1544">
        <v>7</v>
      </c>
      <c r="I1544">
        <v>12.76</v>
      </c>
      <c r="J1544">
        <v>0.15</v>
      </c>
      <c r="K1544">
        <v>75.92</v>
      </c>
      <c r="L1544">
        <v>13.11</v>
      </c>
      <c r="M1544" t="s">
        <v>20</v>
      </c>
    </row>
    <row r="1545" spans="1:13" x14ac:dyDescent="0.3">
      <c r="A1545" t="s">
        <v>2891</v>
      </c>
      <c r="B1545" t="s">
        <v>1720</v>
      </c>
      <c r="C1545" t="s">
        <v>1220</v>
      </c>
      <c r="D1545" s="7" t="s">
        <v>1767</v>
      </c>
      <c r="E1545" t="s">
        <v>59</v>
      </c>
      <c r="F1545" t="s">
        <v>33</v>
      </c>
      <c r="G1545" t="s">
        <v>50</v>
      </c>
      <c r="H1545">
        <v>8</v>
      </c>
      <c r="I1545">
        <v>69.28</v>
      </c>
      <c r="J1545">
        <v>0.05</v>
      </c>
      <c r="K1545">
        <v>526.53</v>
      </c>
      <c r="L1545">
        <v>106.45</v>
      </c>
      <c r="M1545" t="s">
        <v>35</v>
      </c>
    </row>
    <row r="1546" spans="1:13" x14ac:dyDescent="0.3">
      <c r="A1546" t="s">
        <v>2892</v>
      </c>
      <c r="B1546" t="s">
        <v>500</v>
      </c>
      <c r="C1546" t="s">
        <v>831</v>
      </c>
      <c r="D1546" s="7" t="s">
        <v>441</v>
      </c>
      <c r="E1546" t="s">
        <v>32</v>
      </c>
      <c r="F1546" t="s">
        <v>33</v>
      </c>
      <c r="G1546" t="s">
        <v>50</v>
      </c>
      <c r="H1546">
        <v>3</v>
      </c>
      <c r="I1546">
        <v>206.01</v>
      </c>
      <c r="J1546">
        <v>0</v>
      </c>
      <c r="K1546">
        <v>618.03</v>
      </c>
      <c r="L1546">
        <v>139.46</v>
      </c>
      <c r="M1546" t="s">
        <v>20</v>
      </c>
    </row>
    <row r="1547" spans="1:13" x14ac:dyDescent="0.3">
      <c r="A1547" t="s">
        <v>2893</v>
      </c>
      <c r="B1547" t="s">
        <v>2219</v>
      </c>
      <c r="C1547" t="s">
        <v>1894</v>
      </c>
      <c r="D1547" s="7" t="s">
        <v>1001</v>
      </c>
      <c r="E1547" t="s">
        <v>59</v>
      </c>
      <c r="F1547" t="s">
        <v>18</v>
      </c>
      <c r="G1547" t="s">
        <v>79</v>
      </c>
      <c r="H1547">
        <v>6</v>
      </c>
      <c r="I1547">
        <v>135.5</v>
      </c>
      <c r="J1547">
        <v>0.15</v>
      </c>
      <c r="K1547">
        <v>691.05</v>
      </c>
      <c r="L1547">
        <v>65.459999999999994</v>
      </c>
      <c r="M1547" t="s">
        <v>20</v>
      </c>
    </row>
    <row r="1548" spans="1:13" x14ac:dyDescent="0.3">
      <c r="A1548" t="s">
        <v>2894</v>
      </c>
      <c r="B1548" t="s">
        <v>464</v>
      </c>
      <c r="C1548" t="s">
        <v>1066</v>
      </c>
      <c r="D1548" s="7" t="s">
        <v>197</v>
      </c>
      <c r="E1548" t="s">
        <v>25</v>
      </c>
      <c r="F1548" t="s">
        <v>89</v>
      </c>
      <c r="G1548" t="s">
        <v>131</v>
      </c>
      <c r="H1548">
        <v>8</v>
      </c>
      <c r="I1548">
        <v>235.2</v>
      </c>
      <c r="J1548">
        <v>0.1</v>
      </c>
      <c r="K1548">
        <v>1693.44</v>
      </c>
      <c r="L1548">
        <v>496.88</v>
      </c>
      <c r="M1548" t="s">
        <v>35</v>
      </c>
    </row>
    <row r="1549" spans="1:13" x14ac:dyDescent="0.3">
      <c r="A1549" t="s">
        <v>2895</v>
      </c>
      <c r="B1549" t="s">
        <v>2207</v>
      </c>
      <c r="C1549" t="s">
        <v>740</v>
      </c>
      <c r="D1549" s="7" t="s">
        <v>2502</v>
      </c>
      <c r="E1549" t="s">
        <v>25</v>
      </c>
      <c r="F1549" t="s">
        <v>89</v>
      </c>
      <c r="G1549" t="s">
        <v>150</v>
      </c>
      <c r="H1549">
        <v>3</v>
      </c>
      <c r="I1549">
        <v>208.27</v>
      </c>
      <c r="J1549">
        <v>0</v>
      </c>
      <c r="K1549">
        <v>624.80999999999995</v>
      </c>
      <c r="L1549">
        <v>100.07</v>
      </c>
      <c r="M1549" t="s">
        <v>40</v>
      </c>
    </row>
    <row r="1550" spans="1:13" x14ac:dyDescent="0.3">
      <c r="A1550" t="s">
        <v>2896</v>
      </c>
      <c r="B1550" t="s">
        <v>2228</v>
      </c>
      <c r="C1550" t="s">
        <v>890</v>
      </c>
      <c r="D1550" s="7" t="s">
        <v>1520</v>
      </c>
      <c r="E1550" t="s">
        <v>17</v>
      </c>
      <c r="F1550" t="s">
        <v>26</v>
      </c>
      <c r="G1550" t="s">
        <v>84</v>
      </c>
      <c r="H1550">
        <v>2</v>
      </c>
      <c r="I1550">
        <v>234.78</v>
      </c>
      <c r="J1550">
        <v>0.15</v>
      </c>
      <c r="K1550">
        <v>399.13</v>
      </c>
      <c r="L1550">
        <v>45.78</v>
      </c>
      <c r="M1550" t="s">
        <v>20</v>
      </c>
    </row>
    <row r="1551" spans="1:13" x14ac:dyDescent="0.3">
      <c r="A1551" t="s">
        <v>2897</v>
      </c>
      <c r="B1551" t="s">
        <v>242</v>
      </c>
      <c r="C1551" t="s">
        <v>1322</v>
      </c>
      <c r="D1551" s="7" t="s">
        <v>2253</v>
      </c>
      <c r="E1551" t="s">
        <v>64</v>
      </c>
      <c r="F1551" t="s">
        <v>89</v>
      </c>
      <c r="G1551" t="s">
        <v>150</v>
      </c>
      <c r="H1551">
        <v>4</v>
      </c>
      <c r="I1551">
        <v>180.73</v>
      </c>
      <c r="J1551">
        <v>0.15</v>
      </c>
      <c r="K1551">
        <v>614.48</v>
      </c>
      <c r="L1551">
        <v>133.09</v>
      </c>
      <c r="M1551" t="s">
        <v>20</v>
      </c>
    </row>
    <row r="1552" spans="1:13" x14ac:dyDescent="0.3">
      <c r="A1552" t="s">
        <v>2898</v>
      </c>
      <c r="B1552" t="s">
        <v>104</v>
      </c>
      <c r="C1552" t="s">
        <v>1932</v>
      </c>
      <c r="D1552" s="7" t="s">
        <v>2173</v>
      </c>
      <c r="E1552" t="s">
        <v>59</v>
      </c>
      <c r="F1552" t="s">
        <v>89</v>
      </c>
      <c r="G1552" t="s">
        <v>90</v>
      </c>
      <c r="H1552">
        <v>8</v>
      </c>
      <c r="I1552">
        <v>83.38</v>
      </c>
      <c r="J1552">
        <v>0</v>
      </c>
      <c r="K1552">
        <v>667.04</v>
      </c>
      <c r="L1552">
        <v>124.48</v>
      </c>
      <c r="M1552" t="s">
        <v>35</v>
      </c>
    </row>
    <row r="1553" spans="1:13" x14ac:dyDescent="0.3">
      <c r="A1553" t="s">
        <v>2899</v>
      </c>
      <c r="B1553" t="s">
        <v>1684</v>
      </c>
      <c r="C1553" t="s">
        <v>1679</v>
      </c>
      <c r="D1553" s="7" t="s">
        <v>718</v>
      </c>
      <c r="E1553" t="s">
        <v>64</v>
      </c>
      <c r="F1553" t="s">
        <v>18</v>
      </c>
      <c r="G1553" t="s">
        <v>19</v>
      </c>
      <c r="H1553">
        <v>4</v>
      </c>
      <c r="I1553">
        <v>203.39</v>
      </c>
      <c r="J1553">
        <v>0.15</v>
      </c>
      <c r="K1553">
        <v>691.53</v>
      </c>
      <c r="L1553">
        <v>172.41</v>
      </c>
      <c r="M1553" t="s">
        <v>20</v>
      </c>
    </row>
    <row r="1554" spans="1:13" x14ac:dyDescent="0.3">
      <c r="A1554" t="s">
        <v>2900</v>
      </c>
      <c r="B1554" t="s">
        <v>2264</v>
      </c>
      <c r="C1554" t="s">
        <v>2901</v>
      </c>
      <c r="D1554" s="7" t="s">
        <v>910</v>
      </c>
      <c r="E1554" t="s">
        <v>32</v>
      </c>
      <c r="F1554" t="s">
        <v>33</v>
      </c>
      <c r="G1554" t="s">
        <v>74</v>
      </c>
      <c r="H1554">
        <v>3</v>
      </c>
      <c r="I1554">
        <v>34.64</v>
      </c>
      <c r="J1554">
        <v>0.05</v>
      </c>
      <c r="K1554">
        <v>98.72</v>
      </c>
      <c r="L1554">
        <v>20.27</v>
      </c>
      <c r="M1554" t="s">
        <v>40</v>
      </c>
    </row>
    <row r="1555" spans="1:13" x14ac:dyDescent="0.3">
      <c r="A1555" t="s">
        <v>2902</v>
      </c>
      <c r="B1555" t="s">
        <v>1925</v>
      </c>
      <c r="C1555" t="s">
        <v>644</v>
      </c>
      <c r="D1555" s="7" t="s">
        <v>427</v>
      </c>
      <c r="E1555" t="s">
        <v>17</v>
      </c>
      <c r="F1555" t="s">
        <v>18</v>
      </c>
      <c r="G1555" t="s">
        <v>19</v>
      </c>
      <c r="H1555">
        <v>6</v>
      </c>
      <c r="I1555">
        <v>74.5</v>
      </c>
      <c r="J1555">
        <v>0.05</v>
      </c>
      <c r="K1555">
        <v>424.65</v>
      </c>
      <c r="L1555">
        <v>74.540000000000006</v>
      </c>
      <c r="M1555" t="s">
        <v>20</v>
      </c>
    </row>
    <row r="1556" spans="1:13" x14ac:dyDescent="0.3">
      <c r="A1556" t="s">
        <v>2903</v>
      </c>
      <c r="B1556" t="s">
        <v>2904</v>
      </c>
      <c r="C1556" t="s">
        <v>2522</v>
      </c>
      <c r="D1556" s="7" t="s">
        <v>1819</v>
      </c>
      <c r="E1556" t="s">
        <v>59</v>
      </c>
      <c r="F1556" t="s">
        <v>89</v>
      </c>
      <c r="G1556" t="s">
        <v>131</v>
      </c>
      <c r="H1556">
        <v>6</v>
      </c>
      <c r="I1556">
        <v>55.94</v>
      </c>
      <c r="J1556">
        <v>0.05</v>
      </c>
      <c r="K1556">
        <v>318.86</v>
      </c>
      <c r="L1556">
        <v>74.45</v>
      </c>
      <c r="M1556" t="s">
        <v>40</v>
      </c>
    </row>
    <row r="1557" spans="1:13" x14ac:dyDescent="0.3">
      <c r="A1557" t="s">
        <v>2905</v>
      </c>
      <c r="B1557" t="s">
        <v>2264</v>
      </c>
      <c r="C1557" t="s">
        <v>1978</v>
      </c>
      <c r="D1557" s="7" t="s">
        <v>2085</v>
      </c>
      <c r="E1557" t="s">
        <v>64</v>
      </c>
      <c r="F1557" t="s">
        <v>18</v>
      </c>
      <c r="G1557" t="s">
        <v>19</v>
      </c>
      <c r="H1557">
        <v>8</v>
      </c>
      <c r="I1557">
        <v>78.06</v>
      </c>
      <c r="J1557">
        <v>0.15</v>
      </c>
      <c r="K1557">
        <v>530.80999999999995</v>
      </c>
      <c r="L1557">
        <v>155.16999999999999</v>
      </c>
      <c r="M1557" t="s">
        <v>35</v>
      </c>
    </row>
    <row r="1558" spans="1:13" x14ac:dyDescent="0.3">
      <c r="A1558" t="s">
        <v>2906</v>
      </c>
      <c r="B1558" t="s">
        <v>1879</v>
      </c>
      <c r="C1558" t="s">
        <v>1257</v>
      </c>
      <c r="D1558" s="7" t="s">
        <v>452</v>
      </c>
      <c r="E1558" t="s">
        <v>17</v>
      </c>
      <c r="F1558" t="s">
        <v>89</v>
      </c>
      <c r="G1558" t="s">
        <v>150</v>
      </c>
      <c r="H1558">
        <v>8</v>
      </c>
      <c r="I1558">
        <v>87.65</v>
      </c>
      <c r="J1558">
        <v>0.05</v>
      </c>
      <c r="K1558">
        <v>666.14</v>
      </c>
      <c r="L1558">
        <v>161.19999999999999</v>
      </c>
      <c r="M1558" t="s">
        <v>40</v>
      </c>
    </row>
    <row r="1559" spans="1:13" x14ac:dyDescent="0.3">
      <c r="A1559" t="s">
        <v>2907</v>
      </c>
      <c r="B1559" t="s">
        <v>2801</v>
      </c>
      <c r="C1559" t="s">
        <v>1411</v>
      </c>
      <c r="D1559" s="7" t="s">
        <v>528</v>
      </c>
      <c r="E1559" t="s">
        <v>32</v>
      </c>
      <c r="F1559" t="s">
        <v>33</v>
      </c>
      <c r="G1559" t="s">
        <v>50</v>
      </c>
      <c r="H1559">
        <v>2</v>
      </c>
      <c r="I1559">
        <v>43.98</v>
      </c>
      <c r="J1559">
        <v>0.05</v>
      </c>
      <c r="K1559">
        <v>83.56</v>
      </c>
      <c r="L1559">
        <v>17.579999999999998</v>
      </c>
      <c r="M1559" t="s">
        <v>20</v>
      </c>
    </row>
    <row r="1560" spans="1:13" x14ac:dyDescent="0.3">
      <c r="A1560" t="s">
        <v>2908</v>
      </c>
      <c r="B1560" t="s">
        <v>663</v>
      </c>
      <c r="C1560" t="s">
        <v>2120</v>
      </c>
      <c r="D1560" s="7" t="s">
        <v>186</v>
      </c>
      <c r="E1560" t="s">
        <v>32</v>
      </c>
      <c r="F1560" t="s">
        <v>33</v>
      </c>
      <c r="G1560" t="s">
        <v>50</v>
      </c>
      <c r="H1560">
        <v>4</v>
      </c>
      <c r="I1560">
        <v>67.760000000000005</v>
      </c>
      <c r="J1560">
        <v>0.15</v>
      </c>
      <c r="K1560">
        <v>230.38</v>
      </c>
      <c r="L1560">
        <v>47.09</v>
      </c>
      <c r="M1560" t="s">
        <v>35</v>
      </c>
    </row>
    <row r="1561" spans="1:13" x14ac:dyDescent="0.3">
      <c r="A1561" t="s">
        <v>2909</v>
      </c>
      <c r="B1561" t="s">
        <v>943</v>
      </c>
      <c r="C1561" t="s">
        <v>769</v>
      </c>
      <c r="D1561" s="7" t="s">
        <v>1130</v>
      </c>
      <c r="E1561" t="s">
        <v>17</v>
      </c>
      <c r="F1561" t="s">
        <v>26</v>
      </c>
      <c r="G1561" t="s">
        <v>84</v>
      </c>
      <c r="H1561">
        <v>1</v>
      </c>
      <c r="I1561">
        <v>119.2</v>
      </c>
      <c r="J1561">
        <v>0.15</v>
      </c>
      <c r="K1561">
        <v>101.32</v>
      </c>
      <c r="L1561">
        <v>17.170000000000002</v>
      </c>
      <c r="M1561" t="s">
        <v>40</v>
      </c>
    </row>
    <row r="1562" spans="1:13" x14ac:dyDescent="0.3">
      <c r="A1562" t="s">
        <v>2910</v>
      </c>
      <c r="B1562" t="s">
        <v>1634</v>
      </c>
      <c r="C1562" t="s">
        <v>221</v>
      </c>
      <c r="D1562" s="7" t="s">
        <v>1130</v>
      </c>
      <c r="E1562" t="s">
        <v>17</v>
      </c>
      <c r="F1562" t="s">
        <v>26</v>
      </c>
      <c r="G1562" t="s">
        <v>27</v>
      </c>
      <c r="H1562">
        <v>6</v>
      </c>
      <c r="I1562">
        <v>70.510000000000005</v>
      </c>
      <c r="J1562">
        <v>0</v>
      </c>
      <c r="K1562">
        <v>423.06</v>
      </c>
      <c r="L1562">
        <v>110.35</v>
      </c>
      <c r="M1562" t="s">
        <v>40</v>
      </c>
    </row>
    <row r="1563" spans="1:13" x14ac:dyDescent="0.3">
      <c r="A1563" t="s">
        <v>2911</v>
      </c>
      <c r="B1563" t="s">
        <v>260</v>
      </c>
      <c r="C1563" t="s">
        <v>517</v>
      </c>
      <c r="D1563" s="7" t="s">
        <v>1303</v>
      </c>
      <c r="E1563" t="s">
        <v>32</v>
      </c>
      <c r="F1563" t="s">
        <v>33</v>
      </c>
      <c r="G1563" t="s">
        <v>74</v>
      </c>
      <c r="H1563">
        <v>7</v>
      </c>
      <c r="I1563">
        <v>198.35</v>
      </c>
      <c r="J1563">
        <v>0</v>
      </c>
      <c r="K1563">
        <v>1388.45</v>
      </c>
      <c r="L1563">
        <v>115.98</v>
      </c>
      <c r="M1563" t="s">
        <v>20</v>
      </c>
    </row>
    <row r="1564" spans="1:13" x14ac:dyDescent="0.3">
      <c r="A1564" t="s">
        <v>2912</v>
      </c>
      <c r="B1564" t="s">
        <v>1997</v>
      </c>
      <c r="C1564" t="s">
        <v>1737</v>
      </c>
      <c r="D1564" s="7" t="s">
        <v>141</v>
      </c>
      <c r="E1564" t="s">
        <v>32</v>
      </c>
      <c r="F1564" t="s">
        <v>18</v>
      </c>
      <c r="G1564" t="s">
        <v>19</v>
      </c>
      <c r="H1564">
        <v>1</v>
      </c>
      <c r="I1564">
        <v>180.15</v>
      </c>
      <c r="J1564">
        <v>0.05</v>
      </c>
      <c r="K1564">
        <v>171.14</v>
      </c>
      <c r="L1564">
        <v>28.66</v>
      </c>
      <c r="M1564" t="s">
        <v>35</v>
      </c>
    </row>
    <row r="1565" spans="1:13" x14ac:dyDescent="0.3">
      <c r="A1565" t="s">
        <v>2913</v>
      </c>
      <c r="B1565" t="s">
        <v>439</v>
      </c>
      <c r="C1565" t="s">
        <v>1033</v>
      </c>
      <c r="D1565" s="7" t="s">
        <v>1286</v>
      </c>
      <c r="E1565" t="s">
        <v>64</v>
      </c>
      <c r="F1565" t="s">
        <v>18</v>
      </c>
      <c r="G1565" t="s">
        <v>45</v>
      </c>
      <c r="H1565">
        <v>3</v>
      </c>
      <c r="I1565">
        <v>214.23</v>
      </c>
      <c r="J1565">
        <v>0.1</v>
      </c>
      <c r="K1565">
        <v>578.41999999999996</v>
      </c>
      <c r="L1565">
        <v>55.6</v>
      </c>
      <c r="M1565" t="s">
        <v>35</v>
      </c>
    </row>
    <row r="1566" spans="1:13" x14ac:dyDescent="0.3">
      <c r="A1566" t="s">
        <v>2914</v>
      </c>
      <c r="B1566" t="s">
        <v>988</v>
      </c>
      <c r="C1566" t="s">
        <v>1152</v>
      </c>
      <c r="D1566" s="7" t="s">
        <v>601</v>
      </c>
      <c r="E1566" t="s">
        <v>25</v>
      </c>
      <c r="F1566" t="s">
        <v>33</v>
      </c>
      <c r="G1566" t="s">
        <v>69</v>
      </c>
      <c r="H1566">
        <v>4</v>
      </c>
      <c r="I1566">
        <v>50.94</v>
      </c>
      <c r="J1566">
        <v>0</v>
      </c>
      <c r="K1566">
        <v>203.76</v>
      </c>
      <c r="L1566">
        <v>50.3</v>
      </c>
      <c r="M1566" t="s">
        <v>20</v>
      </c>
    </row>
    <row r="1567" spans="1:13" x14ac:dyDescent="0.3">
      <c r="A1567" t="s">
        <v>2915</v>
      </c>
      <c r="B1567" t="s">
        <v>1358</v>
      </c>
      <c r="C1567" t="s">
        <v>2916</v>
      </c>
      <c r="D1567" s="7" t="s">
        <v>2193</v>
      </c>
      <c r="E1567" t="s">
        <v>32</v>
      </c>
      <c r="F1567" t="s">
        <v>89</v>
      </c>
      <c r="G1567" t="s">
        <v>150</v>
      </c>
      <c r="H1567">
        <v>8</v>
      </c>
      <c r="I1567">
        <v>242.67</v>
      </c>
      <c r="J1567">
        <v>0.1</v>
      </c>
      <c r="K1567">
        <v>1747.22</v>
      </c>
      <c r="L1567">
        <v>459.56</v>
      </c>
      <c r="M1567" t="s">
        <v>20</v>
      </c>
    </row>
    <row r="1568" spans="1:13" x14ac:dyDescent="0.3">
      <c r="A1568" t="s">
        <v>2917</v>
      </c>
      <c r="B1568" t="s">
        <v>388</v>
      </c>
      <c r="C1568" t="s">
        <v>1487</v>
      </c>
      <c r="D1568" s="7" t="s">
        <v>2918</v>
      </c>
      <c r="E1568" t="s">
        <v>59</v>
      </c>
      <c r="F1568" t="s">
        <v>26</v>
      </c>
      <c r="G1568" t="s">
        <v>84</v>
      </c>
      <c r="H1568">
        <v>8</v>
      </c>
      <c r="I1568">
        <v>171.81</v>
      </c>
      <c r="J1568">
        <v>0</v>
      </c>
      <c r="K1568">
        <v>1374.48</v>
      </c>
      <c r="L1568">
        <v>361.36</v>
      </c>
      <c r="M1568" t="s">
        <v>35</v>
      </c>
    </row>
    <row r="1569" spans="1:13" x14ac:dyDescent="0.3">
      <c r="A1569" t="s">
        <v>2919</v>
      </c>
      <c r="B1569" t="s">
        <v>1691</v>
      </c>
      <c r="C1569" t="s">
        <v>409</v>
      </c>
      <c r="D1569" s="7" t="s">
        <v>2118</v>
      </c>
      <c r="E1569" t="s">
        <v>17</v>
      </c>
      <c r="F1569" t="s">
        <v>18</v>
      </c>
      <c r="G1569" t="s">
        <v>45</v>
      </c>
      <c r="H1569">
        <v>8</v>
      </c>
      <c r="I1569">
        <v>167.81</v>
      </c>
      <c r="J1569">
        <v>0.05</v>
      </c>
      <c r="K1569">
        <v>1275.3599999999999</v>
      </c>
      <c r="L1569">
        <v>332.24</v>
      </c>
      <c r="M1569" t="s">
        <v>35</v>
      </c>
    </row>
    <row r="1570" spans="1:13" x14ac:dyDescent="0.3">
      <c r="A1570" t="s">
        <v>2920</v>
      </c>
      <c r="B1570" t="s">
        <v>22</v>
      </c>
      <c r="C1570" t="s">
        <v>454</v>
      </c>
      <c r="D1570" s="7" t="s">
        <v>754</v>
      </c>
      <c r="E1570" t="s">
        <v>64</v>
      </c>
      <c r="F1570" t="s">
        <v>89</v>
      </c>
      <c r="G1570" t="s">
        <v>150</v>
      </c>
      <c r="H1570">
        <v>2</v>
      </c>
      <c r="I1570">
        <v>85.51</v>
      </c>
      <c r="J1570">
        <v>0.15</v>
      </c>
      <c r="K1570">
        <v>145.37</v>
      </c>
      <c r="L1570">
        <v>24.89</v>
      </c>
      <c r="M1570" t="s">
        <v>35</v>
      </c>
    </row>
    <row r="1571" spans="1:13" x14ac:dyDescent="0.3">
      <c r="A1571" t="s">
        <v>2921</v>
      </c>
      <c r="B1571" t="s">
        <v>1260</v>
      </c>
      <c r="C1571" t="s">
        <v>2922</v>
      </c>
      <c r="D1571" s="7" t="s">
        <v>944</v>
      </c>
      <c r="E1571" t="s">
        <v>32</v>
      </c>
      <c r="F1571" t="s">
        <v>89</v>
      </c>
      <c r="G1571" t="s">
        <v>150</v>
      </c>
      <c r="H1571">
        <v>6</v>
      </c>
      <c r="I1571">
        <v>22.38</v>
      </c>
      <c r="J1571">
        <v>0.15</v>
      </c>
      <c r="K1571">
        <v>114.14</v>
      </c>
      <c r="L1571">
        <v>13.45</v>
      </c>
      <c r="M1571" t="s">
        <v>20</v>
      </c>
    </row>
    <row r="1572" spans="1:13" x14ac:dyDescent="0.3">
      <c r="A1572" t="s">
        <v>2923</v>
      </c>
      <c r="B1572" t="s">
        <v>86</v>
      </c>
      <c r="C1572" t="s">
        <v>1166</v>
      </c>
      <c r="D1572" s="7" t="s">
        <v>1553</v>
      </c>
      <c r="E1572" t="s">
        <v>59</v>
      </c>
      <c r="F1572" t="s">
        <v>33</v>
      </c>
      <c r="G1572" t="s">
        <v>34</v>
      </c>
      <c r="H1572">
        <v>7</v>
      </c>
      <c r="I1572">
        <v>135.54</v>
      </c>
      <c r="J1572">
        <v>0.15</v>
      </c>
      <c r="K1572">
        <v>806.46</v>
      </c>
      <c r="L1572">
        <v>140.41999999999999</v>
      </c>
      <c r="M1572" t="s">
        <v>35</v>
      </c>
    </row>
    <row r="1573" spans="1:13" x14ac:dyDescent="0.3">
      <c r="A1573" t="s">
        <v>2924</v>
      </c>
      <c r="B1573" t="s">
        <v>2490</v>
      </c>
      <c r="C1573" t="s">
        <v>2925</v>
      </c>
      <c r="D1573" s="7" t="s">
        <v>1269</v>
      </c>
      <c r="E1573" t="s">
        <v>32</v>
      </c>
      <c r="F1573" t="s">
        <v>89</v>
      </c>
      <c r="G1573" t="s">
        <v>150</v>
      </c>
      <c r="H1573">
        <v>6</v>
      </c>
      <c r="I1573">
        <v>230.21</v>
      </c>
      <c r="J1573">
        <v>0.15</v>
      </c>
      <c r="K1573">
        <v>1174.07</v>
      </c>
      <c r="L1573">
        <v>134.31</v>
      </c>
      <c r="M1573" t="s">
        <v>35</v>
      </c>
    </row>
    <row r="1574" spans="1:13" x14ac:dyDescent="0.3">
      <c r="A1574" t="s">
        <v>2926</v>
      </c>
      <c r="B1574" t="s">
        <v>1896</v>
      </c>
      <c r="C1574" t="s">
        <v>1404</v>
      </c>
      <c r="D1574" s="7" t="s">
        <v>1047</v>
      </c>
      <c r="E1574" t="s">
        <v>59</v>
      </c>
      <c r="F1574" t="s">
        <v>26</v>
      </c>
      <c r="G1574" t="s">
        <v>118</v>
      </c>
      <c r="H1574">
        <v>7</v>
      </c>
      <c r="I1574">
        <v>21.03</v>
      </c>
      <c r="J1574">
        <v>0.15</v>
      </c>
      <c r="K1574">
        <v>125.13</v>
      </c>
      <c r="L1574">
        <v>34.19</v>
      </c>
      <c r="M1574" t="s">
        <v>35</v>
      </c>
    </row>
    <row r="1575" spans="1:13" x14ac:dyDescent="0.3">
      <c r="A1575" t="s">
        <v>2927</v>
      </c>
      <c r="B1575" t="s">
        <v>2168</v>
      </c>
      <c r="C1575" t="s">
        <v>2498</v>
      </c>
      <c r="D1575" s="7" t="s">
        <v>985</v>
      </c>
      <c r="E1575" t="s">
        <v>25</v>
      </c>
      <c r="F1575" t="s">
        <v>89</v>
      </c>
      <c r="G1575" t="s">
        <v>90</v>
      </c>
      <c r="H1575">
        <v>2</v>
      </c>
      <c r="I1575">
        <v>120.44</v>
      </c>
      <c r="J1575">
        <v>0.1</v>
      </c>
      <c r="K1575">
        <v>216.79</v>
      </c>
      <c r="L1575">
        <v>42.57</v>
      </c>
      <c r="M1575" t="s">
        <v>35</v>
      </c>
    </row>
    <row r="1576" spans="1:13" x14ac:dyDescent="0.3">
      <c r="A1576" t="s">
        <v>2928</v>
      </c>
      <c r="B1576" t="s">
        <v>657</v>
      </c>
      <c r="C1576" t="s">
        <v>984</v>
      </c>
      <c r="D1576" s="7" t="s">
        <v>1114</v>
      </c>
      <c r="E1576" t="s">
        <v>32</v>
      </c>
      <c r="F1576" t="s">
        <v>18</v>
      </c>
      <c r="G1576" t="s">
        <v>19</v>
      </c>
      <c r="H1576">
        <v>3</v>
      </c>
      <c r="I1576">
        <v>195.49</v>
      </c>
      <c r="J1576">
        <v>0.1</v>
      </c>
      <c r="K1576">
        <v>527.82000000000005</v>
      </c>
      <c r="L1576">
        <v>78.5</v>
      </c>
      <c r="M1576" t="s">
        <v>40</v>
      </c>
    </row>
    <row r="1577" spans="1:13" x14ac:dyDescent="0.3">
      <c r="A1577" t="s">
        <v>2929</v>
      </c>
      <c r="B1577" t="s">
        <v>392</v>
      </c>
      <c r="C1577" t="s">
        <v>1404</v>
      </c>
      <c r="D1577" s="7" t="s">
        <v>1592</v>
      </c>
      <c r="E1577" t="s">
        <v>64</v>
      </c>
      <c r="F1577" t="s">
        <v>89</v>
      </c>
      <c r="G1577" t="s">
        <v>150</v>
      </c>
      <c r="H1577">
        <v>6</v>
      </c>
      <c r="I1577">
        <v>69.34</v>
      </c>
      <c r="J1577">
        <v>0</v>
      </c>
      <c r="K1577">
        <v>416.04</v>
      </c>
      <c r="L1577">
        <v>71.34</v>
      </c>
      <c r="M1577" t="s">
        <v>35</v>
      </c>
    </row>
    <row r="1578" spans="1:13" x14ac:dyDescent="0.3">
      <c r="A1578" t="s">
        <v>2930</v>
      </c>
      <c r="B1578" t="s">
        <v>1607</v>
      </c>
      <c r="C1578" t="s">
        <v>936</v>
      </c>
      <c r="D1578" s="7" t="s">
        <v>459</v>
      </c>
      <c r="E1578" t="s">
        <v>17</v>
      </c>
      <c r="F1578" t="s">
        <v>33</v>
      </c>
      <c r="G1578" t="s">
        <v>50</v>
      </c>
      <c r="H1578">
        <v>1</v>
      </c>
      <c r="I1578">
        <v>98.08</v>
      </c>
      <c r="J1578">
        <v>0.1</v>
      </c>
      <c r="K1578">
        <v>88.27</v>
      </c>
      <c r="L1578">
        <v>7.94</v>
      </c>
      <c r="M1578" t="s">
        <v>40</v>
      </c>
    </row>
    <row r="1579" spans="1:13" x14ac:dyDescent="0.3">
      <c r="A1579" t="s">
        <v>2931</v>
      </c>
      <c r="B1579" t="s">
        <v>2615</v>
      </c>
      <c r="C1579" t="s">
        <v>1998</v>
      </c>
      <c r="D1579" s="7" t="s">
        <v>621</v>
      </c>
      <c r="E1579" t="s">
        <v>64</v>
      </c>
      <c r="F1579" t="s">
        <v>89</v>
      </c>
      <c r="G1579" t="s">
        <v>150</v>
      </c>
      <c r="H1579">
        <v>6</v>
      </c>
      <c r="I1579">
        <v>159.88</v>
      </c>
      <c r="J1579">
        <v>0.05</v>
      </c>
      <c r="K1579">
        <v>911.32</v>
      </c>
      <c r="L1579">
        <v>206.03</v>
      </c>
      <c r="M1579" t="s">
        <v>35</v>
      </c>
    </row>
    <row r="1580" spans="1:13" x14ac:dyDescent="0.3">
      <c r="A1580" t="s">
        <v>2932</v>
      </c>
      <c r="B1580" t="s">
        <v>620</v>
      </c>
      <c r="C1580" t="s">
        <v>2181</v>
      </c>
      <c r="D1580" s="7" t="s">
        <v>1269</v>
      </c>
      <c r="E1580" t="s">
        <v>59</v>
      </c>
      <c r="F1580" t="s">
        <v>18</v>
      </c>
      <c r="G1580" t="s">
        <v>45</v>
      </c>
      <c r="H1580">
        <v>6</v>
      </c>
      <c r="I1580">
        <v>71.81</v>
      </c>
      <c r="J1580">
        <v>0</v>
      </c>
      <c r="K1580">
        <v>430.86</v>
      </c>
      <c r="L1580">
        <v>121.11</v>
      </c>
      <c r="M1580" t="s">
        <v>20</v>
      </c>
    </row>
    <row r="1581" spans="1:13" x14ac:dyDescent="0.3">
      <c r="A1581" t="s">
        <v>2933</v>
      </c>
      <c r="B1581" t="s">
        <v>620</v>
      </c>
      <c r="C1581" t="s">
        <v>818</v>
      </c>
      <c r="D1581" s="7" t="s">
        <v>1218</v>
      </c>
      <c r="E1581" t="s">
        <v>17</v>
      </c>
      <c r="F1581" t="s">
        <v>89</v>
      </c>
      <c r="G1581" t="s">
        <v>150</v>
      </c>
      <c r="H1581">
        <v>7</v>
      </c>
      <c r="I1581">
        <v>63.1</v>
      </c>
      <c r="J1581">
        <v>0</v>
      </c>
      <c r="K1581">
        <v>441.7</v>
      </c>
      <c r="L1581">
        <v>132.25</v>
      </c>
      <c r="M1581" t="s">
        <v>40</v>
      </c>
    </row>
    <row r="1582" spans="1:13" x14ac:dyDescent="0.3">
      <c r="A1582" t="s">
        <v>2934</v>
      </c>
      <c r="B1582" t="s">
        <v>278</v>
      </c>
      <c r="C1582" t="s">
        <v>507</v>
      </c>
      <c r="D1582" s="7" t="s">
        <v>2625</v>
      </c>
      <c r="E1582" t="s">
        <v>32</v>
      </c>
      <c r="F1582" t="s">
        <v>33</v>
      </c>
      <c r="G1582" t="s">
        <v>74</v>
      </c>
      <c r="H1582">
        <v>1</v>
      </c>
      <c r="I1582">
        <v>129.94</v>
      </c>
      <c r="J1582">
        <v>0.05</v>
      </c>
      <c r="K1582">
        <v>123.44</v>
      </c>
      <c r="L1582">
        <v>36.71</v>
      </c>
      <c r="M1582" t="s">
        <v>40</v>
      </c>
    </row>
    <row r="1583" spans="1:13" x14ac:dyDescent="0.3">
      <c r="A1583" t="s">
        <v>2935</v>
      </c>
      <c r="B1583" t="s">
        <v>626</v>
      </c>
      <c r="C1583" t="s">
        <v>1327</v>
      </c>
      <c r="D1583" s="7" t="s">
        <v>182</v>
      </c>
      <c r="E1583" t="s">
        <v>32</v>
      </c>
      <c r="F1583" t="s">
        <v>33</v>
      </c>
      <c r="G1583" t="s">
        <v>74</v>
      </c>
      <c r="H1583">
        <v>3</v>
      </c>
      <c r="I1583">
        <v>173.48</v>
      </c>
      <c r="J1583">
        <v>0</v>
      </c>
      <c r="K1583">
        <v>520.44000000000005</v>
      </c>
      <c r="L1583">
        <v>109.08</v>
      </c>
      <c r="M1583" t="s">
        <v>35</v>
      </c>
    </row>
    <row r="1584" spans="1:13" x14ac:dyDescent="0.3">
      <c r="A1584" t="s">
        <v>2936</v>
      </c>
      <c r="B1584" t="s">
        <v>681</v>
      </c>
      <c r="C1584" t="s">
        <v>794</v>
      </c>
      <c r="D1584" s="7" t="s">
        <v>325</v>
      </c>
      <c r="E1584" t="s">
        <v>32</v>
      </c>
      <c r="F1584" t="s">
        <v>33</v>
      </c>
      <c r="G1584" t="s">
        <v>50</v>
      </c>
      <c r="H1584">
        <v>5</v>
      </c>
      <c r="I1584">
        <v>213.58</v>
      </c>
      <c r="J1584">
        <v>0.05</v>
      </c>
      <c r="K1584">
        <v>1014.5</v>
      </c>
      <c r="L1584">
        <v>286.48</v>
      </c>
      <c r="M1584" t="s">
        <v>40</v>
      </c>
    </row>
    <row r="1585" spans="1:13" x14ac:dyDescent="0.3">
      <c r="A1585" t="s">
        <v>2937</v>
      </c>
      <c r="B1585" t="s">
        <v>207</v>
      </c>
      <c r="C1585" t="s">
        <v>1591</v>
      </c>
      <c r="D1585" s="7" t="s">
        <v>791</v>
      </c>
      <c r="E1585" t="s">
        <v>64</v>
      </c>
      <c r="F1585" t="s">
        <v>26</v>
      </c>
      <c r="G1585" t="s">
        <v>84</v>
      </c>
      <c r="H1585">
        <v>6</v>
      </c>
      <c r="I1585">
        <v>19.82</v>
      </c>
      <c r="J1585">
        <v>0.15</v>
      </c>
      <c r="K1585">
        <v>101.08</v>
      </c>
      <c r="L1585">
        <v>11.27</v>
      </c>
      <c r="M1585" t="s">
        <v>35</v>
      </c>
    </row>
    <row r="1586" spans="1:13" x14ac:dyDescent="0.3">
      <c r="A1586" t="s">
        <v>2938</v>
      </c>
      <c r="B1586" t="s">
        <v>1883</v>
      </c>
      <c r="C1586" t="s">
        <v>1046</v>
      </c>
      <c r="D1586" s="7" t="s">
        <v>601</v>
      </c>
      <c r="E1586" t="s">
        <v>25</v>
      </c>
      <c r="F1586" t="s">
        <v>18</v>
      </c>
      <c r="G1586" t="s">
        <v>19</v>
      </c>
      <c r="H1586">
        <v>7</v>
      </c>
      <c r="I1586">
        <v>226.14</v>
      </c>
      <c r="J1586">
        <v>0.1</v>
      </c>
      <c r="K1586">
        <v>1424.68</v>
      </c>
      <c r="L1586">
        <v>253.09</v>
      </c>
      <c r="M1586" t="s">
        <v>40</v>
      </c>
    </row>
    <row r="1587" spans="1:13" x14ac:dyDescent="0.3">
      <c r="A1587" t="s">
        <v>2939</v>
      </c>
      <c r="B1587" t="s">
        <v>686</v>
      </c>
      <c r="C1587" t="s">
        <v>38</v>
      </c>
      <c r="D1587" s="7" t="s">
        <v>851</v>
      </c>
      <c r="E1587" t="s">
        <v>64</v>
      </c>
      <c r="F1587" t="s">
        <v>18</v>
      </c>
      <c r="G1587" t="s">
        <v>45</v>
      </c>
      <c r="H1587">
        <v>1</v>
      </c>
      <c r="I1587">
        <v>202.43</v>
      </c>
      <c r="J1587">
        <v>0</v>
      </c>
      <c r="K1587">
        <v>202.43</v>
      </c>
      <c r="L1587">
        <v>44.18</v>
      </c>
      <c r="M1587" t="s">
        <v>35</v>
      </c>
    </row>
    <row r="1588" spans="1:13" x14ac:dyDescent="0.3">
      <c r="A1588" t="s">
        <v>2940</v>
      </c>
      <c r="B1588" t="s">
        <v>345</v>
      </c>
      <c r="C1588" t="s">
        <v>2070</v>
      </c>
      <c r="D1588" s="7" t="s">
        <v>1167</v>
      </c>
      <c r="E1588" t="s">
        <v>32</v>
      </c>
      <c r="F1588" t="s">
        <v>89</v>
      </c>
      <c r="G1588" t="s">
        <v>150</v>
      </c>
      <c r="H1588">
        <v>5</v>
      </c>
      <c r="I1588">
        <v>13.16</v>
      </c>
      <c r="J1588">
        <v>0</v>
      </c>
      <c r="K1588">
        <v>65.8</v>
      </c>
      <c r="L1588">
        <v>10.84</v>
      </c>
      <c r="M1588" t="s">
        <v>35</v>
      </c>
    </row>
    <row r="1589" spans="1:13" x14ac:dyDescent="0.3">
      <c r="A1589" t="s">
        <v>2941</v>
      </c>
      <c r="B1589" t="s">
        <v>2034</v>
      </c>
      <c r="C1589" t="s">
        <v>1920</v>
      </c>
      <c r="D1589" s="7" t="s">
        <v>874</v>
      </c>
      <c r="E1589" t="s">
        <v>64</v>
      </c>
      <c r="F1589" t="s">
        <v>26</v>
      </c>
      <c r="G1589" t="s">
        <v>27</v>
      </c>
      <c r="H1589">
        <v>5</v>
      </c>
      <c r="I1589">
        <v>218.41</v>
      </c>
      <c r="J1589">
        <v>0.05</v>
      </c>
      <c r="K1589">
        <v>1037.45</v>
      </c>
      <c r="L1589">
        <v>297.33</v>
      </c>
      <c r="M1589" t="s">
        <v>20</v>
      </c>
    </row>
    <row r="1590" spans="1:13" x14ac:dyDescent="0.3">
      <c r="A1590" t="s">
        <v>2942</v>
      </c>
      <c r="B1590" t="s">
        <v>461</v>
      </c>
      <c r="C1590" t="s">
        <v>527</v>
      </c>
      <c r="D1590" s="7" t="s">
        <v>832</v>
      </c>
      <c r="E1590" t="s">
        <v>25</v>
      </c>
      <c r="F1590" t="s">
        <v>18</v>
      </c>
      <c r="G1590" t="s">
        <v>19</v>
      </c>
      <c r="H1590">
        <v>5</v>
      </c>
      <c r="I1590">
        <v>157.68</v>
      </c>
      <c r="J1590">
        <v>0.05</v>
      </c>
      <c r="K1590">
        <v>748.98</v>
      </c>
      <c r="L1590">
        <v>102.85</v>
      </c>
      <c r="M1590" t="s">
        <v>40</v>
      </c>
    </row>
    <row r="1591" spans="1:13" x14ac:dyDescent="0.3">
      <c r="A1591" t="s">
        <v>2943</v>
      </c>
      <c r="B1591" t="s">
        <v>1624</v>
      </c>
      <c r="C1591" t="s">
        <v>1571</v>
      </c>
      <c r="D1591" s="7" t="s">
        <v>333</v>
      </c>
      <c r="E1591" t="s">
        <v>59</v>
      </c>
      <c r="F1591" t="s">
        <v>89</v>
      </c>
      <c r="G1591" t="s">
        <v>90</v>
      </c>
      <c r="H1591">
        <v>7</v>
      </c>
      <c r="I1591">
        <v>33.49</v>
      </c>
      <c r="J1591">
        <v>0.15</v>
      </c>
      <c r="K1591">
        <v>199.27</v>
      </c>
      <c r="L1591">
        <v>38.85</v>
      </c>
      <c r="M1591" t="s">
        <v>20</v>
      </c>
    </row>
    <row r="1592" spans="1:13" x14ac:dyDescent="0.3">
      <c r="A1592" t="s">
        <v>2944</v>
      </c>
      <c r="B1592" t="s">
        <v>2168</v>
      </c>
      <c r="C1592" t="s">
        <v>1288</v>
      </c>
      <c r="D1592" s="7" t="s">
        <v>1583</v>
      </c>
      <c r="E1592" t="s">
        <v>17</v>
      </c>
      <c r="F1592" t="s">
        <v>89</v>
      </c>
      <c r="G1592" t="s">
        <v>131</v>
      </c>
      <c r="H1592">
        <v>8</v>
      </c>
      <c r="I1592">
        <v>13.79</v>
      </c>
      <c r="J1592">
        <v>0</v>
      </c>
      <c r="K1592">
        <v>110.32</v>
      </c>
      <c r="L1592">
        <v>26.41</v>
      </c>
      <c r="M1592" t="s">
        <v>20</v>
      </c>
    </row>
    <row r="1593" spans="1:13" x14ac:dyDescent="0.3">
      <c r="A1593" t="s">
        <v>2945</v>
      </c>
      <c r="B1593" t="s">
        <v>1961</v>
      </c>
      <c r="C1593" t="s">
        <v>2916</v>
      </c>
      <c r="D1593" s="7" t="s">
        <v>1347</v>
      </c>
      <c r="E1593" t="s">
        <v>17</v>
      </c>
      <c r="F1593" t="s">
        <v>89</v>
      </c>
      <c r="G1593" t="s">
        <v>150</v>
      </c>
      <c r="H1593">
        <v>6</v>
      </c>
      <c r="I1593">
        <v>103.45</v>
      </c>
      <c r="J1593">
        <v>0.05</v>
      </c>
      <c r="K1593">
        <v>589.66</v>
      </c>
      <c r="L1593">
        <v>134.19</v>
      </c>
      <c r="M1593" t="s">
        <v>20</v>
      </c>
    </row>
    <row r="1594" spans="1:13" x14ac:dyDescent="0.3">
      <c r="A1594" t="s">
        <v>2946</v>
      </c>
      <c r="B1594" t="s">
        <v>396</v>
      </c>
      <c r="C1594" t="s">
        <v>2482</v>
      </c>
      <c r="D1594" s="7" t="s">
        <v>808</v>
      </c>
      <c r="E1594" t="s">
        <v>64</v>
      </c>
      <c r="F1594" t="s">
        <v>26</v>
      </c>
      <c r="G1594" t="s">
        <v>27</v>
      </c>
      <c r="H1594">
        <v>4</v>
      </c>
      <c r="I1594">
        <v>182.97</v>
      </c>
      <c r="J1594">
        <v>0.15</v>
      </c>
      <c r="K1594">
        <v>622.1</v>
      </c>
      <c r="L1594">
        <v>134.22999999999999</v>
      </c>
      <c r="M1594" t="s">
        <v>40</v>
      </c>
    </row>
    <row r="1595" spans="1:13" x14ac:dyDescent="0.3">
      <c r="A1595" t="s">
        <v>2947</v>
      </c>
      <c r="B1595" t="s">
        <v>1547</v>
      </c>
      <c r="C1595" t="s">
        <v>1817</v>
      </c>
      <c r="D1595" s="7" t="s">
        <v>906</v>
      </c>
      <c r="E1595" t="s">
        <v>25</v>
      </c>
      <c r="F1595" t="s">
        <v>89</v>
      </c>
      <c r="G1595" t="s">
        <v>150</v>
      </c>
      <c r="H1595">
        <v>3</v>
      </c>
      <c r="I1595">
        <v>70.260000000000005</v>
      </c>
      <c r="J1595">
        <v>0.1</v>
      </c>
      <c r="K1595">
        <v>189.7</v>
      </c>
      <c r="L1595">
        <v>27.56</v>
      </c>
      <c r="M1595" t="s">
        <v>35</v>
      </c>
    </row>
    <row r="1596" spans="1:13" x14ac:dyDescent="0.3">
      <c r="A1596" t="s">
        <v>2948</v>
      </c>
      <c r="B1596" t="s">
        <v>2458</v>
      </c>
      <c r="C1596" t="s">
        <v>1213</v>
      </c>
      <c r="D1596" s="7" t="s">
        <v>1072</v>
      </c>
      <c r="E1596" t="s">
        <v>17</v>
      </c>
      <c r="F1596" t="s">
        <v>33</v>
      </c>
      <c r="G1596" t="s">
        <v>74</v>
      </c>
      <c r="H1596">
        <v>3</v>
      </c>
      <c r="I1596">
        <v>225.37</v>
      </c>
      <c r="J1596">
        <v>0.1</v>
      </c>
      <c r="K1596">
        <v>608.5</v>
      </c>
      <c r="L1596">
        <v>153.32</v>
      </c>
      <c r="M1596" t="s">
        <v>20</v>
      </c>
    </row>
    <row r="1597" spans="1:13" x14ac:dyDescent="0.3">
      <c r="A1597" t="s">
        <v>2949</v>
      </c>
      <c r="B1597" t="s">
        <v>2588</v>
      </c>
      <c r="C1597" t="s">
        <v>2065</v>
      </c>
      <c r="D1597" s="7" t="s">
        <v>651</v>
      </c>
      <c r="E1597" t="s">
        <v>25</v>
      </c>
      <c r="F1597" t="s">
        <v>33</v>
      </c>
      <c r="G1597" t="s">
        <v>34</v>
      </c>
      <c r="H1597">
        <v>2</v>
      </c>
      <c r="I1597">
        <v>50.34</v>
      </c>
      <c r="J1597">
        <v>0</v>
      </c>
      <c r="K1597">
        <v>100.68</v>
      </c>
      <c r="L1597">
        <v>11.28</v>
      </c>
      <c r="M1597" t="s">
        <v>40</v>
      </c>
    </row>
    <row r="1598" spans="1:13" x14ac:dyDescent="0.3">
      <c r="A1598" t="s">
        <v>2950</v>
      </c>
      <c r="B1598" t="s">
        <v>1868</v>
      </c>
      <c r="C1598" t="s">
        <v>744</v>
      </c>
      <c r="D1598" s="7" t="s">
        <v>300</v>
      </c>
      <c r="E1598" t="s">
        <v>25</v>
      </c>
      <c r="F1598" t="s">
        <v>26</v>
      </c>
      <c r="G1598" t="s">
        <v>84</v>
      </c>
      <c r="H1598">
        <v>6</v>
      </c>
      <c r="I1598">
        <v>57.04</v>
      </c>
      <c r="J1598">
        <v>0</v>
      </c>
      <c r="K1598">
        <v>342.24</v>
      </c>
      <c r="L1598">
        <v>34.97</v>
      </c>
      <c r="M1598" t="s">
        <v>40</v>
      </c>
    </row>
    <row r="1599" spans="1:13" x14ac:dyDescent="0.3">
      <c r="A1599" t="s">
        <v>2951</v>
      </c>
      <c r="B1599" t="s">
        <v>1118</v>
      </c>
      <c r="C1599" t="s">
        <v>1861</v>
      </c>
      <c r="D1599" s="7" t="s">
        <v>1687</v>
      </c>
      <c r="E1599" t="s">
        <v>64</v>
      </c>
      <c r="F1599" t="s">
        <v>89</v>
      </c>
      <c r="G1599" t="s">
        <v>150</v>
      </c>
      <c r="H1599">
        <v>5</v>
      </c>
      <c r="I1599">
        <v>107.56</v>
      </c>
      <c r="J1599">
        <v>0.05</v>
      </c>
      <c r="K1599">
        <v>510.91</v>
      </c>
      <c r="L1599">
        <v>41.65</v>
      </c>
      <c r="M1599" t="s">
        <v>20</v>
      </c>
    </row>
    <row r="1600" spans="1:13" x14ac:dyDescent="0.3">
      <c r="A1600" t="s">
        <v>2952</v>
      </c>
      <c r="B1600" t="s">
        <v>1035</v>
      </c>
      <c r="C1600" t="s">
        <v>614</v>
      </c>
      <c r="D1600" s="7" t="s">
        <v>430</v>
      </c>
      <c r="E1600" t="s">
        <v>25</v>
      </c>
      <c r="F1600" t="s">
        <v>26</v>
      </c>
      <c r="G1600" t="s">
        <v>27</v>
      </c>
      <c r="H1600">
        <v>4</v>
      </c>
      <c r="I1600">
        <v>236.73</v>
      </c>
      <c r="J1600">
        <v>0.15</v>
      </c>
      <c r="K1600">
        <v>804.88</v>
      </c>
      <c r="L1600">
        <v>174.73</v>
      </c>
      <c r="M1600" t="s">
        <v>40</v>
      </c>
    </row>
    <row r="1601" spans="1:13" x14ac:dyDescent="0.3">
      <c r="A1601" t="s">
        <v>2953</v>
      </c>
      <c r="B1601" t="s">
        <v>1242</v>
      </c>
      <c r="C1601" t="s">
        <v>1836</v>
      </c>
      <c r="D1601" s="7" t="s">
        <v>880</v>
      </c>
      <c r="E1601" t="s">
        <v>64</v>
      </c>
      <c r="F1601" t="s">
        <v>33</v>
      </c>
      <c r="G1601" t="s">
        <v>50</v>
      </c>
      <c r="H1601">
        <v>3</v>
      </c>
      <c r="I1601">
        <v>165.58</v>
      </c>
      <c r="J1601">
        <v>0.15</v>
      </c>
      <c r="K1601">
        <v>422.23</v>
      </c>
      <c r="L1601">
        <v>56.3</v>
      </c>
      <c r="M1601" t="s">
        <v>40</v>
      </c>
    </row>
    <row r="1602" spans="1:13" x14ac:dyDescent="0.3">
      <c r="A1602" t="s">
        <v>2954</v>
      </c>
      <c r="B1602" t="s">
        <v>335</v>
      </c>
      <c r="C1602" t="s">
        <v>1302</v>
      </c>
      <c r="D1602" s="7" t="s">
        <v>1245</v>
      </c>
      <c r="E1602" t="s">
        <v>25</v>
      </c>
      <c r="F1602" t="s">
        <v>18</v>
      </c>
      <c r="G1602" t="s">
        <v>45</v>
      </c>
      <c r="H1602">
        <v>4</v>
      </c>
      <c r="I1602">
        <v>63.04</v>
      </c>
      <c r="J1602">
        <v>0.15</v>
      </c>
      <c r="K1602">
        <v>214.34</v>
      </c>
      <c r="L1602">
        <v>47.81</v>
      </c>
      <c r="M1602" t="s">
        <v>35</v>
      </c>
    </row>
    <row r="1603" spans="1:13" x14ac:dyDescent="0.3">
      <c r="A1603" t="s">
        <v>2955</v>
      </c>
      <c r="B1603" t="s">
        <v>443</v>
      </c>
      <c r="C1603" t="s">
        <v>818</v>
      </c>
      <c r="D1603" s="7" t="s">
        <v>601</v>
      </c>
      <c r="E1603" t="s">
        <v>64</v>
      </c>
      <c r="F1603" t="s">
        <v>26</v>
      </c>
      <c r="G1603" t="s">
        <v>118</v>
      </c>
      <c r="H1603">
        <v>3</v>
      </c>
      <c r="I1603">
        <v>50.28</v>
      </c>
      <c r="J1603">
        <v>0.15</v>
      </c>
      <c r="K1603">
        <v>128.21</v>
      </c>
      <c r="L1603">
        <v>15.32</v>
      </c>
      <c r="M1603" t="s">
        <v>40</v>
      </c>
    </row>
    <row r="1604" spans="1:13" x14ac:dyDescent="0.3">
      <c r="A1604" t="s">
        <v>2956</v>
      </c>
      <c r="B1604" t="s">
        <v>957</v>
      </c>
      <c r="C1604" t="s">
        <v>2026</v>
      </c>
      <c r="D1604" s="7" t="s">
        <v>1664</v>
      </c>
      <c r="E1604" t="s">
        <v>17</v>
      </c>
      <c r="F1604" t="s">
        <v>89</v>
      </c>
      <c r="G1604" t="s">
        <v>150</v>
      </c>
      <c r="H1604">
        <v>5</v>
      </c>
      <c r="I1604">
        <v>155.24</v>
      </c>
      <c r="J1604">
        <v>0</v>
      </c>
      <c r="K1604">
        <v>776.2</v>
      </c>
      <c r="L1604">
        <v>232.32</v>
      </c>
      <c r="M1604" t="s">
        <v>35</v>
      </c>
    </row>
    <row r="1605" spans="1:13" x14ac:dyDescent="0.3">
      <c r="A1605" t="s">
        <v>2957</v>
      </c>
      <c r="B1605" t="s">
        <v>1626</v>
      </c>
      <c r="C1605" t="s">
        <v>1166</v>
      </c>
      <c r="D1605" s="7" t="s">
        <v>258</v>
      </c>
      <c r="E1605" t="s">
        <v>17</v>
      </c>
      <c r="F1605" t="s">
        <v>33</v>
      </c>
      <c r="G1605" t="s">
        <v>50</v>
      </c>
      <c r="H1605">
        <v>8</v>
      </c>
      <c r="I1605">
        <v>93.32</v>
      </c>
      <c r="J1605">
        <v>0.15</v>
      </c>
      <c r="K1605">
        <v>634.58000000000004</v>
      </c>
      <c r="L1605">
        <v>176.19</v>
      </c>
      <c r="M1605" t="s">
        <v>35</v>
      </c>
    </row>
    <row r="1606" spans="1:13" x14ac:dyDescent="0.3">
      <c r="A1606" t="s">
        <v>2958</v>
      </c>
      <c r="B1606" t="s">
        <v>298</v>
      </c>
      <c r="C1606" t="s">
        <v>545</v>
      </c>
      <c r="D1606" s="7" t="s">
        <v>94</v>
      </c>
      <c r="E1606" t="s">
        <v>25</v>
      </c>
      <c r="F1606" t="s">
        <v>89</v>
      </c>
      <c r="G1606" t="s">
        <v>90</v>
      </c>
      <c r="H1606">
        <v>4</v>
      </c>
      <c r="I1606">
        <v>199.92</v>
      </c>
      <c r="J1606">
        <v>0.15</v>
      </c>
      <c r="K1606">
        <v>679.73</v>
      </c>
      <c r="L1606">
        <v>186.93</v>
      </c>
      <c r="M1606" t="s">
        <v>20</v>
      </c>
    </row>
    <row r="1607" spans="1:13" x14ac:dyDescent="0.3">
      <c r="A1607" t="s">
        <v>2959</v>
      </c>
      <c r="B1607" t="s">
        <v>918</v>
      </c>
      <c r="C1607" t="s">
        <v>1802</v>
      </c>
      <c r="D1607" s="7" t="s">
        <v>1392</v>
      </c>
      <c r="E1607" t="s">
        <v>25</v>
      </c>
      <c r="F1607" t="s">
        <v>18</v>
      </c>
      <c r="G1607" t="s">
        <v>79</v>
      </c>
      <c r="H1607">
        <v>2</v>
      </c>
      <c r="I1607">
        <v>247.99</v>
      </c>
      <c r="J1607">
        <v>0.1</v>
      </c>
      <c r="K1607">
        <v>446.38</v>
      </c>
      <c r="L1607">
        <v>126.15</v>
      </c>
      <c r="M1607" t="s">
        <v>20</v>
      </c>
    </row>
    <row r="1608" spans="1:13" x14ac:dyDescent="0.3">
      <c r="A1608" t="s">
        <v>2960</v>
      </c>
      <c r="B1608" t="s">
        <v>1536</v>
      </c>
      <c r="C1608" t="s">
        <v>1692</v>
      </c>
      <c r="D1608" s="7" t="s">
        <v>1341</v>
      </c>
      <c r="E1608" t="s">
        <v>59</v>
      </c>
      <c r="F1608" t="s">
        <v>89</v>
      </c>
      <c r="G1608" t="s">
        <v>150</v>
      </c>
      <c r="H1608">
        <v>3</v>
      </c>
      <c r="I1608">
        <v>212.64</v>
      </c>
      <c r="J1608">
        <v>0.05</v>
      </c>
      <c r="K1608">
        <v>606.02</v>
      </c>
      <c r="L1608">
        <v>147.13</v>
      </c>
      <c r="M1608" t="s">
        <v>20</v>
      </c>
    </row>
    <row r="1609" spans="1:13" x14ac:dyDescent="0.3">
      <c r="A1609" t="s">
        <v>2961</v>
      </c>
      <c r="B1609" t="s">
        <v>722</v>
      </c>
      <c r="C1609" t="s">
        <v>1030</v>
      </c>
      <c r="D1609" s="7" t="s">
        <v>805</v>
      </c>
      <c r="E1609" t="s">
        <v>17</v>
      </c>
      <c r="F1609" t="s">
        <v>26</v>
      </c>
      <c r="G1609" t="s">
        <v>118</v>
      </c>
      <c r="H1609">
        <v>2</v>
      </c>
      <c r="I1609">
        <v>51.99</v>
      </c>
      <c r="J1609">
        <v>0</v>
      </c>
      <c r="K1609">
        <v>103.98</v>
      </c>
      <c r="L1609">
        <v>26.22</v>
      </c>
      <c r="M1609" t="s">
        <v>20</v>
      </c>
    </row>
    <row r="1610" spans="1:13" x14ac:dyDescent="0.3">
      <c r="A1610" t="s">
        <v>2962</v>
      </c>
      <c r="B1610" t="s">
        <v>1144</v>
      </c>
      <c r="C1610" t="s">
        <v>1754</v>
      </c>
      <c r="D1610" s="7" t="s">
        <v>1315</v>
      </c>
      <c r="E1610" t="s">
        <v>25</v>
      </c>
      <c r="F1610" t="s">
        <v>18</v>
      </c>
      <c r="G1610" t="s">
        <v>45</v>
      </c>
      <c r="H1610">
        <v>7</v>
      </c>
      <c r="I1610">
        <v>88.29</v>
      </c>
      <c r="J1610">
        <v>0.05</v>
      </c>
      <c r="K1610">
        <v>587.13</v>
      </c>
      <c r="L1610">
        <v>109.12</v>
      </c>
      <c r="M1610" t="s">
        <v>40</v>
      </c>
    </row>
    <row r="1611" spans="1:13" x14ac:dyDescent="0.3">
      <c r="A1611" t="s">
        <v>2963</v>
      </c>
      <c r="B1611" t="s">
        <v>217</v>
      </c>
      <c r="C1611" t="s">
        <v>2104</v>
      </c>
      <c r="D1611" s="7" t="s">
        <v>887</v>
      </c>
      <c r="E1611" t="s">
        <v>25</v>
      </c>
      <c r="F1611" t="s">
        <v>26</v>
      </c>
      <c r="G1611" t="s">
        <v>118</v>
      </c>
      <c r="H1611">
        <v>6</v>
      </c>
      <c r="I1611">
        <v>25.39</v>
      </c>
      <c r="J1611">
        <v>0.1</v>
      </c>
      <c r="K1611">
        <v>137.11000000000001</v>
      </c>
      <c r="L1611">
        <v>18.39</v>
      </c>
      <c r="M1611" t="s">
        <v>35</v>
      </c>
    </row>
    <row r="1612" spans="1:13" x14ac:dyDescent="0.3">
      <c r="A1612" t="s">
        <v>2964</v>
      </c>
      <c r="B1612" t="s">
        <v>29</v>
      </c>
      <c r="C1612" t="s">
        <v>691</v>
      </c>
      <c r="D1612" s="7" t="s">
        <v>462</v>
      </c>
      <c r="E1612" t="s">
        <v>64</v>
      </c>
      <c r="F1612" t="s">
        <v>33</v>
      </c>
      <c r="G1612" t="s">
        <v>34</v>
      </c>
      <c r="H1612">
        <v>5</v>
      </c>
      <c r="I1612">
        <v>29.58</v>
      </c>
      <c r="J1612">
        <v>0.15</v>
      </c>
      <c r="K1612">
        <v>125.71</v>
      </c>
      <c r="L1612">
        <v>21.29</v>
      </c>
      <c r="M1612" t="s">
        <v>20</v>
      </c>
    </row>
    <row r="1613" spans="1:13" x14ac:dyDescent="0.3">
      <c r="A1613" t="s">
        <v>2965</v>
      </c>
      <c r="B1613" t="s">
        <v>1025</v>
      </c>
      <c r="C1613" t="s">
        <v>1006</v>
      </c>
      <c r="D1613" s="7" t="s">
        <v>1224</v>
      </c>
      <c r="E1613" t="s">
        <v>32</v>
      </c>
      <c r="F1613" t="s">
        <v>26</v>
      </c>
      <c r="G1613" t="s">
        <v>27</v>
      </c>
      <c r="H1613">
        <v>8</v>
      </c>
      <c r="I1613">
        <v>163.07</v>
      </c>
      <c r="J1613">
        <v>0</v>
      </c>
      <c r="K1613">
        <v>1304.56</v>
      </c>
      <c r="L1613">
        <v>238.52</v>
      </c>
      <c r="M1613" t="s">
        <v>20</v>
      </c>
    </row>
    <row r="1614" spans="1:13" x14ac:dyDescent="0.3">
      <c r="A1614" t="s">
        <v>2966</v>
      </c>
      <c r="B1614" t="s">
        <v>1418</v>
      </c>
      <c r="C1614" t="s">
        <v>1782</v>
      </c>
      <c r="D1614" s="7" t="s">
        <v>1466</v>
      </c>
      <c r="E1614" t="s">
        <v>17</v>
      </c>
      <c r="F1614" t="s">
        <v>26</v>
      </c>
      <c r="G1614" t="s">
        <v>84</v>
      </c>
      <c r="H1614">
        <v>3</v>
      </c>
      <c r="I1614">
        <v>245.45</v>
      </c>
      <c r="J1614">
        <v>0.15</v>
      </c>
      <c r="K1614">
        <v>625.9</v>
      </c>
      <c r="L1614">
        <v>66.59</v>
      </c>
      <c r="M1614" t="s">
        <v>20</v>
      </c>
    </row>
    <row r="1615" spans="1:13" x14ac:dyDescent="0.3">
      <c r="A1615" t="s">
        <v>2967</v>
      </c>
      <c r="B1615" t="s">
        <v>523</v>
      </c>
      <c r="C1615" t="s">
        <v>1920</v>
      </c>
      <c r="D1615" s="7" t="s">
        <v>94</v>
      </c>
      <c r="E1615" t="s">
        <v>64</v>
      </c>
      <c r="F1615" t="s">
        <v>33</v>
      </c>
      <c r="G1615" t="s">
        <v>74</v>
      </c>
      <c r="H1615">
        <v>7</v>
      </c>
      <c r="I1615">
        <v>99.15</v>
      </c>
      <c r="J1615">
        <v>0.15</v>
      </c>
      <c r="K1615">
        <v>589.94000000000005</v>
      </c>
      <c r="L1615">
        <v>50.53</v>
      </c>
      <c r="M1615" t="s">
        <v>35</v>
      </c>
    </row>
    <row r="1616" spans="1:13" x14ac:dyDescent="0.3">
      <c r="A1616" t="s">
        <v>2968</v>
      </c>
      <c r="B1616" t="s">
        <v>271</v>
      </c>
      <c r="C1616" t="s">
        <v>2744</v>
      </c>
      <c r="D1616" s="7" t="s">
        <v>130</v>
      </c>
      <c r="E1616" t="s">
        <v>32</v>
      </c>
      <c r="F1616" t="s">
        <v>89</v>
      </c>
      <c r="G1616" t="s">
        <v>131</v>
      </c>
      <c r="H1616">
        <v>7</v>
      </c>
      <c r="I1616">
        <v>99.79</v>
      </c>
      <c r="J1616">
        <v>0.05</v>
      </c>
      <c r="K1616">
        <v>663.6</v>
      </c>
      <c r="L1616">
        <v>115.14</v>
      </c>
      <c r="M1616" t="s">
        <v>40</v>
      </c>
    </row>
    <row r="1617" spans="1:13" x14ac:dyDescent="0.3">
      <c r="A1617" t="s">
        <v>2969</v>
      </c>
      <c r="B1617" t="s">
        <v>798</v>
      </c>
      <c r="C1617" t="s">
        <v>890</v>
      </c>
      <c r="D1617" s="7" t="s">
        <v>1612</v>
      </c>
      <c r="E1617" t="s">
        <v>25</v>
      </c>
      <c r="F1617" t="s">
        <v>18</v>
      </c>
      <c r="G1617" t="s">
        <v>79</v>
      </c>
      <c r="H1617">
        <v>3</v>
      </c>
      <c r="I1617">
        <v>191.57</v>
      </c>
      <c r="J1617">
        <v>0.05</v>
      </c>
      <c r="K1617">
        <v>545.97</v>
      </c>
      <c r="L1617">
        <v>51.03</v>
      </c>
      <c r="M1617" t="s">
        <v>20</v>
      </c>
    </row>
    <row r="1618" spans="1:13" x14ac:dyDescent="0.3">
      <c r="A1618" t="s">
        <v>2970</v>
      </c>
      <c r="B1618" t="s">
        <v>918</v>
      </c>
      <c r="C1618" t="s">
        <v>218</v>
      </c>
      <c r="D1618" s="7" t="s">
        <v>2971</v>
      </c>
      <c r="E1618" t="s">
        <v>64</v>
      </c>
      <c r="F1618" t="s">
        <v>26</v>
      </c>
      <c r="G1618" t="s">
        <v>84</v>
      </c>
      <c r="H1618">
        <v>8</v>
      </c>
      <c r="I1618">
        <v>58.03</v>
      </c>
      <c r="J1618">
        <v>0</v>
      </c>
      <c r="K1618">
        <v>464.24</v>
      </c>
      <c r="L1618">
        <v>51.47</v>
      </c>
      <c r="M1618" t="s">
        <v>35</v>
      </c>
    </row>
    <row r="1619" spans="1:13" x14ac:dyDescent="0.3">
      <c r="A1619" t="s">
        <v>2972</v>
      </c>
      <c r="B1619" t="s">
        <v>1956</v>
      </c>
      <c r="C1619" t="s">
        <v>1802</v>
      </c>
      <c r="D1619" s="7" t="s">
        <v>2971</v>
      </c>
      <c r="E1619" t="s">
        <v>32</v>
      </c>
      <c r="F1619" t="s">
        <v>18</v>
      </c>
      <c r="G1619" t="s">
        <v>79</v>
      </c>
      <c r="H1619">
        <v>5</v>
      </c>
      <c r="I1619">
        <v>51.97</v>
      </c>
      <c r="J1619">
        <v>0.15</v>
      </c>
      <c r="K1619">
        <v>220.87</v>
      </c>
      <c r="L1619">
        <v>55.02</v>
      </c>
      <c r="M1619" t="s">
        <v>35</v>
      </c>
    </row>
    <row r="1620" spans="1:13" x14ac:dyDescent="0.3">
      <c r="A1620" t="s">
        <v>2973</v>
      </c>
      <c r="B1620" t="s">
        <v>2974</v>
      </c>
      <c r="C1620" t="s">
        <v>783</v>
      </c>
      <c r="D1620" s="7" t="s">
        <v>2413</v>
      </c>
      <c r="E1620" t="s">
        <v>59</v>
      </c>
      <c r="F1620" t="s">
        <v>18</v>
      </c>
      <c r="G1620" t="s">
        <v>79</v>
      </c>
      <c r="H1620">
        <v>6</v>
      </c>
      <c r="I1620">
        <v>123.42</v>
      </c>
      <c r="J1620">
        <v>0.15</v>
      </c>
      <c r="K1620">
        <v>629.44000000000005</v>
      </c>
      <c r="L1620">
        <v>162.94</v>
      </c>
      <c r="M1620" t="s">
        <v>20</v>
      </c>
    </row>
    <row r="1621" spans="1:13" x14ac:dyDescent="0.3">
      <c r="A1621" t="s">
        <v>2975</v>
      </c>
      <c r="B1621" t="s">
        <v>957</v>
      </c>
      <c r="C1621" t="s">
        <v>424</v>
      </c>
      <c r="D1621" s="7" t="s">
        <v>1884</v>
      </c>
      <c r="E1621" t="s">
        <v>32</v>
      </c>
      <c r="F1621" t="s">
        <v>89</v>
      </c>
      <c r="G1621" t="s">
        <v>131</v>
      </c>
      <c r="H1621">
        <v>5</v>
      </c>
      <c r="I1621">
        <v>38.26</v>
      </c>
      <c r="J1621">
        <v>0.15</v>
      </c>
      <c r="K1621">
        <v>162.6</v>
      </c>
      <c r="L1621">
        <v>38.94</v>
      </c>
      <c r="M1621" t="s">
        <v>35</v>
      </c>
    </row>
    <row r="1622" spans="1:13" x14ac:dyDescent="0.3">
      <c r="A1622" t="s">
        <v>2976</v>
      </c>
      <c r="B1622" t="s">
        <v>2974</v>
      </c>
      <c r="C1622" t="s">
        <v>1268</v>
      </c>
      <c r="D1622" s="7" t="s">
        <v>655</v>
      </c>
      <c r="E1622" t="s">
        <v>25</v>
      </c>
      <c r="F1622" t="s">
        <v>18</v>
      </c>
      <c r="G1622" t="s">
        <v>19</v>
      </c>
      <c r="H1622">
        <v>1</v>
      </c>
      <c r="I1622">
        <v>30.52</v>
      </c>
      <c r="J1622">
        <v>0</v>
      </c>
      <c r="K1622">
        <v>30.52</v>
      </c>
      <c r="L1622">
        <v>3.01</v>
      </c>
      <c r="M1622" t="s">
        <v>20</v>
      </c>
    </row>
    <row r="1623" spans="1:13" x14ac:dyDescent="0.3">
      <c r="A1623" t="s">
        <v>2977</v>
      </c>
      <c r="B1623" t="s">
        <v>771</v>
      </c>
      <c r="C1623" t="s">
        <v>2330</v>
      </c>
      <c r="D1623" s="7" t="s">
        <v>2978</v>
      </c>
      <c r="E1623" t="s">
        <v>32</v>
      </c>
      <c r="F1623" t="s">
        <v>26</v>
      </c>
      <c r="G1623" t="s">
        <v>118</v>
      </c>
      <c r="H1623">
        <v>7</v>
      </c>
      <c r="I1623">
        <v>131.97999999999999</v>
      </c>
      <c r="J1623">
        <v>0.05</v>
      </c>
      <c r="K1623">
        <v>877.67</v>
      </c>
      <c r="L1623">
        <v>145.32</v>
      </c>
      <c r="M1623" t="s">
        <v>20</v>
      </c>
    </row>
    <row r="1624" spans="1:13" x14ac:dyDescent="0.3">
      <c r="A1624" t="s">
        <v>2979</v>
      </c>
      <c r="B1624" t="s">
        <v>355</v>
      </c>
      <c r="C1624" t="s">
        <v>729</v>
      </c>
      <c r="D1624" s="7" t="s">
        <v>2980</v>
      </c>
      <c r="E1624" t="s">
        <v>64</v>
      </c>
      <c r="F1624" t="s">
        <v>89</v>
      </c>
      <c r="G1624" t="s">
        <v>150</v>
      </c>
      <c r="H1624">
        <v>6</v>
      </c>
      <c r="I1624">
        <v>85.92</v>
      </c>
      <c r="J1624">
        <v>0.1</v>
      </c>
      <c r="K1624">
        <v>463.97</v>
      </c>
      <c r="L1624">
        <v>43.6</v>
      </c>
      <c r="M1624" t="s">
        <v>40</v>
      </c>
    </row>
    <row r="1625" spans="1:13" x14ac:dyDescent="0.3">
      <c r="A1625" t="s">
        <v>2981</v>
      </c>
      <c r="B1625" t="s">
        <v>338</v>
      </c>
      <c r="C1625" t="s">
        <v>1044</v>
      </c>
      <c r="D1625" s="7" t="s">
        <v>910</v>
      </c>
      <c r="E1625" t="s">
        <v>32</v>
      </c>
      <c r="F1625" t="s">
        <v>89</v>
      </c>
      <c r="G1625" t="s">
        <v>131</v>
      </c>
      <c r="H1625">
        <v>5</v>
      </c>
      <c r="I1625">
        <v>205.69</v>
      </c>
      <c r="J1625">
        <v>0</v>
      </c>
      <c r="K1625">
        <v>1028.45</v>
      </c>
      <c r="L1625">
        <v>151.47999999999999</v>
      </c>
      <c r="M1625" t="s">
        <v>20</v>
      </c>
    </row>
    <row r="1626" spans="1:13" x14ac:dyDescent="0.3">
      <c r="A1626" t="s">
        <v>2982</v>
      </c>
      <c r="B1626" t="s">
        <v>52</v>
      </c>
      <c r="C1626" t="s">
        <v>1185</v>
      </c>
      <c r="D1626" s="7" t="s">
        <v>947</v>
      </c>
      <c r="E1626" t="s">
        <v>59</v>
      </c>
      <c r="F1626" t="s">
        <v>26</v>
      </c>
      <c r="G1626" t="s">
        <v>118</v>
      </c>
      <c r="H1626">
        <v>1</v>
      </c>
      <c r="I1626">
        <v>62.37</v>
      </c>
      <c r="J1626">
        <v>0.15</v>
      </c>
      <c r="K1626">
        <v>53.01</v>
      </c>
      <c r="L1626">
        <v>9.7899999999999991</v>
      </c>
      <c r="M1626" t="s">
        <v>20</v>
      </c>
    </row>
    <row r="1627" spans="1:13" x14ac:dyDescent="0.3">
      <c r="A1627" t="s">
        <v>2983</v>
      </c>
      <c r="B1627" t="s">
        <v>349</v>
      </c>
      <c r="C1627" t="s">
        <v>2039</v>
      </c>
      <c r="D1627" s="7" t="s">
        <v>1731</v>
      </c>
      <c r="E1627" t="s">
        <v>64</v>
      </c>
      <c r="F1627" t="s">
        <v>26</v>
      </c>
      <c r="G1627" t="s">
        <v>84</v>
      </c>
      <c r="H1627">
        <v>4</v>
      </c>
      <c r="I1627">
        <v>216.68</v>
      </c>
      <c r="J1627">
        <v>0.05</v>
      </c>
      <c r="K1627">
        <v>823.38</v>
      </c>
      <c r="L1627">
        <v>79.989999999999995</v>
      </c>
      <c r="M1627" t="s">
        <v>35</v>
      </c>
    </row>
    <row r="1628" spans="1:13" x14ac:dyDescent="0.3">
      <c r="A1628" t="s">
        <v>2984</v>
      </c>
      <c r="B1628" t="s">
        <v>915</v>
      </c>
      <c r="C1628" t="s">
        <v>272</v>
      </c>
      <c r="D1628" s="7" t="s">
        <v>2669</v>
      </c>
      <c r="E1628" t="s">
        <v>59</v>
      </c>
      <c r="F1628" t="s">
        <v>89</v>
      </c>
      <c r="G1628" t="s">
        <v>131</v>
      </c>
      <c r="H1628">
        <v>1</v>
      </c>
      <c r="I1628">
        <v>104.81</v>
      </c>
      <c r="J1628">
        <v>0.1</v>
      </c>
      <c r="K1628">
        <v>94.33</v>
      </c>
      <c r="L1628">
        <v>27.47</v>
      </c>
      <c r="M1628" t="s">
        <v>35</v>
      </c>
    </row>
    <row r="1629" spans="1:13" x14ac:dyDescent="0.3">
      <c r="A1629" t="s">
        <v>2985</v>
      </c>
      <c r="B1629" t="s">
        <v>22</v>
      </c>
      <c r="C1629" t="s">
        <v>1922</v>
      </c>
      <c r="D1629" s="7" t="s">
        <v>1347</v>
      </c>
      <c r="E1629" t="s">
        <v>25</v>
      </c>
      <c r="F1629" t="s">
        <v>89</v>
      </c>
      <c r="G1629" t="s">
        <v>131</v>
      </c>
      <c r="H1629">
        <v>6</v>
      </c>
      <c r="I1629">
        <v>140.5</v>
      </c>
      <c r="J1629">
        <v>0.15</v>
      </c>
      <c r="K1629">
        <v>716.55</v>
      </c>
      <c r="L1629">
        <v>87.41</v>
      </c>
      <c r="M1629" t="s">
        <v>40</v>
      </c>
    </row>
    <row r="1630" spans="1:13" x14ac:dyDescent="0.3">
      <c r="A1630" t="s">
        <v>2986</v>
      </c>
      <c r="B1630" t="s">
        <v>483</v>
      </c>
      <c r="C1630" t="s">
        <v>1030</v>
      </c>
      <c r="D1630" s="7" t="s">
        <v>2271</v>
      </c>
      <c r="E1630" t="s">
        <v>32</v>
      </c>
      <c r="F1630" t="s">
        <v>26</v>
      </c>
      <c r="G1630" t="s">
        <v>84</v>
      </c>
      <c r="H1630">
        <v>2</v>
      </c>
      <c r="I1630">
        <v>238.65</v>
      </c>
      <c r="J1630">
        <v>0.15</v>
      </c>
      <c r="K1630">
        <v>405.7</v>
      </c>
      <c r="L1630">
        <v>67.61</v>
      </c>
      <c r="M1630" t="s">
        <v>20</v>
      </c>
    </row>
    <row r="1631" spans="1:13" x14ac:dyDescent="0.3">
      <c r="A1631" t="s">
        <v>2987</v>
      </c>
      <c r="B1631" t="s">
        <v>388</v>
      </c>
      <c r="C1631" t="s">
        <v>1145</v>
      </c>
      <c r="D1631" s="7" t="s">
        <v>1362</v>
      </c>
      <c r="E1631" t="s">
        <v>64</v>
      </c>
      <c r="F1631" t="s">
        <v>18</v>
      </c>
      <c r="G1631" t="s">
        <v>79</v>
      </c>
      <c r="H1631">
        <v>8</v>
      </c>
      <c r="I1631">
        <v>104.53</v>
      </c>
      <c r="J1631">
        <v>0</v>
      </c>
      <c r="K1631">
        <v>836.24</v>
      </c>
      <c r="L1631">
        <v>149.72</v>
      </c>
      <c r="M1631" t="s">
        <v>35</v>
      </c>
    </row>
    <row r="1632" spans="1:13" x14ac:dyDescent="0.3">
      <c r="A1632" t="s">
        <v>2988</v>
      </c>
      <c r="B1632" t="s">
        <v>1216</v>
      </c>
      <c r="C1632" t="s">
        <v>514</v>
      </c>
      <c r="D1632" s="7" t="s">
        <v>2413</v>
      </c>
      <c r="E1632" t="s">
        <v>64</v>
      </c>
      <c r="F1632" t="s">
        <v>89</v>
      </c>
      <c r="G1632" t="s">
        <v>150</v>
      </c>
      <c r="H1632">
        <v>7</v>
      </c>
      <c r="I1632">
        <v>109.43</v>
      </c>
      <c r="J1632">
        <v>0</v>
      </c>
      <c r="K1632">
        <v>766.01</v>
      </c>
      <c r="L1632">
        <v>92.81</v>
      </c>
      <c r="M1632" t="s">
        <v>40</v>
      </c>
    </row>
    <row r="1633" spans="1:13" x14ac:dyDescent="0.3">
      <c r="A1633" t="s">
        <v>2989</v>
      </c>
      <c r="B1633" t="s">
        <v>275</v>
      </c>
      <c r="C1633" t="s">
        <v>1373</v>
      </c>
      <c r="D1633" s="7" t="s">
        <v>868</v>
      </c>
      <c r="E1633" t="s">
        <v>59</v>
      </c>
      <c r="F1633" t="s">
        <v>33</v>
      </c>
      <c r="G1633" t="s">
        <v>69</v>
      </c>
      <c r="H1633">
        <v>8</v>
      </c>
      <c r="I1633">
        <v>64.03</v>
      </c>
      <c r="J1633">
        <v>0.15</v>
      </c>
      <c r="K1633">
        <v>435.4</v>
      </c>
      <c r="L1633">
        <v>79.55</v>
      </c>
      <c r="M1633" t="s">
        <v>35</v>
      </c>
    </row>
    <row r="1634" spans="1:13" x14ac:dyDescent="0.3">
      <c r="A1634" t="s">
        <v>2990</v>
      </c>
      <c r="B1634" t="s">
        <v>1155</v>
      </c>
      <c r="C1634" t="s">
        <v>1894</v>
      </c>
      <c r="D1634" s="7" t="s">
        <v>2087</v>
      </c>
      <c r="E1634" t="s">
        <v>59</v>
      </c>
      <c r="F1634" t="s">
        <v>26</v>
      </c>
      <c r="G1634" t="s">
        <v>84</v>
      </c>
      <c r="H1634">
        <v>7</v>
      </c>
      <c r="I1634">
        <v>235.15</v>
      </c>
      <c r="J1634">
        <v>0.05</v>
      </c>
      <c r="K1634">
        <v>1563.75</v>
      </c>
      <c r="L1634">
        <v>289.51</v>
      </c>
      <c r="M1634" t="s">
        <v>40</v>
      </c>
    </row>
    <row r="1635" spans="1:13" x14ac:dyDescent="0.3">
      <c r="A1635" t="s">
        <v>2991</v>
      </c>
      <c r="B1635" t="s">
        <v>1136</v>
      </c>
      <c r="C1635" t="s">
        <v>1299</v>
      </c>
      <c r="D1635" s="7" t="s">
        <v>94</v>
      </c>
      <c r="E1635" t="s">
        <v>59</v>
      </c>
      <c r="F1635" t="s">
        <v>33</v>
      </c>
      <c r="G1635" t="s">
        <v>69</v>
      </c>
      <c r="H1635">
        <v>7</v>
      </c>
      <c r="I1635">
        <v>192.32</v>
      </c>
      <c r="J1635">
        <v>0.1</v>
      </c>
      <c r="K1635">
        <v>1211.6199999999999</v>
      </c>
      <c r="L1635">
        <v>227.72</v>
      </c>
      <c r="M1635" t="s">
        <v>40</v>
      </c>
    </row>
    <row r="1636" spans="1:13" x14ac:dyDescent="0.3">
      <c r="A1636" t="s">
        <v>2992</v>
      </c>
      <c r="B1636" t="s">
        <v>104</v>
      </c>
      <c r="C1636" t="s">
        <v>1744</v>
      </c>
      <c r="D1636" s="7" t="s">
        <v>406</v>
      </c>
      <c r="E1636" t="s">
        <v>32</v>
      </c>
      <c r="F1636" t="s">
        <v>18</v>
      </c>
      <c r="G1636" t="s">
        <v>45</v>
      </c>
      <c r="H1636">
        <v>8</v>
      </c>
      <c r="I1636">
        <v>208.94</v>
      </c>
      <c r="J1636">
        <v>0</v>
      </c>
      <c r="K1636">
        <v>1671.52</v>
      </c>
      <c r="L1636">
        <v>336.02</v>
      </c>
      <c r="M1636" t="s">
        <v>20</v>
      </c>
    </row>
    <row r="1637" spans="1:13" x14ac:dyDescent="0.3">
      <c r="A1637" t="s">
        <v>2993</v>
      </c>
      <c r="B1637" t="s">
        <v>530</v>
      </c>
      <c r="C1637" t="s">
        <v>77</v>
      </c>
      <c r="D1637" s="7" t="s">
        <v>968</v>
      </c>
      <c r="E1637" t="s">
        <v>17</v>
      </c>
      <c r="F1637" t="s">
        <v>33</v>
      </c>
      <c r="G1637" t="s">
        <v>74</v>
      </c>
      <c r="H1637">
        <v>3</v>
      </c>
      <c r="I1637">
        <v>96.79</v>
      </c>
      <c r="J1637">
        <v>0.15</v>
      </c>
      <c r="K1637">
        <v>246.81</v>
      </c>
      <c r="L1637">
        <v>37.69</v>
      </c>
      <c r="M1637" t="s">
        <v>40</v>
      </c>
    </row>
    <row r="1638" spans="1:13" x14ac:dyDescent="0.3">
      <c r="A1638" t="s">
        <v>2994</v>
      </c>
      <c r="B1638" t="s">
        <v>1105</v>
      </c>
      <c r="C1638" t="s">
        <v>737</v>
      </c>
      <c r="D1638" s="7" t="s">
        <v>31</v>
      </c>
      <c r="E1638" t="s">
        <v>17</v>
      </c>
      <c r="F1638" t="s">
        <v>18</v>
      </c>
      <c r="G1638" t="s">
        <v>45</v>
      </c>
      <c r="H1638">
        <v>3</v>
      </c>
      <c r="I1638">
        <v>50.92</v>
      </c>
      <c r="J1638">
        <v>0.05</v>
      </c>
      <c r="K1638">
        <v>145.12</v>
      </c>
      <c r="L1638">
        <v>14.87</v>
      </c>
      <c r="M1638" t="s">
        <v>40</v>
      </c>
    </row>
    <row r="1639" spans="1:13" x14ac:dyDescent="0.3">
      <c r="A1639" t="s">
        <v>2995</v>
      </c>
      <c r="B1639" t="s">
        <v>2223</v>
      </c>
      <c r="C1639" t="s">
        <v>654</v>
      </c>
      <c r="D1639" s="7" t="s">
        <v>1910</v>
      </c>
      <c r="E1639" t="s">
        <v>25</v>
      </c>
      <c r="F1639" t="s">
        <v>33</v>
      </c>
      <c r="G1639" t="s">
        <v>69</v>
      </c>
      <c r="H1639">
        <v>3</v>
      </c>
      <c r="I1639">
        <v>246.53</v>
      </c>
      <c r="J1639">
        <v>0</v>
      </c>
      <c r="K1639">
        <v>739.59</v>
      </c>
      <c r="L1639">
        <v>216.97</v>
      </c>
      <c r="M1639" t="s">
        <v>20</v>
      </c>
    </row>
    <row r="1640" spans="1:13" x14ac:dyDescent="0.3">
      <c r="A1640" t="s">
        <v>2996</v>
      </c>
      <c r="B1640" t="s">
        <v>108</v>
      </c>
      <c r="C1640" t="s">
        <v>640</v>
      </c>
      <c r="D1640" s="7" t="s">
        <v>976</v>
      </c>
      <c r="E1640" t="s">
        <v>59</v>
      </c>
      <c r="F1640" t="s">
        <v>33</v>
      </c>
      <c r="G1640" t="s">
        <v>69</v>
      </c>
      <c r="H1640">
        <v>8</v>
      </c>
      <c r="I1640">
        <v>89.36</v>
      </c>
      <c r="J1640">
        <v>0.1</v>
      </c>
      <c r="K1640">
        <v>643.39</v>
      </c>
      <c r="L1640">
        <v>51.67</v>
      </c>
      <c r="M1640" t="s">
        <v>35</v>
      </c>
    </row>
    <row r="1641" spans="1:13" x14ac:dyDescent="0.3">
      <c r="A1641" t="s">
        <v>2997</v>
      </c>
      <c r="B1641" t="s">
        <v>1684</v>
      </c>
      <c r="C1641" t="s">
        <v>226</v>
      </c>
      <c r="D1641" s="7" t="s">
        <v>1466</v>
      </c>
      <c r="E1641" t="s">
        <v>25</v>
      </c>
      <c r="F1641" t="s">
        <v>26</v>
      </c>
      <c r="G1641" t="s">
        <v>118</v>
      </c>
      <c r="H1641">
        <v>3</v>
      </c>
      <c r="I1641">
        <v>199.07</v>
      </c>
      <c r="J1641">
        <v>0.15</v>
      </c>
      <c r="K1641">
        <v>507.63</v>
      </c>
      <c r="L1641">
        <v>73.23</v>
      </c>
      <c r="M1641" t="s">
        <v>35</v>
      </c>
    </row>
    <row r="1642" spans="1:13" x14ac:dyDescent="0.3">
      <c r="A1642" t="s">
        <v>2998</v>
      </c>
      <c r="B1642" t="s">
        <v>924</v>
      </c>
      <c r="C1642" t="s">
        <v>160</v>
      </c>
      <c r="D1642" s="7" t="s">
        <v>117</v>
      </c>
      <c r="E1642" t="s">
        <v>64</v>
      </c>
      <c r="F1642" t="s">
        <v>26</v>
      </c>
      <c r="G1642" t="s">
        <v>84</v>
      </c>
      <c r="H1642">
        <v>3</v>
      </c>
      <c r="I1642">
        <v>172.1</v>
      </c>
      <c r="J1642">
        <v>0.05</v>
      </c>
      <c r="K1642">
        <v>490.48</v>
      </c>
      <c r="L1642">
        <v>128.69</v>
      </c>
      <c r="M1642" t="s">
        <v>35</v>
      </c>
    </row>
    <row r="1643" spans="1:13" x14ac:dyDescent="0.3">
      <c r="A1643" t="s">
        <v>2999</v>
      </c>
      <c r="B1643" t="s">
        <v>349</v>
      </c>
      <c r="C1643" t="s">
        <v>2482</v>
      </c>
      <c r="D1643" s="7" t="s">
        <v>1475</v>
      </c>
      <c r="E1643" t="s">
        <v>17</v>
      </c>
      <c r="F1643" t="s">
        <v>33</v>
      </c>
      <c r="G1643" t="s">
        <v>69</v>
      </c>
      <c r="H1643">
        <v>8</v>
      </c>
      <c r="I1643">
        <v>155.69999999999999</v>
      </c>
      <c r="J1643">
        <v>0.1</v>
      </c>
      <c r="K1643">
        <v>1121.04</v>
      </c>
      <c r="L1643">
        <v>205.18</v>
      </c>
      <c r="M1643" t="s">
        <v>20</v>
      </c>
    </row>
    <row r="1644" spans="1:13" x14ac:dyDescent="0.3">
      <c r="A1644" t="s">
        <v>3000</v>
      </c>
      <c r="B1644" t="s">
        <v>457</v>
      </c>
      <c r="C1644" t="s">
        <v>1990</v>
      </c>
      <c r="D1644" s="7" t="s">
        <v>1600</v>
      </c>
      <c r="E1644" t="s">
        <v>64</v>
      </c>
      <c r="F1644" t="s">
        <v>26</v>
      </c>
      <c r="G1644" t="s">
        <v>118</v>
      </c>
      <c r="H1644">
        <v>8</v>
      </c>
      <c r="I1644">
        <v>133.41</v>
      </c>
      <c r="J1644">
        <v>0.15</v>
      </c>
      <c r="K1644">
        <v>907.19</v>
      </c>
      <c r="L1644">
        <v>171.08</v>
      </c>
      <c r="M1644" t="s">
        <v>20</v>
      </c>
    </row>
    <row r="1645" spans="1:13" x14ac:dyDescent="0.3">
      <c r="A1645" t="s">
        <v>3001</v>
      </c>
      <c r="B1645" t="s">
        <v>1384</v>
      </c>
      <c r="C1645" t="s">
        <v>980</v>
      </c>
      <c r="D1645" s="7" t="s">
        <v>1856</v>
      </c>
      <c r="E1645" t="s">
        <v>32</v>
      </c>
      <c r="F1645" t="s">
        <v>33</v>
      </c>
      <c r="G1645" t="s">
        <v>69</v>
      </c>
      <c r="H1645">
        <v>4</v>
      </c>
      <c r="I1645">
        <v>156.13</v>
      </c>
      <c r="J1645">
        <v>0.05</v>
      </c>
      <c r="K1645">
        <v>593.29</v>
      </c>
      <c r="L1645">
        <v>119.69</v>
      </c>
      <c r="M1645" t="s">
        <v>35</v>
      </c>
    </row>
    <row r="1646" spans="1:13" x14ac:dyDescent="0.3">
      <c r="A1646" t="s">
        <v>3002</v>
      </c>
      <c r="B1646" t="s">
        <v>1657</v>
      </c>
      <c r="C1646" t="s">
        <v>1747</v>
      </c>
      <c r="D1646" s="7" t="s">
        <v>1889</v>
      </c>
      <c r="E1646" t="s">
        <v>32</v>
      </c>
      <c r="F1646" t="s">
        <v>89</v>
      </c>
      <c r="G1646" t="s">
        <v>150</v>
      </c>
      <c r="H1646">
        <v>7</v>
      </c>
      <c r="I1646">
        <v>23.16</v>
      </c>
      <c r="J1646">
        <v>0</v>
      </c>
      <c r="K1646">
        <v>162.12</v>
      </c>
      <c r="L1646">
        <v>37.15</v>
      </c>
      <c r="M1646" t="s">
        <v>35</v>
      </c>
    </row>
    <row r="1647" spans="1:13" x14ac:dyDescent="0.3">
      <c r="A1647" t="s">
        <v>3003</v>
      </c>
      <c r="B1647" t="s">
        <v>1335</v>
      </c>
      <c r="C1647" t="s">
        <v>243</v>
      </c>
      <c r="D1647" s="7" t="s">
        <v>296</v>
      </c>
      <c r="E1647" t="s">
        <v>17</v>
      </c>
      <c r="F1647" t="s">
        <v>33</v>
      </c>
      <c r="G1647" t="s">
        <v>50</v>
      </c>
      <c r="H1647">
        <v>1</v>
      </c>
      <c r="I1647">
        <v>109.12</v>
      </c>
      <c r="J1647">
        <v>0</v>
      </c>
      <c r="K1647">
        <v>109.12</v>
      </c>
      <c r="L1647">
        <v>23.43</v>
      </c>
      <c r="M1647" t="s">
        <v>20</v>
      </c>
    </row>
    <row r="1648" spans="1:13" x14ac:dyDescent="0.3">
      <c r="A1648" t="s">
        <v>3004</v>
      </c>
      <c r="B1648" t="s">
        <v>970</v>
      </c>
      <c r="C1648" t="s">
        <v>2416</v>
      </c>
      <c r="D1648" s="7" t="s">
        <v>2413</v>
      </c>
      <c r="E1648" t="s">
        <v>59</v>
      </c>
      <c r="F1648" t="s">
        <v>33</v>
      </c>
      <c r="G1648" t="s">
        <v>69</v>
      </c>
      <c r="H1648">
        <v>1</v>
      </c>
      <c r="I1648">
        <v>178.65</v>
      </c>
      <c r="J1648">
        <v>0.15</v>
      </c>
      <c r="K1648">
        <v>151.85</v>
      </c>
      <c r="L1648">
        <v>44.67</v>
      </c>
      <c r="M1648" t="s">
        <v>35</v>
      </c>
    </row>
    <row r="1649" spans="1:13" x14ac:dyDescent="0.3">
      <c r="A1649" t="s">
        <v>3005</v>
      </c>
      <c r="B1649" t="s">
        <v>2572</v>
      </c>
      <c r="C1649" t="s">
        <v>897</v>
      </c>
      <c r="D1649" s="7" t="s">
        <v>63</v>
      </c>
      <c r="E1649" t="s">
        <v>64</v>
      </c>
      <c r="F1649" t="s">
        <v>33</v>
      </c>
      <c r="G1649" t="s">
        <v>34</v>
      </c>
      <c r="H1649">
        <v>6</v>
      </c>
      <c r="I1649">
        <v>66.430000000000007</v>
      </c>
      <c r="J1649">
        <v>0</v>
      </c>
      <c r="K1649">
        <v>398.58</v>
      </c>
      <c r="L1649">
        <v>56.42</v>
      </c>
      <c r="M1649" t="s">
        <v>40</v>
      </c>
    </row>
    <row r="1650" spans="1:13" x14ac:dyDescent="0.3">
      <c r="A1650" t="s">
        <v>3006</v>
      </c>
      <c r="B1650" t="s">
        <v>760</v>
      </c>
      <c r="C1650" t="s">
        <v>196</v>
      </c>
      <c r="D1650" s="7" t="s">
        <v>414</v>
      </c>
      <c r="E1650" t="s">
        <v>32</v>
      </c>
      <c r="F1650" t="s">
        <v>89</v>
      </c>
      <c r="G1650" t="s">
        <v>90</v>
      </c>
      <c r="H1650">
        <v>7</v>
      </c>
      <c r="I1650">
        <v>242.94</v>
      </c>
      <c r="J1650">
        <v>0</v>
      </c>
      <c r="K1650">
        <v>1700.58</v>
      </c>
      <c r="L1650">
        <v>285.89999999999998</v>
      </c>
      <c r="M1650" t="s">
        <v>35</v>
      </c>
    </row>
    <row r="1651" spans="1:13" x14ac:dyDescent="0.3">
      <c r="A1651" t="s">
        <v>3007</v>
      </c>
      <c r="B1651" t="s">
        <v>1489</v>
      </c>
      <c r="C1651" t="s">
        <v>1102</v>
      </c>
      <c r="D1651" s="7" t="s">
        <v>390</v>
      </c>
      <c r="E1651" t="s">
        <v>32</v>
      </c>
      <c r="F1651" t="s">
        <v>18</v>
      </c>
      <c r="G1651" t="s">
        <v>45</v>
      </c>
      <c r="H1651">
        <v>7</v>
      </c>
      <c r="I1651">
        <v>105.1</v>
      </c>
      <c r="J1651">
        <v>0.1</v>
      </c>
      <c r="K1651">
        <v>662.13</v>
      </c>
      <c r="L1651">
        <v>110.9</v>
      </c>
      <c r="M1651" t="s">
        <v>35</v>
      </c>
    </row>
    <row r="1652" spans="1:13" x14ac:dyDescent="0.3">
      <c r="A1652" t="s">
        <v>3008</v>
      </c>
      <c r="B1652" t="s">
        <v>2223</v>
      </c>
      <c r="C1652" t="s">
        <v>2111</v>
      </c>
      <c r="D1652" s="7" t="s">
        <v>205</v>
      </c>
      <c r="E1652" t="s">
        <v>64</v>
      </c>
      <c r="F1652" t="s">
        <v>33</v>
      </c>
      <c r="G1652" t="s">
        <v>34</v>
      </c>
      <c r="H1652">
        <v>6</v>
      </c>
      <c r="I1652">
        <v>189.3</v>
      </c>
      <c r="J1652">
        <v>0.05</v>
      </c>
      <c r="K1652">
        <v>1079.01</v>
      </c>
      <c r="L1652">
        <v>91.92</v>
      </c>
      <c r="M1652" t="s">
        <v>35</v>
      </c>
    </row>
    <row r="1653" spans="1:13" x14ac:dyDescent="0.3">
      <c r="A1653" t="s">
        <v>3009</v>
      </c>
      <c r="B1653" t="s">
        <v>1025</v>
      </c>
      <c r="C1653" t="s">
        <v>2537</v>
      </c>
      <c r="D1653" s="7" t="s">
        <v>186</v>
      </c>
      <c r="E1653" t="s">
        <v>17</v>
      </c>
      <c r="F1653" t="s">
        <v>18</v>
      </c>
      <c r="G1653" t="s">
        <v>19</v>
      </c>
      <c r="H1653">
        <v>2</v>
      </c>
      <c r="I1653">
        <v>122.28</v>
      </c>
      <c r="J1653">
        <v>0.1</v>
      </c>
      <c r="K1653">
        <v>220.1</v>
      </c>
      <c r="L1653">
        <v>39.65</v>
      </c>
      <c r="M1653" t="s">
        <v>35</v>
      </c>
    </row>
    <row r="1654" spans="1:13" x14ac:dyDescent="0.3">
      <c r="A1654" t="s">
        <v>3010</v>
      </c>
      <c r="B1654" t="s">
        <v>798</v>
      </c>
      <c r="C1654" t="s">
        <v>1635</v>
      </c>
      <c r="D1654" s="7" t="s">
        <v>383</v>
      </c>
      <c r="E1654" t="s">
        <v>17</v>
      </c>
      <c r="F1654" t="s">
        <v>18</v>
      </c>
      <c r="G1654" t="s">
        <v>19</v>
      </c>
      <c r="H1654">
        <v>6</v>
      </c>
      <c r="I1654">
        <v>46.66</v>
      </c>
      <c r="J1654">
        <v>0</v>
      </c>
      <c r="K1654">
        <v>279.95999999999998</v>
      </c>
      <c r="L1654">
        <v>24.01</v>
      </c>
      <c r="M1654" t="s">
        <v>40</v>
      </c>
    </row>
    <row r="1655" spans="1:13" x14ac:dyDescent="0.3">
      <c r="A1655" t="s">
        <v>3011</v>
      </c>
      <c r="B1655" t="s">
        <v>2627</v>
      </c>
      <c r="C1655" t="s">
        <v>831</v>
      </c>
      <c r="D1655" s="7" t="s">
        <v>2130</v>
      </c>
      <c r="E1655" t="s">
        <v>59</v>
      </c>
      <c r="F1655" t="s">
        <v>89</v>
      </c>
      <c r="G1655" t="s">
        <v>90</v>
      </c>
      <c r="H1655">
        <v>7</v>
      </c>
      <c r="I1655">
        <v>157</v>
      </c>
      <c r="J1655">
        <v>0.05</v>
      </c>
      <c r="K1655">
        <v>1044.05</v>
      </c>
      <c r="L1655">
        <v>118.01</v>
      </c>
      <c r="M1655" t="s">
        <v>35</v>
      </c>
    </row>
    <row r="1656" spans="1:13" x14ac:dyDescent="0.3">
      <c r="A1656" t="s">
        <v>3012</v>
      </c>
      <c r="B1656" t="s">
        <v>1609</v>
      </c>
      <c r="C1656" t="s">
        <v>863</v>
      </c>
      <c r="D1656" s="7" t="s">
        <v>965</v>
      </c>
      <c r="E1656" t="s">
        <v>32</v>
      </c>
      <c r="F1656" t="s">
        <v>26</v>
      </c>
      <c r="G1656" t="s">
        <v>27</v>
      </c>
      <c r="H1656">
        <v>2</v>
      </c>
      <c r="I1656">
        <v>80.760000000000005</v>
      </c>
      <c r="J1656">
        <v>0.15</v>
      </c>
      <c r="K1656">
        <v>137.29</v>
      </c>
      <c r="L1656">
        <v>20.11</v>
      </c>
      <c r="M1656" t="s">
        <v>35</v>
      </c>
    </row>
    <row r="1657" spans="1:13" x14ac:dyDescent="0.3">
      <c r="A1657" t="s">
        <v>3013</v>
      </c>
      <c r="B1657" t="s">
        <v>493</v>
      </c>
      <c r="C1657" t="s">
        <v>440</v>
      </c>
      <c r="D1657" s="7" t="s">
        <v>1308</v>
      </c>
      <c r="E1657" t="s">
        <v>64</v>
      </c>
      <c r="F1657" t="s">
        <v>89</v>
      </c>
      <c r="G1657" t="s">
        <v>90</v>
      </c>
      <c r="H1657">
        <v>4</v>
      </c>
      <c r="I1657">
        <v>148.35</v>
      </c>
      <c r="J1657">
        <v>0.05</v>
      </c>
      <c r="K1657">
        <v>563.73</v>
      </c>
      <c r="L1657">
        <v>48.74</v>
      </c>
      <c r="M1657" t="s">
        <v>20</v>
      </c>
    </row>
    <row r="1658" spans="1:13" x14ac:dyDescent="0.3">
      <c r="A1658" t="s">
        <v>3014</v>
      </c>
      <c r="B1658" t="s">
        <v>1018</v>
      </c>
      <c r="C1658" t="s">
        <v>1327</v>
      </c>
      <c r="D1658" s="7" t="s">
        <v>3015</v>
      </c>
      <c r="E1658" t="s">
        <v>64</v>
      </c>
      <c r="F1658" t="s">
        <v>18</v>
      </c>
      <c r="G1658" t="s">
        <v>79</v>
      </c>
      <c r="H1658">
        <v>1</v>
      </c>
      <c r="I1658">
        <v>232.37</v>
      </c>
      <c r="J1658">
        <v>0.05</v>
      </c>
      <c r="K1658">
        <v>220.75</v>
      </c>
      <c r="L1658">
        <v>37.96</v>
      </c>
      <c r="M1658" t="s">
        <v>20</v>
      </c>
    </row>
    <row r="1659" spans="1:13" x14ac:dyDescent="0.3">
      <c r="A1659" t="s">
        <v>3016</v>
      </c>
      <c r="B1659" t="s">
        <v>1805</v>
      </c>
      <c r="C1659" t="s">
        <v>174</v>
      </c>
      <c r="D1659" s="7" t="s">
        <v>2619</v>
      </c>
      <c r="E1659" t="s">
        <v>64</v>
      </c>
      <c r="F1659" t="s">
        <v>33</v>
      </c>
      <c r="G1659" t="s">
        <v>74</v>
      </c>
      <c r="H1659">
        <v>1</v>
      </c>
      <c r="I1659">
        <v>36.65</v>
      </c>
      <c r="J1659">
        <v>0.1</v>
      </c>
      <c r="K1659">
        <v>32.979999999999997</v>
      </c>
      <c r="L1659">
        <v>3.12</v>
      </c>
      <c r="M1659" t="s">
        <v>35</v>
      </c>
    </row>
    <row r="1660" spans="1:13" x14ac:dyDescent="0.3">
      <c r="A1660" t="s">
        <v>3017</v>
      </c>
      <c r="B1660" t="s">
        <v>749</v>
      </c>
      <c r="C1660" t="s">
        <v>1074</v>
      </c>
      <c r="D1660" s="7" t="s">
        <v>2462</v>
      </c>
      <c r="E1660" t="s">
        <v>32</v>
      </c>
      <c r="F1660" t="s">
        <v>33</v>
      </c>
      <c r="G1660" t="s">
        <v>69</v>
      </c>
      <c r="H1660">
        <v>4</v>
      </c>
      <c r="I1660">
        <v>33.49</v>
      </c>
      <c r="J1660">
        <v>0</v>
      </c>
      <c r="K1660">
        <v>133.96</v>
      </c>
      <c r="L1660">
        <v>14.92</v>
      </c>
      <c r="M1660" t="s">
        <v>20</v>
      </c>
    </row>
    <row r="1661" spans="1:13" x14ac:dyDescent="0.3">
      <c r="A1661" t="s">
        <v>3018</v>
      </c>
      <c r="B1661" t="s">
        <v>412</v>
      </c>
      <c r="C1661" t="s">
        <v>276</v>
      </c>
      <c r="D1661" s="7" t="s">
        <v>550</v>
      </c>
      <c r="E1661" t="s">
        <v>64</v>
      </c>
      <c r="F1661" t="s">
        <v>33</v>
      </c>
      <c r="G1661" t="s">
        <v>69</v>
      </c>
      <c r="H1661">
        <v>8</v>
      </c>
      <c r="I1661">
        <v>24.44</v>
      </c>
      <c r="J1661">
        <v>0.1</v>
      </c>
      <c r="K1661">
        <v>175.97</v>
      </c>
      <c r="L1661">
        <v>46.87</v>
      </c>
      <c r="M1661" t="s">
        <v>35</v>
      </c>
    </row>
    <row r="1662" spans="1:13" x14ac:dyDescent="0.3">
      <c r="A1662" t="s">
        <v>3019</v>
      </c>
      <c r="B1662" t="s">
        <v>1112</v>
      </c>
      <c r="C1662" t="s">
        <v>2135</v>
      </c>
      <c r="D1662" s="7" t="s">
        <v>269</v>
      </c>
      <c r="E1662" t="s">
        <v>17</v>
      </c>
      <c r="F1662" t="s">
        <v>33</v>
      </c>
      <c r="G1662" t="s">
        <v>50</v>
      </c>
      <c r="H1662">
        <v>7</v>
      </c>
      <c r="I1662">
        <v>137.69</v>
      </c>
      <c r="J1662">
        <v>0</v>
      </c>
      <c r="K1662">
        <v>963.83</v>
      </c>
      <c r="L1662">
        <v>281.26</v>
      </c>
      <c r="M1662" t="s">
        <v>40</v>
      </c>
    </row>
    <row r="1663" spans="1:13" x14ac:dyDescent="0.3">
      <c r="A1663" t="s">
        <v>3020</v>
      </c>
      <c r="B1663" t="s">
        <v>412</v>
      </c>
      <c r="C1663" t="s">
        <v>1006</v>
      </c>
      <c r="D1663" s="7" t="s">
        <v>3021</v>
      </c>
      <c r="E1663" t="s">
        <v>25</v>
      </c>
      <c r="F1663" t="s">
        <v>33</v>
      </c>
      <c r="G1663" t="s">
        <v>50</v>
      </c>
      <c r="H1663">
        <v>4</v>
      </c>
      <c r="I1663">
        <v>225.46</v>
      </c>
      <c r="J1663">
        <v>0.05</v>
      </c>
      <c r="K1663">
        <v>856.75</v>
      </c>
      <c r="L1663">
        <v>165.84</v>
      </c>
      <c r="M1663" t="s">
        <v>35</v>
      </c>
    </row>
    <row r="1664" spans="1:13" x14ac:dyDescent="0.3">
      <c r="A1664" t="s">
        <v>3022</v>
      </c>
      <c r="B1664" t="s">
        <v>252</v>
      </c>
      <c r="C1664" t="s">
        <v>668</v>
      </c>
      <c r="D1664" s="7" t="s">
        <v>3023</v>
      </c>
      <c r="E1664" t="s">
        <v>32</v>
      </c>
      <c r="F1664" t="s">
        <v>33</v>
      </c>
      <c r="G1664" t="s">
        <v>69</v>
      </c>
      <c r="H1664">
        <v>6</v>
      </c>
      <c r="I1664">
        <v>36.82</v>
      </c>
      <c r="J1664">
        <v>0</v>
      </c>
      <c r="K1664">
        <v>220.92</v>
      </c>
      <c r="L1664">
        <v>18.7</v>
      </c>
      <c r="M1664" t="s">
        <v>40</v>
      </c>
    </row>
    <row r="1665" spans="1:13" x14ac:dyDescent="0.3">
      <c r="A1665" t="s">
        <v>3024</v>
      </c>
      <c r="B1665" t="s">
        <v>1696</v>
      </c>
      <c r="C1665" t="s">
        <v>1385</v>
      </c>
      <c r="D1665" s="7" t="s">
        <v>1224</v>
      </c>
      <c r="E1665" t="s">
        <v>59</v>
      </c>
      <c r="F1665" t="s">
        <v>18</v>
      </c>
      <c r="G1665" t="s">
        <v>45</v>
      </c>
      <c r="H1665">
        <v>3</v>
      </c>
      <c r="I1665">
        <v>169.43</v>
      </c>
      <c r="J1665">
        <v>0.15</v>
      </c>
      <c r="K1665">
        <v>432.05</v>
      </c>
      <c r="L1665">
        <v>36.32</v>
      </c>
      <c r="M1665" t="s">
        <v>20</v>
      </c>
    </row>
    <row r="1666" spans="1:13" x14ac:dyDescent="0.3">
      <c r="A1666" t="s">
        <v>3025</v>
      </c>
      <c r="B1666" t="s">
        <v>712</v>
      </c>
      <c r="C1666" t="s">
        <v>1110</v>
      </c>
      <c r="D1666" s="7" t="s">
        <v>2118</v>
      </c>
      <c r="E1666" t="s">
        <v>32</v>
      </c>
      <c r="F1666" t="s">
        <v>26</v>
      </c>
      <c r="G1666" t="s">
        <v>118</v>
      </c>
      <c r="H1666">
        <v>7</v>
      </c>
      <c r="I1666">
        <v>132.66999999999999</v>
      </c>
      <c r="J1666">
        <v>0.05</v>
      </c>
      <c r="K1666">
        <v>882.26</v>
      </c>
      <c r="L1666">
        <v>226.87</v>
      </c>
      <c r="M1666" t="s">
        <v>40</v>
      </c>
    </row>
    <row r="1667" spans="1:13" x14ac:dyDescent="0.3">
      <c r="A1667" t="s">
        <v>3026</v>
      </c>
      <c r="B1667" t="s">
        <v>850</v>
      </c>
      <c r="C1667" t="s">
        <v>1433</v>
      </c>
      <c r="D1667" s="7" t="s">
        <v>1001</v>
      </c>
      <c r="E1667" t="s">
        <v>25</v>
      </c>
      <c r="F1667" t="s">
        <v>33</v>
      </c>
      <c r="G1667" t="s">
        <v>50</v>
      </c>
      <c r="H1667">
        <v>8</v>
      </c>
      <c r="I1667">
        <v>58.35</v>
      </c>
      <c r="J1667">
        <v>0.15</v>
      </c>
      <c r="K1667">
        <v>396.78</v>
      </c>
      <c r="L1667">
        <v>101.06</v>
      </c>
      <c r="M1667" t="s">
        <v>20</v>
      </c>
    </row>
    <row r="1668" spans="1:13" x14ac:dyDescent="0.3">
      <c r="A1668" t="s">
        <v>3027</v>
      </c>
      <c r="B1668" t="s">
        <v>788</v>
      </c>
      <c r="C1668" t="s">
        <v>1487</v>
      </c>
      <c r="D1668" s="7" t="s">
        <v>934</v>
      </c>
      <c r="E1668" t="s">
        <v>59</v>
      </c>
      <c r="F1668" t="s">
        <v>18</v>
      </c>
      <c r="G1668" t="s">
        <v>19</v>
      </c>
      <c r="H1668">
        <v>7</v>
      </c>
      <c r="I1668">
        <v>43.61</v>
      </c>
      <c r="J1668">
        <v>0.05</v>
      </c>
      <c r="K1668">
        <v>290.01</v>
      </c>
      <c r="L1668">
        <v>85.92</v>
      </c>
      <c r="M1668" t="s">
        <v>40</v>
      </c>
    </row>
    <row r="1669" spans="1:13" x14ac:dyDescent="0.3">
      <c r="A1669" t="s">
        <v>3028</v>
      </c>
      <c r="B1669" t="s">
        <v>676</v>
      </c>
      <c r="C1669" t="s">
        <v>637</v>
      </c>
      <c r="D1669" s="7" t="s">
        <v>621</v>
      </c>
      <c r="E1669" t="s">
        <v>64</v>
      </c>
      <c r="F1669" t="s">
        <v>26</v>
      </c>
      <c r="G1669" t="s">
        <v>27</v>
      </c>
      <c r="H1669">
        <v>7</v>
      </c>
      <c r="I1669">
        <v>185.85</v>
      </c>
      <c r="J1669">
        <v>0.05</v>
      </c>
      <c r="K1669">
        <v>1235.9000000000001</v>
      </c>
      <c r="L1669">
        <v>146.63</v>
      </c>
      <c r="M1669" t="s">
        <v>35</v>
      </c>
    </row>
    <row r="1670" spans="1:13" x14ac:dyDescent="0.3">
      <c r="A1670" t="s">
        <v>3029</v>
      </c>
      <c r="B1670" t="s">
        <v>1489</v>
      </c>
      <c r="C1670" t="s">
        <v>1422</v>
      </c>
      <c r="D1670" s="7" t="s">
        <v>648</v>
      </c>
      <c r="E1670" t="s">
        <v>17</v>
      </c>
      <c r="F1670" t="s">
        <v>26</v>
      </c>
      <c r="G1670" t="s">
        <v>118</v>
      </c>
      <c r="H1670">
        <v>5</v>
      </c>
      <c r="I1670">
        <v>78.05</v>
      </c>
      <c r="J1670">
        <v>0.05</v>
      </c>
      <c r="K1670">
        <v>370.74</v>
      </c>
      <c r="L1670">
        <v>56.17</v>
      </c>
      <c r="M1670" t="s">
        <v>40</v>
      </c>
    </row>
    <row r="1671" spans="1:13" x14ac:dyDescent="0.3">
      <c r="A1671" t="s">
        <v>3030</v>
      </c>
      <c r="B1671" t="s">
        <v>1029</v>
      </c>
      <c r="C1671" t="s">
        <v>1728</v>
      </c>
      <c r="D1671" s="7" t="s">
        <v>1103</v>
      </c>
      <c r="E1671" t="s">
        <v>32</v>
      </c>
      <c r="F1671" t="s">
        <v>33</v>
      </c>
      <c r="G1671" t="s">
        <v>69</v>
      </c>
      <c r="H1671">
        <v>1</v>
      </c>
      <c r="I1671">
        <v>18.93</v>
      </c>
      <c r="J1671">
        <v>0.05</v>
      </c>
      <c r="K1671">
        <v>17.98</v>
      </c>
      <c r="L1671">
        <v>2.61</v>
      </c>
      <c r="M1671" t="s">
        <v>20</v>
      </c>
    </row>
    <row r="1672" spans="1:13" x14ac:dyDescent="0.3">
      <c r="A1672" t="s">
        <v>3031</v>
      </c>
      <c r="B1672" t="s">
        <v>1381</v>
      </c>
      <c r="C1672" t="s">
        <v>1451</v>
      </c>
      <c r="D1672" s="7" t="s">
        <v>2978</v>
      </c>
      <c r="E1672" t="s">
        <v>59</v>
      </c>
      <c r="F1672" t="s">
        <v>18</v>
      </c>
      <c r="G1672" t="s">
        <v>45</v>
      </c>
      <c r="H1672">
        <v>2</v>
      </c>
      <c r="I1672">
        <v>127.31</v>
      </c>
      <c r="J1672">
        <v>0.1</v>
      </c>
      <c r="K1672">
        <v>229.16</v>
      </c>
      <c r="L1672">
        <v>21.28</v>
      </c>
      <c r="M1672" t="s">
        <v>40</v>
      </c>
    </row>
    <row r="1673" spans="1:13" x14ac:dyDescent="0.3">
      <c r="A1673" t="s">
        <v>3032</v>
      </c>
      <c r="B1673" t="s">
        <v>1931</v>
      </c>
      <c r="C1673" t="s">
        <v>134</v>
      </c>
      <c r="D1673" s="7" t="s">
        <v>761</v>
      </c>
      <c r="E1673" t="s">
        <v>59</v>
      </c>
      <c r="F1673" t="s">
        <v>26</v>
      </c>
      <c r="G1673" t="s">
        <v>27</v>
      </c>
      <c r="H1673">
        <v>3</v>
      </c>
      <c r="I1673">
        <v>223.05</v>
      </c>
      <c r="J1673">
        <v>0.05</v>
      </c>
      <c r="K1673">
        <v>635.69000000000005</v>
      </c>
      <c r="L1673">
        <v>126.17</v>
      </c>
      <c r="M1673" t="s">
        <v>20</v>
      </c>
    </row>
    <row r="1674" spans="1:13" x14ac:dyDescent="0.3">
      <c r="A1674" t="s">
        <v>3033</v>
      </c>
      <c r="B1674" t="s">
        <v>128</v>
      </c>
      <c r="C1674" t="s">
        <v>2916</v>
      </c>
      <c r="D1674" s="7" t="s">
        <v>1803</v>
      </c>
      <c r="E1674" t="s">
        <v>17</v>
      </c>
      <c r="F1674" t="s">
        <v>26</v>
      </c>
      <c r="G1674" t="s">
        <v>84</v>
      </c>
      <c r="H1674">
        <v>4</v>
      </c>
      <c r="I1674">
        <v>193</v>
      </c>
      <c r="J1674">
        <v>0.1</v>
      </c>
      <c r="K1674">
        <v>694.8</v>
      </c>
      <c r="L1674">
        <v>161.32</v>
      </c>
      <c r="M1674" t="s">
        <v>40</v>
      </c>
    </row>
    <row r="1675" spans="1:13" x14ac:dyDescent="0.3">
      <c r="A1675" t="s">
        <v>3034</v>
      </c>
      <c r="B1675" t="s">
        <v>2151</v>
      </c>
      <c r="C1675" t="s">
        <v>1646</v>
      </c>
      <c r="D1675" s="7" t="s">
        <v>363</v>
      </c>
      <c r="E1675" t="s">
        <v>25</v>
      </c>
      <c r="F1675" t="s">
        <v>89</v>
      </c>
      <c r="G1675" t="s">
        <v>90</v>
      </c>
      <c r="H1675">
        <v>6</v>
      </c>
      <c r="I1675">
        <v>218.75</v>
      </c>
      <c r="J1675">
        <v>0</v>
      </c>
      <c r="K1675">
        <v>1312.5</v>
      </c>
      <c r="L1675">
        <v>149.80000000000001</v>
      </c>
      <c r="M1675" t="s">
        <v>40</v>
      </c>
    </row>
    <row r="1676" spans="1:13" x14ac:dyDescent="0.3">
      <c r="A1676" t="s">
        <v>3035</v>
      </c>
      <c r="B1676" t="s">
        <v>1931</v>
      </c>
      <c r="C1676" t="s">
        <v>2048</v>
      </c>
      <c r="D1676" s="7" t="s">
        <v>2805</v>
      </c>
      <c r="E1676" t="s">
        <v>25</v>
      </c>
      <c r="F1676" t="s">
        <v>89</v>
      </c>
      <c r="G1676" t="s">
        <v>150</v>
      </c>
      <c r="H1676">
        <v>4</v>
      </c>
      <c r="I1676">
        <v>40.26</v>
      </c>
      <c r="J1676">
        <v>0.1</v>
      </c>
      <c r="K1676">
        <v>144.94</v>
      </c>
      <c r="L1676">
        <v>17.309999999999999</v>
      </c>
      <c r="M1676" t="s">
        <v>35</v>
      </c>
    </row>
    <row r="1677" spans="1:13" x14ac:dyDescent="0.3">
      <c r="A1677" t="s">
        <v>3036</v>
      </c>
      <c r="B1677" t="s">
        <v>1868</v>
      </c>
      <c r="C1677" t="s">
        <v>160</v>
      </c>
      <c r="D1677" s="7" t="s">
        <v>1224</v>
      </c>
      <c r="E1677" t="s">
        <v>59</v>
      </c>
      <c r="F1677" t="s">
        <v>26</v>
      </c>
      <c r="G1677" t="s">
        <v>84</v>
      </c>
      <c r="H1677">
        <v>2</v>
      </c>
      <c r="I1677">
        <v>219.57</v>
      </c>
      <c r="J1677">
        <v>0.05</v>
      </c>
      <c r="K1677">
        <v>417.18</v>
      </c>
      <c r="L1677">
        <v>113.97</v>
      </c>
      <c r="M1677" t="s">
        <v>20</v>
      </c>
    </row>
    <row r="1678" spans="1:13" x14ac:dyDescent="0.3">
      <c r="A1678" t="s">
        <v>3037</v>
      </c>
      <c r="B1678" t="s">
        <v>191</v>
      </c>
      <c r="C1678" t="s">
        <v>1006</v>
      </c>
      <c r="D1678" s="7" t="s">
        <v>2279</v>
      </c>
      <c r="E1678" t="s">
        <v>64</v>
      </c>
      <c r="F1678" t="s">
        <v>18</v>
      </c>
      <c r="G1678" t="s">
        <v>79</v>
      </c>
      <c r="H1678">
        <v>7</v>
      </c>
      <c r="I1678">
        <v>65.92</v>
      </c>
      <c r="J1678">
        <v>0.1</v>
      </c>
      <c r="K1678">
        <v>415.3</v>
      </c>
      <c r="L1678">
        <v>77.33</v>
      </c>
      <c r="M1678" t="s">
        <v>40</v>
      </c>
    </row>
    <row r="1679" spans="1:13" x14ac:dyDescent="0.3">
      <c r="A1679" t="s">
        <v>3038</v>
      </c>
      <c r="B1679" t="s">
        <v>823</v>
      </c>
      <c r="C1679" t="s">
        <v>2396</v>
      </c>
      <c r="D1679" s="7" t="s">
        <v>1689</v>
      </c>
      <c r="E1679" t="s">
        <v>17</v>
      </c>
      <c r="F1679" t="s">
        <v>33</v>
      </c>
      <c r="G1679" t="s">
        <v>74</v>
      </c>
      <c r="H1679">
        <v>3</v>
      </c>
      <c r="I1679">
        <v>44.76</v>
      </c>
      <c r="J1679">
        <v>0.05</v>
      </c>
      <c r="K1679">
        <v>127.57</v>
      </c>
      <c r="L1679">
        <v>17.670000000000002</v>
      </c>
      <c r="M1679" t="s">
        <v>35</v>
      </c>
    </row>
    <row r="1680" spans="1:13" x14ac:dyDescent="0.3">
      <c r="A1680" t="s">
        <v>3039</v>
      </c>
      <c r="B1680" t="s">
        <v>100</v>
      </c>
      <c r="C1680" t="s">
        <v>627</v>
      </c>
      <c r="D1680" s="7" t="s">
        <v>2193</v>
      </c>
      <c r="E1680" t="s">
        <v>17</v>
      </c>
      <c r="F1680" t="s">
        <v>33</v>
      </c>
      <c r="G1680" t="s">
        <v>50</v>
      </c>
      <c r="H1680">
        <v>5</v>
      </c>
      <c r="I1680">
        <v>156.21</v>
      </c>
      <c r="J1680">
        <v>0</v>
      </c>
      <c r="K1680">
        <v>781.05</v>
      </c>
      <c r="L1680">
        <v>155.57</v>
      </c>
      <c r="M1680" t="s">
        <v>20</v>
      </c>
    </row>
    <row r="1681" spans="1:13" x14ac:dyDescent="0.3">
      <c r="A1681" t="s">
        <v>3040</v>
      </c>
      <c r="B1681" t="s">
        <v>1441</v>
      </c>
      <c r="C1681" t="s">
        <v>389</v>
      </c>
      <c r="D1681" s="7" t="s">
        <v>130</v>
      </c>
      <c r="E1681" t="s">
        <v>59</v>
      </c>
      <c r="F1681" t="s">
        <v>33</v>
      </c>
      <c r="G1681" t="s">
        <v>50</v>
      </c>
      <c r="H1681">
        <v>7</v>
      </c>
      <c r="I1681">
        <v>237.1</v>
      </c>
      <c r="J1681">
        <v>0</v>
      </c>
      <c r="K1681">
        <v>1659.7</v>
      </c>
      <c r="L1681">
        <v>182.93</v>
      </c>
      <c r="M1681" t="s">
        <v>40</v>
      </c>
    </row>
    <row r="1682" spans="1:13" x14ac:dyDescent="0.3">
      <c r="A1682" t="s">
        <v>3041</v>
      </c>
      <c r="B1682" t="s">
        <v>690</v>
      </c>
      <c r="C1682" t="s">
        <v>1700</v>
      </c>
      <c r="D1682" s="7" t="s">
        <v>898</v>
      </c>
      <c r="E1682" t="s">
        <v>64</v>
      </c>
      <c r="F1682" t="s">
        <v>89</v>
      </c>
      <c r="G1682" t="s">
        <v>131</v>
      </c>
      <c r="H1682">
        <v>6</v>
      </c>
      <c r="I1682">
        <v>77.42</v>
      </c>
      <c r="J1682">
        <v>0</v>
      </c>
      <c r="K1682">
        <v>464.52</v>
      </c>
      <c r="L1682">
        <v>80.430000000000007</v>
      </c>
      <c r="M1682" t="s">
        <v>40</v>
      </c>
    </row>
    <row r="1683" spans="1:13" x14ac:dyDescent="0.3">
      <c r="A1683" t="s">
        <v>3042</v>
      </c>
      <c r="B1683" t="s">
        <v>643</v>
      </c>
      <c r="C1683" t="s">
        <v>2208</v>
      </c>
      <c r="D1683" s="7" t="s">
        <v>1603</v>
      </c>
      <c r="E1683" t="s">
        <v>32</v>
      </c>
      <c r="F1683" t="s">
        <v>89</v>
      </c>
      <c r="G1683" t="s">
        <v>131</v>
      </c>
      <c r="H1683">
        <v>5</v>
      </c>
      <c r="I1683">
        <v>37.65</v>
      </c>
      <c r="J1683">
        <v>0</v>
      </c>
      <c r="K1683">
        <v>188.25</v>
      </c>
      <c r="L1683">
        <v>25.43</v>
      </c>
      <c r="M1683" t="s">
        <v>35</v>
      </c>
    </row>
    <row r="1684" spans="1:13" x14ac:dyDescent="0.3">
      <c r="A1684" t="s">
        <v>3043</v>
      </c>
      <c r="B1684" t="s">
        <v>286</v>
      </c>
      <c r="C1684" t="s">
        <v>737</v>
      </c>
      <c r="D1684" s="7" t="s">
        <v>83</v>
      </c>
      <c r="E1684" t="s">
        <v>25</v>
      </c>
      <c r="F1684" t="s">
        <v>26</v>
      </c>
      <c r="G1684" t="s">
        <v>84</v>
      </c>
      <c r="H1684">
        <v>7</v>
      </c>
      <c r="I1684">
        <v>187.07</v>
      </c>
      <c r="J1684">
        <v>0.05</v>
      </c>
      <c r="K1684">
        <v>1244.02</v>
      </c>
      <c r="L1684">
        <v>196.01</v>
      </c>
      <c r="M1684" t="s">
        <v>40</v>
      </c>
    </row>
    <row r="1685" spans="1:13" x14ac:dyDescent="0.3">
      <c r="A1685" t="s">
        <v>3044</v>
      </c>
      <c r="B1685" t="s">
        <v>229</v>
      </c>
      <c r="C1685" t="s">
        <v>886</v>
      </c>
      <c r="D1685" s="7" t="s">
        <v>910</v>
      </c>
      <c r="E1685" t="s">
        <v>17</v>
      </c>
      <c r="F1685" t="s">
        <v>33</v>
      </c>
      <c r="G1685" t="s">
        <v>74</v>
      </c>
      <c r="H1685">
        <v>1</v>
      </c>
      <c r="I1685">
        <v>106.88</v>
      </c>
      <c r="J1685">
        <v>0.15</v>
      </c>
      <c r="K1685">
        <v>90.85</v>
      </c>
      <c r="L1685">
        <v>13.74</v>
      </c>
      <c r="M1685" t="s">
        <v>35</v>
      </c>
    </row>
    <row r="1686" spans="1:13" x14ac:dyDescent="0.3">
      <c r="A1686" t="s">
        <v>3045</v>
      </c>
      <c r="B1686" t="s">
        <v>782</v>
      </c>
      <c r="C1686" t="s">
        <v>2416</v>
      </c>
      <c r="D1686" s="7" t="s">
        <v>452</v>
      </c>
      <c r="E1686" t="s">
        <v>25</v>
      </c>
      <c r="F1686" t="s">
        <v>89</v>
      </c>
      <c r="G1686" t="s">
        <v>90</v>
      </c>
      <c r="H1686">
        <v>4</v>
      </c>
      <c r="I1686">
        <v>239.93</v>
      </c>
      <c r="J1686">
        <v>0.1</v>
      </c>
      <c r="K1686">
        <v>863.75</v>
      </c>
      <c r="L1686">
        <v>102.18</v>
      </c>
      <c r="M1686" t="s">
        <v>20</v>
      </c>
    </row>
    <row r="1687" spans="1:13" x14ac:dyDescent="0.3">
      <c r="A1687" t="s">
        <v>3046</v>
      </c>
      <c r="B1687" t="s">
        <v>1187</v>
      </c>
      <c r="C1687" t="s">
        <v>1079</v>
      </c>
      <c r="D1687" s="7" t="s">
        <v>2118</v>
      </c>
      <c r="E1687" t="s">
        <v>25</v>
      </c>
      <c r="F1687" t="s">
        <v>89</v>
      </c>
      <c r="G1687" t="s">
        <v>131</v>
      </c>
      <c r="H1687">
        <v>6</v>
      </c>
      <c r="I1687">
        <v>47.91</v>
      </c>
      <c r="J1687">
        <v>0</v>
      </c>
      <c r="K1687">
        <v>287.45999999999998</v>
      </c>
      <c r="L1687">
        <v>79.12</v>
      </c>
      <c r="M1687" t="s">
        <v>40</v>
      </c>
    </row>
    <row r="1688" spans="1:13" x14ac:dyDescent="0.3">
      <c r="A1688" t="s">
        <v>3047</v>
      </c>
      <c r="B1688" t="s">
        <v>1105</v>
      </c>
      <c r="C1688" t="s">
        <v>778</v>
      </c>
      <c r="D1688" s="7" t="s">
        <v>1056</v>
      </c>
      <c r="E1688" t="s">
        <v>17</v>
      </c>
      <c r="F1688" t="s">
        <v>33</v>
      </c>
      <c r="G1688" t="s">
        <v>34</v>
      </c>
      <c r="H1688">
        <v>5</v>
      </c>
      <c r="I1688">
        <v>68.540000000000006</v>
      </c>
      <c r="J1688">
        <v>0.1</v>
      </c>
      <c r="K1688">
        <v>308.43</v>
      </c>
      <c r="L1688">
        <v>45.56</v>
      </c>
      <c r="M1688" t="s">
        <v>20</v>
      </c>
    </row>
    <row r="1689" spans="1:13" x14ac:dyDescent="0.3">
      <c r="A1689" t="s">
        <v>3048</v>
      </c>
      <c r="B1689" t="s">
        <v>500</v>
      </c>
      <c r="C1689" t="s">
        <v>1391</v>
      </c>
      <c r="D1689" s="7" t="s">
        <v>300</v>
      </c>
      <c r="E1689" t="s">
        <v>17</v>
      </c>
      <c r="F1689" t="s">
        <v>26</v>
      </c>
      <c r="G1689" t="s">
        <v>118</v>
      </c>
      <c r="H1689">
        <v>6</v>
      </c>
      <c r="I1689">
        <v>235.42</v>
      </c>
      <c r="J1689">
        <v>0.05</v>
      </c>
      <c r="K1689">
        <v>1341.89</v>
      </c>
      <c r="L1689">
        <v>243.28</v>
      </c>
      <c r="M1689" t="s">
        <v>20</v>
      </c>
    </row>
    <row r="1690" spans="1:13" x14ac:dyDescent="0.3">
      <c r="A1690" t="s">
        <v>3049</v>
      </c>
      <c r="B1690" t="s">
        <v>1112</v>
      </c>
      <c r="C1690" t="s">
        <v>1069</v>
      </c>
      <c r="D1690" s="7" t="s">
        <v>3050</v>
      </c>
      <c r="E1690" t="s">
        <v>59</v>
      </c>
      <c r="F1690" t="s">
        <v>26</v>
      </c>
      <c r="G1690" t="s">
        <v>118</v>
      </c>
      <c r="H1690">
        <v>4</v>
      </c>
      <c r="I1690">
        <v>57.98</v>
      </c>
      <c r="J1690">
        <v>0.15</v>
      </c>
      <c r="K1690">
        <v>197.13</v>
      </c>
      <c r="L1690">
        <v>40.65</v>
      </c>
      <c r="M1690" t="s">
        <v>35</v>
      </c>
    </row>
    <row r="1691" spans="1:13" x14ac:dyDescent="0.3">
      <c r="A1691" t="s">
        <v>3051</v>
      </c>
      <c r="B1691" t="s">
        <v>404</v>
      </c>
      <c r="C1691" t="s">
        <v>2241</v>
      </c>
      <c r="D1691" s="7" t="s">
        <v>455</v>
      </c>
      <c r="E1691" t="s">
        <v>59</v>
      </c>
      <c r="F1691" t="s">
        <v>33</v>
      </c>
      <c r="G1691" t="s">
        <v>34</v>
      </c>
      <c r="H1691">
        <v>6</v>
      </c>
      <c r="I1691">
        <v>65.11</v>
      </c>
      <c r="J1691">
        <v>0</v>
      </c>
      <c r="K1691">
        <v>390.66</v>
      </c>
      <c r="L1691">
        <v>53.9</v>
      </c>
      <c r="M1691" t="s">
        <v>40</v>
      </c>
    </row>
    <row r="1692" spans="1:13" x14ac:dyDescent="0.3">
      <c r="A1692" t="s">
        <v>3052</v>
      </c>
      <c r="B1692" t="s">
        <v>1055</v>
      </c>
      <c r="C1692" t="s">
        <v>2122</v>
      </c>
      <c r="D1692" s="7" t="s">
        <v>854</v>
      </c>
      <c r="E1692" t="s">
        <v>59</v>
      </c>
      <c r="F1692" t="s">
        <v>33</v>
      </c>
      <c r="G1692" t="s">
        <v>74</v>
      </c>
      <c r="H1692">
        <v>1</v>
      </c>
      <c r="I1692">
        <v>182.04</v>
      </c>
      <c r="J1692">
        <v>0.05</v>
      </c>
      <c r="K1692">
        <v>172.94</v>
      </c>
      <c r="L1692">
        <v>39.869999999999997</v>
      </c>
      <c r="M1692" t="s">
        <v>40</v>
      </c>
    </row>
    <row r="1693" spans="1:13" x14ac:dyDescent="0.3">
      <c r="A1693" t="s">
        <v>3053</v>
      </c>
      <c r="B1693" t="s">
        <v>712</v>
      </c>
      <c r="C1693" t="s">
        <v>171</v>
      </c>
      <c r="D1693" s="7" t="s">
        <v>1468</v>
      </c>
      <c r="E1693" t="s">
        <v>17</v>
      </c>
      <c r="F1693" t="s">
        <v>26</v>
      </c>
      <c r="G1693" t="s">
        <v>27</v>
      </c>
      <c r="H1693">
        <v>7</v>
      </c>
      <c r="I1693">
        <v>111.89</v>
      </c>
      <c r="J1693">
        <v>0.05</v>
      </c>
      <c r="K1693">
        <v>744.07</v>
      </c>
      <c r="L1693">
        <v>176.22</v>
      </c>
      <c r="M1693" t="s">
        <v>40</v>
      </c>
    </row>
    <row r="1694" spans="1:13" x14ac:dyDescent="0.3">
      <c r="A1694" t="s">
        <v>3054</v>
      </c>
      <c r="B1694" t="s">
        <v>1418</v>
      </c>
      <c r="C1694" t="s">
        <v>807</v>
      </c>
      <c r="D1694" s="7" t="s">
        <v>109</v>
      </c>
      <c r="E1694" t="s">
        <v>64</v>
      </c>
      <c r="F1694" t="s">
        <v>89</v>
      </c>
      <c r="G1694" t="s">
        <v>150</v>
      </c>
      <c r="H1694">
        <v>4</v>
      </c>
      <c r="I1694">
        <v>165.42</v>
      </c>
      <c r="J1694">
        <v>0</v>
      </c>
      <c r="K1694">
        <v>661.68</v>
      </c>
      <c r="L1694">
        <v>145.22</v>
      </c>
      <c r="M1694" t="s">
        <v>40</v>
      </c>
    </row>
    <row r="1695" spans="1:13" x14ac:dyDescent="0.3">
      <c r="A1695" t="s">
        <v>3055</v>
      </c>
      <c r="B1695" t="s">
        <v>1557</v>
      </c>
      <c r="C1695" t="s">
        <v>291</v>
      </c>
      <c r="D1695" s="7" t="s">
        <v>1286</v>
      </c>
      <c r="E1695" t="s">
        <v>25</v>
      </c>
      <c r="F1695" t="s">
        <v>89</v>
      </c>
      <c r="G1695" t="s">
        <v>150</v>
      </c>
      <c r="H1695">
        <v>8</v>
      </c>
      <c r="I1695">
        <v>52.25</v>
      </c>
      <c r="J1695">
        <v>0.05</v>
      </c>
      <c r="K1695">
        <v>397.1</v>
      </c>
      <c r="L1695">
        <v>50.61</v>
      </c>
      <c r="M1695" t="s">
        <v>20</v>
      </c>
    </row>
    <row r="1696" spans="1:13" x14ac:dyDescent="0.3">
      <c r="A1696" t="s">
        <v>3056</v>
      </c>
      <c r="B1696" t="s">
        <v>1581</v>
      </c>
      <c r="C1696" t="s">
        <v>3057</v>
      </c>
      <c r="D1696" s="7" t="s">
        <v>376</v>
      </c>
      <c r="E1696" t="s">
        <v>17</v>
      </c>
      <c r="F1696" t="s">
        <v>26</v>
      </c>
      <c r="G1696" t="s">
        <v>84</v>
      </c>
      <c r="H1696">
        <v>7</v>
      </c>
      <c r="I1696">
        <v>200.77</v>
      </c>
      <c r="J1696">
        <v>0.15</v>
      </c>
      <c r="K1696">
        <v>1194.58</v>
      </c>
      <c r="L1696">
        <v>197.42</v>
      </c>
      <c r="M1696" t="s">
        <v>35</v>
      </c>
    </row>
    <row r="1697" spans="1:13" x14ac:dyDescent="0.3">
      <c r="A1697" t="s">
        <v>3058</v>
      </c>
      <c r="B1697" t="s">
        <v>810</v>
      </c>
      <c r="C1697" t="s">
        <v>1698</v>
      </c>
      <c r="D1697" s="7" t="s">
        <v>487</v>
      </c>
      <c r="E1697" t="s">
        <v>25</v>
      </c>
      <c r="F1697" t="s">
        <v>33</v>
      </c>
      <c r="G1697" t="s">
        <v>34</v>
      </c>
      <c r="H1697">
        <v>2</v>
      </c>
      <c r="I1697">
        <v>48.09</v>
      </c>
      <c r="J1697">
        <v>0</v>
      </c>
      <c r="K1697">
        <v>96.18</v>
      </c>
      <c r="L1697">
        <v>27.11</v>
      </c>
      <c r="M1697" t="s">
        <v>35</v>
      </c>
    </row>
    <row r="1698" spans="1:13" x14ac:dyDescent="0.3">
      <c r="A1698" t="s">
        <v>3059</v>
      </c>
      <c r="B1698" t="s">
        <v>1853</v>
      </c>
      <c r="C1698" t="s">
        <v>1515</v>
      </c>
      <c r="D1698" s="7" t="s">
        <v>2305</v>
      </c>
      <c r="E1698" t="s">
        <v>17</v>
      </c>
      <c r="F1698" t="s">
        <v>33</v>
      </c>
      <c r="G1698" t="s">
        <v>50</v>
      </c>
      <c r="H1698">
        <v>7</v>
      </c>
      <c r="I1698">
        <v>187.65</v>
      </c>
      <c r="J1698">
        <v>0.15</v>
      </c>
      <c r="K1698">
        <v>1116.52</v>
      </c>
      <c r="L1698">
        <v>272.61</v>
      </c>
      <c r="M1698" t="s">
        <v>35</v>
      </c>
    </row>
    <row r="1699" spans="1:13" x14ac:dyDescent="0.3">
      <c r="A1699" t="s">
        <v>3060</v>
      </c>
      <c r="B1699" t="s">
        <v>359</v>
      </c>
      <c r="C1699" t="s">
        <v>2146</v>
      </c>
      <c r="D1699" s="7" t="s">
        <v>791</v>
      </c>
      <c r="E1699" t="s">
        <v>32</v>
      </c>
      <c r="F1699" t="s">
        <v>18</v>
      </c>
      <c r="G1699" t="s">
        <v>45</v>
      </c>
      <c r="H1699">
        <v>1</v>
      </c>
      <c r="I1699">
        <v>149.47999999999999</v>
      </c>
      <c r="J1699">
        <v>0.15</v>
      </c>
      <c r="K1699">
        <v>127.06</v>
      </c>
      <c r="L1699">
        <v>14.44</v>
      </c>
      <c r="M1699" t="s">
        <v>35</v>
      </c>
    </row>
    <row r="1700" spans="1:13" x14ac:dyDescent="0.3">
      <c r="A1700" t="s">
        <v>3061</v>
      </c>
      <c r="B1700" t="s">
        <v>574</v>
      </c>
      <c r="C1700" t="s">
        <v>480</v>
      </c>
      <c r="D1700" s="7" t="s">
        <v>1161</v>
      </c>
      <c r="E1700" t="s">
        <v>64</v>
      </c>
      <c r="F1700" t="s">
        <v>18</v>
      </c>
      <c r="G1700" t="s">
        <v>79</v>
      </c>
      <c r="H1700">
        <v>6</v>
      </c>
      <c r="I1700">
        <v>90.63</v>
      </c>
      <c r="J1700">
        <v>0.15</v>
      </c>
      <c r="K1700">
        <v>462.21</v>
      </c>
      <c r="L1700">
        <v>134.69999999999999</v>
      </c>
      <c r="M1700" t="s">
        <v>35</v>
      </c>
    </row>
    <row r="1701" spans="1:13" x14ac:dyDescent="0.3">
      <c r="A1701" t="s">
        <v>3062</v>
      </c>
      <c r="B1701" t="s">
        <v>2073</v>
      </c>
      <c r="C1701" t="s">
        <v>287</v>
      </c>
      <c r="D1701" s="7" t="s">
        <v>360</v>
      </c>
      <c r="E1701" t="s">
        <v>17</v>
      </c>
      <c r="F1701" t="s">
        <v>89</v>
      </c>
      <c r="G1701" t="s">
        <v>131</v>
      </c>
      <c r="H1701">
        <v>8</v>
      </c>
      <c r="I1701">
        <v>100.93</v>
      </c>
      <c r="J1701">
        <v>0.05</v>
      </c>
      <c r="K1701">
        <v>767.07</v>
      </c>
      <c r="L1701">
        <v>188.3</v>
      </c>
      <c r="M1701" t="s">
        <v>35</v>
      </c>
    </row>
    <row r="1702" spans="1:13" x14ac:dyDescent="0.3">
      <c r="A1702" t="s">
        <v>3063</v>
      </c>
      <c r="B1702" t="s">
        <v>1815</v>
      </c>
      <c r="C1702" t="s">
        <v>1391</v>
      </c>
      <c r="D1702" s="7" t="s">
        <v>524</v>
      </c>
      <c r="E1702" t="s">
        <v>32</v>
      </c>
      <c r="F1702" t="s">
        <v>33</v>
      </c>
      <c r="G1702" t="s">
        <v>69</v>
      </c>
      <c r="H1702">
        <v>1</v>
      </c>
      <c r="I1702">
        <v>193.34</v>
      </c>
      <c r="J1702">
        <v>0.1</v>
      </c>
      <c r="K1702">
        <v>174.01</v>
      </c>
      <c r="L1702">
        <v>18.47</v>
      </c>
      <c r="M1702" t="s">
        <v>40</v>
      </c>
    </row>
    <row r="1703" spans="1:13" x14ac:dyDescent="0.3">
      <c r="A1703" t="s">
        <v>3064</v>
      </c>
      <c r="B1703" t="s">
        <v>722</v>
      </c>
      <c r="C1703" t="s">
        <v>3065</v>
      </c>
      <c r="D1703" s="7" t="s">
        <v>1365</v>
      </c>
      <c r="E1703" t="s">
        <v>64</v>
      </c>
      <c r="F1703" t="s">
        <v>33</v>
      </c>
      <c r="G1703" t="s">
        <v>69</v>
      </c>
      <c r="H1703">
        <v>5</v>
      </c>
      <c r="I1703">
        <v>161.27000000000001</v>
      </c>
      <c r="J1703">
        <v>0.15</v>
      </c>
      <c r="K1703">
        <v>685.4</v>
      </c>
      <c r="L1703">
        <v>129.69999999999999</v>
      </c>
      <c r="M1703" t="s">
        <v>20</v>
      </c>
    </row>
    <row r="1704" spans="1:13" x14ac:dyDescent="0.3">
      <c r="A1704" t="s">
        <v>3066</v>
      </c>
      <c r="B1704" t="s">
        <v>964</v>
      </c>
      <c r="C1704" t="s">
        <v>1016</v>
      </c>
      <c r="D1704" s="7" t="s">
        <v>373</v>
      </c>
      <c r="E1704" t="s">
        <v>59</v>
      </c>
      <c r="F1704" t="s">
        <v>33</v>
      </c>
      <c r="G1704" t="s">
        <v>74</v>
      </c>
      <c r="H1704">
        <v>8</v>
      </c>
      <c r="I1704">
        <v>171.14</v>
      </c>
      <c r="J1704">
        <v>0.05</v>
      </c>
      <c r="K1704">
        <v>1300.6600000000001</v>
      </c>
      <c r="L1704">
        <v>318.75</v>
      </c>
      <c r="M1704" t="s">
        <v>35</v>
      </c>
    </row>
    <row r="1705" spans="1:13" x14ac:dyDescent="0.3">
      <c r="A1705" t="s">
        <v>3067</v>
      </c>
      <c r="B1705" t="s">
        <v>2615</v>
      </c>
      <c r="C1705" t="s">
        <v>121</v>
      </c>
      <c r="D1705" s="7" t="s">
        <v>1596</v>
      </c>
      <c r="E1705" t="s">
        <v>25</v>
      </c>
      <c r="F1705" t="s">
        <v>18</v>
      </c>
      <c r="G1705" t="s">
        <v>45</v>
      </c>
      <c r="H1705">
        <v>4</v>
      </c>
      <c r="I1705">
        <v>244.16</v>
      </c>
      <c r="J1705">
        <v>0</v>
      </c>
      <c r="K1705">
        <v>976.64</v>
      </c>
      <c r="L1705">
        <v>120.14</v>
      </c>
      <c r="M1705" t="s">
        <v>35</v>
      </c>
    </row>
    <row r="1706" spans="1:13" x14ac:dyDescent="0.3">
      <c r="A1706" t="s">
        <v>3068</v>
      </c>
      <c r="B1706" t="s">
        <v>2246</v>
      </c>
      <c r="C1706" t="s">
        <v>1000</v>
      </c>
      <c r="D1706" s="7" t="s">
        <v>1261</v>
      </c>
      <c r="E1706" t="s">
        <v>32</v>
      </c>
      <c r="F1706" t="s">
        <v>18</v>
      </c>
      <c r="G1706" t="s">
        <v>45</v>
      </c>
      <c r="H1706">
        <v>7</v>
      </c>
      <c r="I1706">
        <v>121.95</v>
      </c>
      <c r="J1706">
        <v>0.05</v>
      </c>
      <c r="K1706">
        <v>810.97</v>
      </c>
      <c r="L1706">
        <v>73.81</v>
      </c>
      <c r="M1706" t="s">
        <v>40</v>
      </c>
    </row>
    <row r="1707" spans="1:13" x14ac:dyDescent="0.3">
      <c r="A1707" t="s">
        <v>3069</v>
      </c>
      <c r="B1707" t="s">
        <v>203</v>
      </c>
      <c r="C1707" t="s">
        <v>1825</v>
      </c>
      <c r="D1707" s="7" t="s">
        <v>1687</v>
      </c>
      <c r="E1707" t="s">
        <v>59</v>
      </c>
      <c r="F1707" t="s">
        <v>18</v>
      </c>
      <c r="G1707" t="s">
        <v>19</v>
      </c>
      <c r="H1707">
        <v>6</v>
      </c>
      <c r="I1707">
        <v>15.01</v>
      </c>
      <c r="J1707">
        <v>0</v>
      </c>
      <c r="K1707">
        <v>90.06</v>
      </c>
      <c r="L1707">
        <v>10.48</v>
      </c>
      <c r="M1707" t="s">
        <v>35</v>
      </c>
    </row>
    <row r="1708" spans="1:13" x14ac:dyDescent="0.3">
      <c r="A1708" t="s">
        <v>3070</v>
      </c>
      <c r="B1708" t="s">
        <v>768</v>
      </c>
      <c r="C1708" t="s">
        <v>156</v>
      </c>
      <c r="D1708" s="7" t="s">
        <v>2017</v>
      </c>
      <c r="E1708" t="s">
        <v>17</v>
      </c>
      <c r="F1708" t="s">
        <v>26</v>
      </c>
      <c r="G1708" t="s">
        <v>27</v>
      </c>
      <c r="H1708">
        <v>1</v>
      </c>
      <c r="I1708">
        <v>223.54</v>
      </c>
      <c r="J1708">
        <v>0</v>
      </c>
      <c r="K1708">
        <v>223.54</v>
      </c>
      <c r="L1708">
        <v>30.15</v>
      </c>
      <c r="M1708" t="s">
        <v>40</v>
      </c>
    </row>
    <row r="1709" spans="1:13" x14ac:dyDescent="0.3">
      <c r="A1709" t="s">
        <v>3071</v>
      </c>
      <c r="B1709" t="s">
        <v>678</v>
      </c>
      <c r="C1709" t="s">
        <v>879</v>
      </c>
      <c r="D1709" s="7" t="s">
        <v>508</v>
      </c>
      <c r="E1709" t="s">
        <v>17</v>
      </c>
      <c r="F1709" t="s">
        <v>33</v>
      </c>
      <c r="G1709" t="s">
        <v>34</v>
      </c>
      <c r="H1709">
        <v>3</v>
      </c>
      <c r="I1709">
        <v>144.08000000000001</v>
      </c>
      <c r="J1709">
        <v>0.05</v>
      </c>
      <c r="K1709">
        <v>410.63</v>
      </c>
      <c r="L1709">
        <v>52.61</v>
      </c>
      <c r="M1709" t="s">
        <v>35</v>
      </c>
    </row>
    <row r="1710" spans="1:13" x14ac:dyDescent="0.3">
      <c r="A1710" t="s">
        <v>3072</v>
      </c>
      <c r="B1710" t="s">
        <v>1035</v>
      </c>
      <c r="C1710" t="s">
        <v>1293</v>
      </c>
      <c r="D1710" s="7" t="s">
        <v>2074</v>
      </c>
      <c r="E1710" t="s">
        <v>25</v>
      </c>
      <c r="F1710" t="s">
        <v>33</v>
      </c>
      <c r="G1710" t="s">
        <v>34</v>
      </c>
      <c r="H1710">
        <v>3</v>
      </c>
      <c r="I1710">
        <v>137.09</v>
      </c>
      <c r="J1710">
        <v>0</v>
      </c>
      <c r="K1710">
        <v>411.27</v>
      </c>
      <c r="L1710">
        <v>67.569999999999993</v>
      </c>
      <c r="M1710" t="s">
        <v>40</v>
      </c>
    </row>
    <row r="1711" spans="1:13" x14ac:dyDescent="0.3">
      <c r="A1711" t="s">
        <v>3073</v>
      </c>
      <c r="B1711" t="s">
        <v>663</v>
      </c>
      <c r="C1711" t="s">
        <v>1314</v>
      </c>
      <c r="D1711" s="7" t="s">
        <v>459</v>
      </c>
      <c r="E1711" t="s">
        <v>25</v>
      </c>
      <c r="F1711" t="s">
        <v>89</v>
      </c>
      <c r="G1711" t="s">
        <v>131</v>
      </c>
      <c r="H1711">
        <v>7</v>
      </c>
      <c r="I1711">
        <v>74.06</v>
      </c>
      <c r="J1711">
        <v>0</v>
      </c>
      <c r="K1711">
        <v>518.41999999999996</v>
      </c>
      <c r="L1711">
        <v>95.77</v>
      </c>
      <c r="M1711" t="s">
        <v>20</v>
      </c>
    </row>
    <row r="1712" spans="1:13" x14ac:dyDescent="0.3">
      <c r="A1712" t="s">
        <v>3074</v>
      </c>
      <c r="B1712" t="s">
        <v>100</v>
      </c>
      <c r="C1712" t="s">
        <v>1802</v>
      </c>
      <c r="D1712" s="7" t="s">
        <v>481</v>
      </c>
      <c r="E1712" t="s">
        <v>17</v>
      </c>
      <c r="F1712" t="s">
        <v>33</v>
      </c>
      <c r="G1712" t="s">
        <v>34</v>
      </c>
      <c r="H1712">
        <v>8</v>
      </c>
      <c r="I1712">
        <v>204.38</v>
      </c>
      <c r="J1712">
        <v>0.15</v>
      </c>
      <c r="K1712">
        <v>1389.78</v>
      </c>
      <c r="L1712">
        <v>195.57</v>
      </c>
      <c r="M1712" t="s">
        <v>20</v>
      </c>
    </row>
    <row r="1713" spans="1:13" x14ac:dyDescent="0.3">
      <c r="A1713" t="s">
        <v>3075</v>
      </c>
      <c r="B1713" t="s">
        <v>1298</v>
      </c>
      <c r="C1713" t="s">
        <v>647</v>
      </c>
      <c r="D1713" s="7" t="s">
        <v>1457</v>
      </c>
      <c r="E1713" t="s">
        <v>17</v>
      </c>
      <c r="F1713" t="s">
        <v>33</v>
      </c>
      <c r="G1713" t="s">
        <v>50</v>
      </c>
      <c r="H1713">
        <v>4</v>
      </c>
      <c r="I1713">
        <v>80.14</v>
      </c>
      <c r="J1713">
        <v>0.05</v>
      </c>
      <c r="K1713">
        <v>304.52999999999997</v>
      </c>
      <c r="L1713">
        <v>80.94</v>
      </c>
      <c r="M1713" t="s">
        <v>35</v>
      </c>
    </row>
    <row r="1714" spans="1:13" x14ac:dyDescent="0.3">
      <c r="A1714" t="s">
        <v>3076</v>
      </c>
      <c r="B1714" t="s">
        <v>516</v>
      </c>
      <c r="C1714" t="s">
        <v>279</v>
      </c>
      <c r="D1714" s="7" t="s">
        <v>1755</v>
      </c>
      <c r="E1714" t="s">
        <v>17</v>
      </c>
      <c r="F1714" t="s">
        <v>33</v>
      </c>
      <c r="G1714" t="s">
        <v>69</v>
      </c>
      <c r="H1714">
        <v>4</v>
      </c>
      <c r="I1714">
        <v>37.700000000000003</v>
      </c>
      <c r="J1714">
        <v>0.1</v>
      </c>
      <c r="K1714">
        <v>135.72</v>
      </c>
      <c r="L1714">
        <v>13.12</v>
      </c>
      <c r="M1714" t="s">
        <v>20</v>
      </c>
    </row>
    <row r="1715" spans="1:13" x14ac:dyDescent="0.3">
      <c r="A1715" t="s">
        <v>3077</v>
      </c>
      <c r="B1715" t="s">
        <v>1773</v>
      </c>
      <c r="C1715" t="s">
        <v>1096</v>
      </c>
      <c r="D1715" s="7" t="s">
        <v>3021</v>
      </c>
      <c r="E1715" t="s">
        <v>59</v>
      </c>
      <c r="F1715" t="s">
        <v>18</v>
      </c>
      <c r="G1715" t="s">
        <v>45</v>
      </c>
      <c r="H1715">
        <v>3</v>
      </c>
      <c r="I1715">
        <v>22.83</v>
      </c>
      <c r="J1715">
        <v>0</v>
      </c>
      <c r="K1715">
        <v>68.489999999999995</v>
      </c>
      <c r="L1715">
        <v>11.94</v>
      </c>
      <c r="M1715" t="s">
        <v>40</v>
      </c>
    </row>
    <row r="1716" spans="1:13" x14ac:dyDescent="0.3">
      <c r="A1716" t="s">
        <v>3078</v>
      </c>
      <c r="B1716" t="s">
        <v>603</v>
      </c>
      <c r="C1716" t="s">
        <v>454</v>
      </c>
      <c r="D1716" s="7" t="s">
        <v>1061</v>
      </c>
      <c r="E1716" t="s">
        <v>17</v>
      </c>
      <c r="F1716" t="s">
        <v>18</v>
      </c>
      <c r="G1716" t="s">
        <v>19</v>
      </c>
      <c r="H1716">
        <v>7</v>
      </c>
      <c r="I1716">
        <v>175.28</v>
      </c>
      <c r="J1716">
        <v>0</v>
      </c>
      <c r="K1716">
        <v>1226.96</v>
      </c>
      <c r="L1716">
        <v>338.63</v>
      </c>
      <c r="M1716" t="s">
        <v>35</v>
      </c>
    </row>
    <row r="1717" spans="1:13" x14ac:dyDescent="0.3">
      <c r="A1717" t="s">
        <v>3079</v>
      </c>
      <c r="B1717" t="s">
        <v>371</v>
      </c>
      <c r="C1717" t="s">
        <v>1063</v>
      </c>
      <c r="D1717" s="7" t="s">
        <v>141</v>
      </c>
      <c r="E1717" t="s">
        <v>59</v>
      </c>
      <c r="F1717" t="s">
        <v>26</v>
      </c>
      <c r="G1717" t="s">
        <v>84</v>
      </c>
      <c r="H1717">
        <v>7</v>
      </c>
      <c r="I1717">
        <v>174.07</v>
      </c>
      <c r="J1717">
        <v>0</v>
      </c>
      <c r="K1717">
        <v>1218.49</v>
      </c>
      <c r="L1717">
        <v>263.64</v>
      </c>
      <c r="M1717" t="s">
        <v>20</v>
      </c>
    </row>
    <row r="1718" spans="1:13" x14ac:dyDescent="0.3">
      <c r="A1718" t="s">
        <v>3080</v>
      </c>
      <c r="B1718" t="s">
        <v>2629</v>
      </c>
      <c r="C1718" t="s">
        <v>1178</v>
      </c>
      <c r="D1718" s="7" t="s">
        <v>1859</v>
      </c>
      <c r="E1718" t="s">
        <v>59</v>
      </c>
      <c r="F1718" t="s">
        <v>18</v>
      </c>
      <c r="G1718" t="s">
        <v>79</v>
      </c>
      <c r="H1718">
        <v>1</v>
      </c>
      <c r="I1718">
        <v>220.4</v>
      </c>
      <c r="J1718">
        <v>0.15</v>
      </c>
      <c r="K1718">
        <v>187.34</v>
      </c>
      <c r="L1718">
        <v>42.6</v>
      </c>
      <c r="M1718" t="s">
        <v>20</v>
      </c>
    </row>
    <row r="1719" spans="1:13" x14ac:dyDescent="0.3">
      <c r="A1719" t="s">
        <v>3081</v>
      </c>
      <c r="B1719" t="s">
        <v>2904</v>
      </c>
      <c r="C1719" t="s">
        <v>2440</v>
      </c>
      <c r="D1719" s="7" t="s">
        <v>83</v>
      </c>
      <c r="E1719" t="s">
        <v>32</v>
      </c>
      <c r="F1719" t="s">
        <v>18</v>
      </c>
      <c r="G1719" t="s">
        <v>45</v>
      </c>
      <c r="H1719">
        <v>4</v>
      </c>
      <c r="I1719">
        <v>159.84</v>
      </c>
      <c r="J1719">
        <v>0.1</v>
      </c>
      <c r="K1719">
        <v>575.41999999999996</v>
      </c>
      <c r="L1719">
        <v>76.41</v>
      </c>
      <c r="M1719" t="s">
        <v>35</v>
      </c>
    </row>
    <row r="1720" spans="1:13" x14ac:dyDescent="0.3">
      <c r="A1720" t="s">
        <v>3082</v>
      </c>
      <c r="B1720" t="s">
        <v>147</v>
      </c>
      <c r="C1720" t="s">
        <v>1188</v>
      </c>
      <c r="D1720" s="7" t="s">
        <v>651</v>
      </c>
      <c r="E1720" t="s">
        <v>25</v>
      </c>
      <c r="F1720" t="s">
        <v>33</v>
      </c>
      <c r="G1720" t="s">
        <v>69</v>
      </c>
      <c r="H1720">
        <v>3</v>
      </c>
      <c r="I1720">
        <v>14.24</v>
      </c>
      <c r="J1720">
        <v>0.05</v>
      </c>
      <c r="K1720">
        <v>40.58</v>
      </c>
      <c r="L1720">
        <v>4.47</v>
      </c>
      <c r="M1720" t="s">
        <v>40</v>
      </c>
    </row>
    <row r="1721" spans="1:13" x14ac:dyDescent="0.3">
      <c r="A1721" t="s">
        <v>3083</v>
      </c>
      <c r="B1721" t="s">
        <v>1703</v>
      </c>
      <c r="C1721" t="s">
        <v>766</v>
      </c>
      <c r="D1721" s="7" t="s">
        <v>498</v>
      </c>
      <c r="E1721" t="s">
        <v>32</v>
      </c>
      <c r="F1721" t="s">
        <v>89</v>
      </c>
      <c r="G1721" t="s">
        <v>150</v>
      </c>
      <c r="H1721">
        <v>7</v>
      </c>
      <c r="I1721">
        <v>194.69</v>
      </c>
      <c r="J1721">
        <v>0.15</v>
      </c>
      <c r="K1721">
        <v>1158.4100000000001</v>
      </c>
      <c r="L1721">
        <v>217.85</v>
      </c>
      <c r="M1721" t="s">
        <v>20</v>
      </c>
    </row>
    <row r="1722" spans="1:13" x14ac:dyDescent="0.3">
      <c r="A1722" t="s">
        <v>3084</v>
      </c>
      <c r="B1722" t="s">
        <v>760</v>
      </c>
      <c r="C1722" t="s">
        <v>1006</v>
      </c>
      <c r="D1722" s="7" t="s">
        <v>1072</v>
      </c>
      <c r="E1722" t="s">
        <v>59</v>
      </c>
      <c r="F1722" t="s">
        <v>26</v>
      </c>
      <c r="G1722" t="s">
        <v>118</v>
      </c>
      <c r="H1722">
        <v>2</v>
      </c>
      <c r="I1722">
        <v>197.91</v>
      </c>
      <c r="J1722">
        <v>0</v>
      </c>
      <c r="K1722">
        <v>395.82</v>
      </c>
      <c r="L1722">
        <v>79.400000000000006</v>
      </c>
      <c r="M1722" t="s">
        <v>35</v>
      </c>
    </row>
    <row r="1723" spans="1:13" x14ac:dyDescent="0.3">
      <c r="A1723" t="s">
        <v>3085</v>
      </c>
      <c r="B1723" t="s">
        <v>500</v>
      </c>
      <c r="C1723" t="s">
        <v>600</v>
      </c>
      <c r="D1723" s="7" t="s">
        <v>618</v>
      </c>
      <c r="E1723" t="s">
        <v>17</v>
      </c>
      <c r="F1723" t="s">
        <v>26</v>
      </c>
      <c r="G1723" t="s">
        <v>27</v>
      </c>
      <c r="H1723">
        <v>1</v>
      </c>
      <c r="I1723">
        <v>246.19</v>
      </c>
      <c r="J1723">
        <v>0</v>
      </c>
      <c r="K1723">
        <v>246.19</v>
      </c>
      <c r="L1723">
        <v>39.56</v>
      </c>
      <c r="M1723" t="s">
        <v>40</v>
      </c>
    </row>
    <row r="1724" spans="1:13" x14ac:dyDescent="0.3">
      <c r="A1724" t="s">
        <v>3086</v>
      </c>
      <c r="B1724" t="s">
        <v>1691</v>
      </c>
      <c r="C1724" t="s">
        <v>1509</v>
      </c>
      <c r="D1724" s="7" t="s">
        <v>641</v>
      </c>
      <c r="E1724" t="s">
        <v>17</v>
      </c>
      <c r="F1724" t="s">
        <v>33</v>
      </c>
      <c r="G1724" t="s">
        <v>50</v>
      </c>
      <c r="H1724">
        <v>2</v>
      </c>
      <c r="I1724">
        <v>141.91999999999999</v>
      </c>
      <c r="J1724">
        <v>0.05</v>
      </c>
      <c r="K1724">
        <v>269.64999999999998</v>
      </c>
      <c r="L1724">
        <v>29.57</v>
      </c>
      <c r="M1724" t="s">
        <v>20</v>
      </c>
    </row>
    <row r="1725" spans="1:13" x14ac:dyDescent="0.3">
      <c r="A1725" t="s">
        <v>3087</v>
      </c>
      <c r="B1725" t="s">
        <v>1691</v>
      </c>
      <c r="C1725" t="s">
        <v>87</v>
      </c>
      <c r="D1725" s="7" t="s">
        <v>208</v>
      </c>
      <c r="E1725" t="s">
        <v>64</v>
      </c>
      <c r="F1725" t="s">
        <v>18</v>
      </c>
      <c r="G1725" t="s">
        <v>45</v>
      </c>
      <c r="H1725">
        <v>8</v>
      </c>
      <c r="I1725">
        <v>163.38999999999999</v>
      </c>
      <c r="J1725">
        <v>0.1</v>
      </c>
      <c r="K1725">
        <v>1176.4100000000001</v>
      </c>
      <c r="L1725">
        <v>260.83999999999997</v>
      </c>
      <c r="M1725" t="s">
        <v>35</v>
      </c>
    </row>
    <row r="1726" spans="1:13" x14ac:dyDescent="0.3">
      <c r="A1726" t="s">
        <v>3088</v>
      </c>
      <c r="B1726" t="s">
        <v>1495</v>
      </c>
      <c r="C1726" t="s">
        <v>870</v>
      </c>
      <c r="D1726" s="7" t="s">
        <v>398</v>
      </c>
      <c r="E1726" t="s">
        <v>17</v>
      </c>
      <c r="F1726" t="s">
        <v>18</v>
      </c>
      <c r="G1726" t="s">
        <v>19</v>
      </c>
      <c r="H1726">
        <v>8</v>
      </c>
      <c r="I1726">
        <v>59.75</v>
      </c>
      <c r="J1726">
        <v>0.15</v>
      </c>
      <c r="K1726">
        <v>406.3</v>
      </c>
      <c r="L1726">
        <v>57.29</v>
      </c>
      <c r="M1726" t="s">
        <v>40</v>
      </c>
    </row>
    <row r="1727" spans="1:13" x14ac:dyDescent="0.3">
      <c r="A1727" t="s">
        <v>3089</v>
      </c>
      <c r="B1727" t="s">
        <v>1029</v>
      </c>
      <c r="C1727" t="s">
        <v>1831</v>
      </c>
      <c r="D1727" s="7" t="s">
        <v>1400</v>
      </c>
      <c r="E1727" t="s">
        <v>32</v>
      </c>
      <c r="F1727" t="s">
        <v>18</v>
      </c>
      <c r="G1727" t="s">
        <v>79</v>
      </c>
      <c r="H1727">
        <v>5</v>
      </c>
      <c r="I1727">
        <v>60.03</v>
      </c>
      <c r="J1727">
        <v>0.1</v>
      </c>
      <c r="K1727">
        <v>270.13</v>
      </c>
      <c r="L1727">
        <v>54.15</v>
      </c>
      <c r="M1727" t="s">
        <v>20</v>
      </c>
    </row>
    <row r="1728" spans="1:13" x14ac:dyDescent="0.3">
      <c r="A1728" t="s">
        <v>3090</v>
      </c>
      <c r="B1728" t="s">
        <v>493</v>
      </c>
      <c r="C1728" t="s">
        <v>3091</v>
      </c>
      <c r="D1728" s="7" t="s">
        <v>1553</v>
      </c>
      <c r="E1728" t="s">
        <v>25</v>
      </c>
      <c r="F1728" t="s">
        <v>89</v>
      </c>
      <c r="G1728" t="s">
        <v>90</v>
      </c>
      <c r="H1728">
        <v>2</v>
      </c>
      <c r="I1728">
        <v>75.489999999999995</v>
      </c>
      <c r="J1728">
        <v>0</v>
      </c>
      <c r="K1728">
        <v>150.97999999999999</v>
      </c>
      <c r="L1728">
        <v>27.1</v>
      </c>
      <c r="M1728" t="s">
        <v>35</v>
      </c>
    </row>
    <row r="1729" spans="1:13" x14ac:dyDescent="0.3">
      <c r="A1729" t="s">
        <v>3092</v>
      </c>
      <c r="B1729" t="s">
        <v>220</v>
      </c>
      <c r="C1729" t="s">
        <v>3093</v>
      </c>
      <c r="D1729" s="7" t="s">
        <v>452</v>
      </c>
      <c r="E1729" t="s">
        <v>59</v>
      </c>
      <c r="F1729" t="s">
        <v>26</v>
      </c>
      <c r="G1729" t="s">
        <v>118</v>
      </c>
      <c r="H1729">
        <v>2</v>
      </c>
      <c r="I1729">
        <v>205.7</v>
      </c>
      <c r="J1729">
        <v>0</v>
      </c>
      <c r="K1729">
        <v>411.4</v>
      </c>
      <c r="L1729">
        <v>96.02</v>
      </c>
      <c r="M1729" t="s">
        <v>40</v>
      </c>
    </row>
    <row r="1730" spans="1:13" x14ac:dyDescent="0.3">
      <c r="A1730" t="s">
        <v>3094</v>
      </c>
      <c r="B1730" t="s">
        <v>385</v>
      </c>
      <c r="C1730" t="s">
        <v>1244</v>
      </c>
      <c r="D1730" s="7" t="s">
        <v>835</v>
      </c>
      <c r="E1730" t="s">
        <v>59</v>
      </c>
      <c r="F1730" t="s">
        <v>89</v>
      </c>
      <c r="G1730" t="s">
        <v>90</v>
      </c>
      <c r="H1730">
        <v>6</v>
      </c>
      <c r="I1730">
        <v>23.2</v>
      </c>
      <c r="J1730">
        <v>0.05</v>
      </c>
      <c r="K1730">
        <v>132.24</v>
      </c>
      <c r="L1730">
        <v>16.09</v>
      </c>
      <c r="M1730" t="s">
        <v>20</v>
      </c>
    </row>
    <row r="1731" spans="1:13" x14ac:dyDescent="0.3">
      <c r="A1731" t="s">
        <v>3095</v>
      </c>
      <c r="B1731" t="s">
        <v>432</v>
      </c>
      <c r="C1731" t="s">
        <v>617</v>
      </c>
      <c r="D1731" s="7" t="s">
        <v>1969</v>
      </c>
      <c r="E1731" t="s">
        <v>17</v>
      </c>
      <c r="F1731" t="s">
        <v>89</v>
      </c>
      <c r="G1731" t="s">
        <v>150</v>
      </c>
      <c r="H1731">
        <v>6</v>
      </c>
      <c r="I1731">
        <v>166.5</v>
      </c>
      <c r="J1731">
        <v>0.15</v>
      </c>
      <c r="K1731">
        <v>849.15</v>
      </c>
      <c r="L1731">
        <v>84.29</v>
      </c>
      <c r="M1731" t="s">
        <v>20</v>
      </c>
    </row>
    <row r="1732" spans="1:13" x14ac:dyDescent="0.3">
      <c r="A1732" t="s">
        <v>3096</v>
      </c>
      <c r="B1732" t="s">
        <v>1626</v>
      </c>
      <c r="C1732" t="s">
        <v>429</v>
      </c>
      <c r="D1732" s="7" t="s">
        <v>262</v>
      </c>
      <c r="E1732" t="s">
        <v>25</v>
      </c>
      <c r="F1732" t="s">
        <v>89</v>
      </c>
      <c r="G1732" t="s">
        <v>150</v>
      </c>
      <c r="H1732">
        <v>1</v>
      </c>
      <c r="I1732">
        <v>167.94</v>
      </c>
      <c r="J1732">
        <v>0.15</v>
      </c>
      <c r="K1732">
        <v>142.75</v>
      </c>
      <c r="L1732">
        <v>23.08</v>
      </c>
      <c r="M1732" t="s">
        <v>35</v>
      </c>
    </row>
    <row r="1733" spans="1:13" x14ac:dyDescent="0.3">
      <c r="A1733" t="s">
        <v>3097</v>
      </c>
      <c r="B1733" t="s">
        <v>2151</v>
      </c>
      <c r="C1733" t="s">
        <v>757</v>
      </c>
      <c r="D1733" s="7" t="s">
        <v>645</v>
      </c>
      <c r="E1733" t="s">
        <v>59</v>
      </c>
      <c r="F1733" t="s">
        <v>89</v>
      </c>
      <c r="G1733" t="s">
        <v>90</v>
      </c>
      <c r="H1733">
        <v>2</v>
      </c>
      <c r="I1733">
        <v>69.09</v>
      </c>
      <c r="J1733">
        <v>0.1</v>
      </c>
      <c r="K1733">
        <v>124.36</v>
      </c>
      <c r="L1733">
        <v>14.39</v>
      </c>
      <c r="M1733" t="s">
        <v>35</v>
      </c>
    </row>
    <row r="1734" spans="1:13" x14ac:dyDescent="0.3">
      <c r="A1734" t="s">
        <v>3098</v>
      </c>
      <c r="B1734" t="s">
        <v>1746</v>
      </c>
      <c r="C1734" t="s">
        <v>1016</v>
      </c>
      <c r="D1734" s="7" t="s">
        <v>985</v>
      </c>
      <c r="E1734" t="s">
        <v>25</v>
      </c>
      <c r="F1734" t="s">
        <v>26</v>
      </c>
      <c r="G1734" t="s">
        <v>84</v>
      </c>
      <c r="H1734">
        <v>1</v>
      </c>
      <c r="I1734">
        <v>76.540000000000006</v>
      </c>
      <c r="J1734">
        <v>0.15</v>
      </c>
      <c r="K1734">
        <v>65.06</v>
      </c>
      <c r="L1734">
        <v>17.34</v>
      </c>
      <c r="M1734" t="s">
        <v>35</v>
      </c>
    </row>
    <row r="1735" spans="1:13" x14ac:dyDescent="0.3">
      <c r="A1735" t="s">
        <v>3099</v>
      </c>
      <c r="B1735" t="s">
        <v>331</v>
      </c>
      <c r="C1735" t="s">
        <v>946</v>
      </c>
      <c r="D1735" s="7" t="s">
        <v>1272</v>
      </c>
      <c r="E1735" t="s">
        <v>59</v>
      </c>
      <c r="F1735" t="s">
        <v>26</v>
      </c>
      <c r="G1735" t="s">
        <v>27</v>
      </c>
      <c r="H1735">
        <v>6</v>
      </c>
      <c r="I1735">
        <v>61.24</v>
      </c>
      <c r="J1735">
        <v>0.15</v>
      </c>
      <c r="K1735">
        <v>312.32</v>
      </c>
      <c r="L1735">
        <v>67.61</v>
      </c>
      <c r="M1735" t="s">
        <v>40</v>
      </c>
    </row>
    <row r="1736" spans="1:13" x14ac:dyDescent="0.3">
      <c r="A1736" t="s">
        <v>3100</v>
      </c>
      <c r="B1736" t="s">
        <v>2500</v>
      </c>
      <c r="C1736" t="s">
        <v>575</v>
      </c>
      <c r="D1736" s="7" t="s">
        <v>1130</v>
      </c>
      <c r="E1736" t="s">
        <v>32</v>
      </c>
      <c r="F1736" t="s">
        <v>26</v>
      </c>
      <c r="G1736" t="s">
        <v>84</v>
      </c>
      <c r="H1736">
        <v>6</v>
      </c>
      <c r="I1736">
        <v>147.38999999999999</v>
      </c>
      <c r="J1736">
        <v>0</v>
      </c>
      <c r="K1736">
        <v>884.34</v>
      </c>
      <c r="L1736">
        <v>244.8</v>
      </c>
      <c r="M1736" t="s">
        <v>40</v>
      </c>
    </row>
    <row r="1737" spans="1:13" x14ac:dyDescent="0.3">
      <c r="A1737" t="s">
        <v>3101</v>
      </c>
      <c r="B1737" t="s">
        <v>1925</v>
      </c>
      <c r="C1737" t="s">
        <v>1990</v>
      </c>
      <c r="D1737" s="7" t="s">
        <v>944</v>
      </c>
      <c r="E1737" t="s">
        <v>59</v>
      </c>
      <c r="F1737" t="s">
        <v>89</v>
      </c>
      <c r="G1737" t="s">
        <v>90</v>
      </c>
      <c r="H1737">
        <v>5</v>
      </c>
      <c r="I1737">
        <v>73.16</v>
      </c>
      <c r="J1737">
        <v>0.05</v>
      </c>
      <c r="K1737">
        <v>347.51</v>
      </c>
      <c r="L1737">
        <v>89.91</v>
      </c>
      <c r="M1737" t="s">
        <v>20</v>
      </c>
    </row>
    <row r="1738" spans="1:13" x14ac:dyDescent="0.3">
      <c r="A1738" t="s">
        <v>3102</v>
      </c>
      <c r="B1738" t="s">
        <v>2724</v>
      </c>
      <c r="C1738" t="s">
        <v>1255</v>
      </c>
      <c r="D1738" s="7" t="s">
        <v>227</v>
      </c>
      <c r="E1738" t="s">
        <v>17</v>
      </c>
      <c r="F1738" t="s">
        <v>18</v>
      </c>
      <c r="G1738" t="s">
        <v>45</v>
      </c>
      <c r="H1738">
        <v>8</v>
      </c>
      <c r="I1738">
        <v>101.9</v>
      </c>
      <c r="J1738">
        <v>0</v>
      </c>
      <c r="K1738">
        <v>815.2</v>
      </c>
      <c r="L1738">
        <v>107.91</v>
      </c>
      <c r="M1738" t="s">
        <v>20</v>
      </c>
    </row>
    <row r="1739" spans="1:13" x14ac:dyDescent="0.3">
      <c r="A1739" t="s">
        <v>3103</v>
      </c>
      <c r="B1739" t="s">
        <v>1298</v>
      </c>
      <c r="C1739" t="s">
        <v>386</v>
      </c>
      <c r="D1739" s="7" t="s">
        <v>501</v>
      </c>
      <c r="E1739" t="s">
        <v>59</v>
      </c>
      <c r="F1739" t="s">
        <v>26</v>
      </c>
      <c r="G1739" t="s">
        <v>118</v>
      </c>
      <c r="H1739">
        <v>2</v>
      </c>
      <c r="I1739">
        <v>95.71</v>
      </c>
      <c r="J1739">
        <v>0.05</v>
      </c>
      <c r="K1739">
        <v>181.85</v>
      </c>
      <c r="L1739">
        <v>51.75</v>
      </c>
      <c r="M1739" t="s">
        <v>20</v>
      </c>
    </row>
    <row r="1740" spans="1:13" x14ac:dyDescent="0.3">
      <c r="A1740" t="s">
        <v>3104</v>
      </c>
      <c r="B1740" t="s">
        <v>483</v>
      </c>
      <c r="C1740" t="s">
        <v>53</v>
      </c>
      <c r="D1740" s="7" t="s">
        <v>851</v>
      </c>
      <c r="E1740" t="s">
        <v>17</v>
      </c>
      <c r="F1740" t="s">
        <v>33</v>
      </c>
      <c r="G1740" t="s">
        <v>69</v>
      </c>
      <c r="H1740">
        <v>7</v>
      </c>
      <c r="I1740">
        <v>178.62</v>
      </c>
      <c r="J1740">
        <v>0.05</v>
      </c>
      <c r="K1740">
        <v>1187.82</v>
      </c>
      <c r="L1740">
        <v>169.2</v>
      </c>
      <c r="M1740" t="s">
        <v>20</v>
      </c>
    </row>
    <row r="1741" spans="1:13" x14ac:dyDescent="0.3">
      <c r="A1741" t="s">
        <v>3105</v>
      </c>
      <c r="B1741" t="s">
        <v>313</v>
      </c>
      <c r="C1741" t="s">
        <v>597</v>
      </c>
      <c r="D1741" s="7" t="s">
        <v>1750</v>
      </c>
      <c r="E1741" t="s">
        <v>17</v>
      </c>
      <c r="F1741" t="s">
        <v>33</v>
      </c>
      <c r="G1741" t="s">
        <v>69</v>
      </c>
      <c r="H1741">
        <v>3</v>
      </c>
      <c r="I1741">
        <v>41.2</v>
      </c>
      <c r="J1741">
        <v>0.1</v>
      </c>
      <c r="K1741">
        <v>111.24</v>
      </c>
      <c r="L1741">
        <v>32.86</v>
      </c>
      <c r="M1741" t="s">
        <v>40</v>
      </c>
    </row>
    <row r="1742" spans="1:13" x14ac:dyDescent="0.3">
      <c r="A1742" t="s">
        <v>3106</v>
      </c>
      <c r="B1742" t="s">
        <v>500</v>
      </c>
      <c r="C1742" t="s">
        <v>1176</v>
      </c>
      <c r="D1742" s="7" t="s">
        <v>1680</v>
      </c>
      <c r="E1742" t="s">
        <v>64</v>
      </c>
      <c r="F1742" t="s">
        <v>26</v>
      </c>
      <c r="G1742" t="s">
        <v>84</v>
      </c>
      <c r="H1742">
        <v>1</v>
      </c>
      <c r="I1742">
        <v>67.2</v>
      </c>
      <c r="J1742">
        <v>0</v>
      </c>
      <c r="K1742">
        <v>67.2</v>
      </c>
      <c r="L1742">
        <v>10.66</v>
      </c>
      <c r="M1742" t="s">
        <v>35</v>
      </c>
    </row>
    <row r="1743" spans="1:13" x14ac:dyDescent="0.3">
      <c r="A1743" t="s">
        <v>3107</v>
      </c>
      <c r="B1743" t="s">
        <v>1557</v>
      </c>
      <c r="C1743" t="s">
        <v>1026</v>
      </c>
      <c r="D1743" s="7" t="s">
        <v>2239</v>
      </c>
      <c r="E1743" t="s">
        <v>64</v>
      </c>
      <c r="F1743" t="s">
        <v>26</v>
      </c>
      <c r="G1743" t="s">
        <v>118</v>
      </c>
      <c r="H1743">
        <v>2</v>
      </c>
      <c r="I1743">
        <v>133.81</v>
      </c>
      <c r="J1743">
        <v>0.05</v>
      </c>
      <c r="K1743">
        <v>254.24</v>
      </c>
      <c r="L1743">
        <v>73.19</v>
      </c>
      <c r="M1743" t="s">
        <v>35</v>
      </c>
    </row>
    <row r="1744" spans="1:13" x14ac:dyDescent="0.3">
      <c r="A1744" t="s">
        <v>3108</v>
      </c>
      <c r="B1744" t="s">
        <v>457</v>
      </c>
      <c r="C1744" t="s">
        <v>1379</v>
      </c>
      <c r="D1744" s="7" t="s">
        <v>937</v>
      </c>
      <c r="E1744" t="s">
        <v>59</v>
      </c>
      <c r="F1744" t="s">
        <v>33</v>
      </c>
      <c r="G1744" t="s">
        <v>69</v>
      </c>
      <c r="H1744">
        <v>5</v>
      </c>
      <c r="I1744">
        <v>84.21</v>
      </c>
      <c r="J1744">
        <v>0.15</v>
      </c>
      <c r="K1744">
        <v>357.89</v>
      </c>
      <c r="L1744">
        <v>94.94</v>
      </c>
      <c r="M1744" t="s">
        <v>40</v>
      </c>
    </row>
    <row r="1745" spans="1:13" x14ac:dyDescent="0.3">
      <c r="A1745" t="s">
        <v>3109</v>
      </c>
      <c r="B1745" t="s">
        <v>493</v>
      </c>
      <c r="C1745" t="s">
        <v>177</v>
      </c>
      <c r="D1745" s="7" t="s">
        <v>300</v>
      </c>
      <c r="E1745" t="s">
        <v>25</v>
      </c>
      <c r="F1745" t="s">
        <v>26</v>
      </c>
      <c r="G1745" t="s">
        <v>84</v>
      </c>
      <c r="H1745">
        <v>8</v>
      </c>
      <c r="I1745">
        <v>44.96</v>
      </c>
      <c r="J1745">
        <v>0.1</v>
      </c>
      <c r="K1745">
        <v>323.70999999999998</v>
      </c>
      <c r="L1745">
        <v>61.09</v>
      </c>
      <c r="M1745" t="s">
        <v>35</v>
      </c>
    </row>
    <row r="1746" spans="1:13" x14ac:dyDescent="0.3">
      <c r="A1746" t="s">
        <v>3110</v>
      </c>
      <c r="B1746" t="s">
        <v>1081</v>
      </c>
      <c r="C1746" t="s">
        <v>684</v>
      </c>
      <c r="D1746" s="7" t="s">
        <v>576</v>
      </c>
      <c r="E1746" t="s">
        <v>59</v>
      </c>
      <c r="F1746" t="s">
        <v>33</v>
      </c>
      <c r="G1746" t="s">
        <v>50</v>
      </c>
      <c r="H1746">
        <v>2</v>
      </c>
      <c r="I1746">
        <v>64.680000000000007</v>
      </c>
      <c r="J1746">
        <v>0.15</v>
      </c>
      <c r="K1746">
        <v>109.96</v>
      </c>
      <c r="L1746">
        <v>22.94</v>
      </c>
      <c r="M1746" t="s">
        <v>35</v>
      </c>
    </row>
    <row r="1747" spans="1:13" x14ac:dyDescent="0.3">
      <c r="A1747" t="s">
        <v>3111</v>
      </c>
      <c r="B1747" t="s">
        <v>2034</v>
      </c>
      <c r="C1747" t="s">
        <v>1102</v>
      </c>
      <c r="D1747" s="7" t="s">
        <v>3112</v>
      </c>
      <c r="E1747" t="s">
        <v>25</v>
      </c>
      <c r="F1747" t="s">
        <v>89</v>
      </c>
      <c r="G1747" t="s">
        <v>150</v>
      </c>
      <c r="H1747">
        <v>5</v>
      </c>
      <c r="I1747">
        <v>50.82</v>
      </c>
      <c r="J1747">
        <v>0.1</v>
      </c>
      <c r="K1747">
        <v>228.69</v>
      </c>
      <c r="L1747">
        <v>64.48</v>
      </c>
      <c r="M1747" t="s">
        <v>40</v>
      </c>
    </row>
    <row r="1748" spans="1:13" x14ac:dyDescent="0.3">
      <c r="A1748" t="s">
        <v>3113</v>
      </c>
      <c r="B1748" t="s">
        <v>1883</v>
      </c>
      <c r="C1748" t="s">
        <v>1682</v>
      </c>
      <c r="D1748" s="7" t="s">
        <v>2372</v>
      </c>
      <c r="E1748" t="s">
        <v>32</v>
      </c>
      <c r="F1748" t="s">
        <v>18</v>
      </c>
      <c r="G1748" t="s">
        <v>19</v>
      </c>
      <c r="H1748">
        <v>2</v>
      </c>
      <c r="I1748">
        <v>185.56</v>
      </c>
      <c r="J1748">
        <v>0.15</v>
      </c>
      <c r="K1748">
        <v>315.45</v>
      </c>
      <c r="L1748">
        <v>91.6</v>
      </c>
      <c r="M1748" t="s">
        <v>40</v>
      </c>
    </row>
    <row r="1749" spans="1:13" x14ac:dyDescent="0.3">
      <c r="A1749" t="s">
        <v>3114</v>
      </c>
      <c r="B1749" t="s">
        <v>278</v>
      </c>
      <c r="C1749" t="s">
        <v>890</v>
      </c>
      <c r="D1749" s="7" t="s">
        <v>98</v>
      </c>
      <c r="E1749" t="s">
        <v>59</v>
      </c>
      <c r="F1749" t="s">
        <v>26</v>
      </c>
      <c r="G1749" t="s">
        <v>118</v>
      </c>
      <c r="H1749">
        <v>7</v>
      </c>
      <c r="I1749">
        <v>84.59</v>
      </c>
      <c r="J1749">
        <v>0.05</v>
      </c>
      <c r="K1749">
        <v>562.52</v>
      </c>
      <c r="L1749">
        <v>118.18</v>
      </c>
      <c r="M1749" t="s">
        <v>20</v>
      </c>
    </row>
    <row r="1750" spans="1:13" x14ac:dyDescent="0.3">
      <c r="A1750" t="s">
        <v>3115</v>
      </c>
      <c r="B1750" t="s">
        <v>286</v>
      </c>
      <c r="C1750" t="s">
        <v>504</v>
      </c>
      <c r="D1750" s="7" t="s">
        <v>1505</v>
      </c>
      <c r="E1750" t="s">
        <v>64</v>
      </c>
      <c r="F1750" t="s">
        <v>26</v>
      </c>
      <c r="G1750" t="s">
        <v>84</v>
      </c>
      <c r="H1750">
        <v>1</v>
      </c>
      <c r="I1750">
        <v>246.18</v>
      </c>
      <c r="J1750">
        <v>0.1</v>
      </c>
      <c r="K1750">
        <v>221.56</v>
      </c>
      <c r="L1750">
        <v>28.85</v>
      </c>
      <c r="M1750" t="s">
        <v>20</v>
      </c>
    </row>
    <row r="1751" spans="1:13" x14ac:dyDescent="0.3">
      <c r="A1751" t="s">
        <v>3116</v>
      </c>
      <c r="B1751" t="s">
        <v>1536</v>
      </c>
      <c r="C1751" t="s">
        <v>1227</v>
      </c>
      <c r="D1751" s="7" t="s">
        <v>1767</v>
      </c>
      <c r="E1751" t="s">
        <v>59</v>
      </c>
      <c r="F1751" t="s">
        <v>33</v>
      </c>
      <c r="G1751" t="s">
        <v>50</v>
      </c>
      <c r="H1751">
        <v>2</v>
      </c>
      <c r="I1751">
        <v>61.03</v>
      </c>
      <c r="J1751">
        <v>0.1</v>
      </c>
      <c r="K1751">
        <v>109.85</v>
      </c>
      <c r="L1751">
        <v>24.23</v>
      </c>
      <c r="M1751" t="s">
        <v>40</v>
      </c>
    </row>
    <row r="1752" spans="1:13" x14ac:dyDescent="0.3">
      <c r="A1752" t="s">
        <v>3117</v>
      </c>
      <c r="B1752" t="s">
        <v>1644</v>
      </c>
      <c r="C1752" t="s">
        <v>644</v>
      </c>
      <c r="D1752" s="7" t="s">
        <v>1647</v>
      </c>
      <c r="E1752" t="s">
        <v>25</v>
      </c>
      <c r="F1752" t="s">
        <v>26</v>
      </c>
      <c r="G1752" t="s">
        <v>118</v>
      </c>
      <c r="H1752">
        <v>2</v>
      </c>
      <c r="I1752">
        <v>51.09</v>
      </c>
      <c r="J1752">
        <v>0</v>
      </c>
      <c r="K1752">
        <v>102.18</v>
      </c>
      <c r="L1752">
        <v>30.52</v>
      </c>
      <c r="M1752" t="s">
        <v>20</v>
      </c>
    </row>
    <row r="1753" spans="1:13" x14ac:dyDescent="0.3">
      <c r="A1753" t="s">
        <v>3118</v>
      </c>
      <c r="B1753" t="s">
        <v>1267</v>
      </c>
      <c r="C1753" t="s">
        <v>2925</v>
      </c>
      <c r="D1753" s="7" t="s">
        <v>227</v>
      </c>
      <c r="E1753" t="s">
        <v>64</v>
      </c>
      <c r="F1753" t="s">
        <v>18</v>
      </c>
      <c r="G1753" t="s">
        <v>19</v>
      </c>
      <c r="H1753">
        <v>1</v>
      </c>
      <c r="I1753">
        <v>137.13999999999999</v>
      </c>
      <c r="J1753">
        <v>0</v>
      </c>
      <c r="K1753">
        <v>137.13999999999999</v>
      </c>
      <c r="L1753">
        <v>18.13</v>
      </c>
      <c r="M1753" t="s">
        <v>35</v>
      </c>
    </row>
    <row r="1754" spans="1:13" x14ac:dyDescent="0.3">
      <c r="A1754" t="s">
        <v>3119</v>
      </c>
      <c r="B1754" t="s">
        <v>1581</v>
      </c>
      <c r="C1754" t="s">
        <v>740</v>
      </c>
      <c r="D1754" s="7" t="s">
        <v>738</v>
      </c>
      <c r="E1754" t="s">
        <v>64</v>
      </c>
      <c r="F1754" t="s">
        <v>26</v>
      </c>
      <c r="G1754" t="s">
        <v>118</v>
      </c>
      <c r="H1754">
        <v>1</v>
      </c>
      <c r="I1754">
        <v>65.2</v>
      </c>
      <c r="J1754">
        <v>0.15</v>
      </c>
      <c r="K1754">
        <v>55.42</v>
      </c>
      <c r="L1754">
        <v>10.09</v>
      </c>
      <c r="M1754" t="s">
        <v>40</v>
      </c>
    </row>
    <row r="1755" spans="1:13" x14ac:dyDescent="0.3">
      <c r="A1755" t="s">
        <v>3120</v>
      </c>
      <c r="B1755" t="s">
        <v>365</v>
      </c>
      <c r="C1755" t="s">
        <v>1754</v>
      </c>
      <c r="D1755" s="7" t="s">
        <v>1067</v>
      </c>
      <c r="E1755" t="s">
        <v>59</v>
      </c>
      <c r="F1755" t="s">
        <v>18</v>
      </c>
      <c r="G1755" t="s">
        <v>19</v>
      </c>
      <c r="H1755">
        <v>2</v>
      </c>
      <c r="I1755">
        <v>35.08</v>
      </c>
      <c r="J1755">
        <v>0</v>
      </c>
      <c r="K1755">
        <v>70.16</v>
      </c>
      <c r="L1755">
        <v>15.41</v>
      </c>
      <c r="M1755" t="s">
        <v>40</v>
      </c>
    </row>
    <row r="1756" spans="1:13" x14ac:dyDescent="0.3">
      <c r="A1756" t="s">
        <v>3121</v>
      </c>
      <c r="B1756" t="s">
        <v>752</v>
      </c>
      <c r="C1756" t="s">
        <v>802</v>
      </c>
      <c r="D1756" s="7" t="s">
        <v>813</v>
      </c>
      <c r="E1756" t="s">
        <v>25</v>
      </c>
      <c r="F1756" t="s">
        <v>89</v>
      </c>
      <c r="G1756" t="s">
        <v>150</v>
      </c>
      <c r="H1756">
        <v>5</v>
      </c>
      <c r="I1756">
        <v>148.07</v>
      </c>
      <c r="J1756">
        <v>0</v>
      </c>
      <c r="K1756">
        <v>740.35</v>
      </c>
      <c r="L1756">
        <v>61.81</v>
      </c>
      <c r="M1756" t="s">
        <v>40</v>
      </c>
    </row>
    <row r="1757" spans="1:13" x14ac:dyDescent="0.3">
      <c r="A1757" t="s">
        <v>3122</v>
      </c>
      <c r="B1757" t="s">
        <v>1136</v>
      </c>
      <c r="C1757" t="s">
        <v>1411</v>
      </c>
      <c r="D1757" s="7" t="s">
        <v>1859</v>
      </c>
      <c r="E1757" t="s">
        <v>64</v>
      </c>
      <c r="F1757" t="s">
        <v>18</v>
      </c>
      <c r="G1757" t="s">
        <v>45</v>
      </c>
      <c r="H1757">
        <v>6</v>
      </c>
      <c r="I1757">
        <v>59.87</v>
      </c>
      <c r="J1757">
        <v>0.1</v>
      </c>
      <c r="K1757">
        <v>323.3</v>
      </c>
      <c r="L1757">
        <v>45.05</v>
      </c>
      <c r="M1757" t="s">
        <v>40</v>
      </c>
    </row>
    <row r="1758" spans="1:13" x14ac:dyDescent="0.3">
      <c r="A1758" t="s">
        <v>3123</v>
      </c>
      <c r="B1758" t="s">
        <v>92</v>
      </c>
      <c r="C1758" t="s">
        <v>116</v>
      </c>
      <c r="D1758" s="7" t="s">
        <v>445</v>
      </c>
      <c r="E1758" t="s">
        <v>59</v>
      </c>
      <c r="F1758" t="s">
        <v>33</v>
      </c>
      <c r="G1758" t="s">
        <v>69</v>
      </c>
      <c r="H1758">
        <v>1</v>
      </c>
      <c r="I1758">
        <v>163.78</v>
      </c>
      <c r="J1758">
        <v>0.05</v>
      </c>
      <c r="K1758">
        <v>155.59</v>
      </c>
      <c r="L1758">
        <v>36.159999999999997</v>
      </c>
      <c r="M1758" t="s">
        <v>40</v>
      </c>
    </row>
    <row r="1759" spans="1:13" x14ac:dyDescent="0.3">
      <c r="A1759" t="s">
        <v>3124</v>
      </c>
      <c r="B1759" t="s">
        <v>1624</v>
      </c>
      <c r="C1759" t="s">
        <v>507</v>
      </c>
      <c r="D1759" s="7" t="s">
        <v>1051</v>
      </c>
      <c r="E1759" t="s">
        <v>64</v>
      </c>
      <c r="F1759" t="s">
        <v>89</v>
      </c>
      <c r="G1759" t="s">
        <v>150</v>
      </c>
      <c r="H1759">
        <v>7</v>
      </c>
      <c r="I1759">
        <v>78.84</v>
      </c>
      <c r="J1759">
        <v>0.1</v>
      </c>
      <c r="K1759">
        <v>496.69</v>
      </c>
      <c r="L1759">
        <v>142.01</v>
      </c>
      <c r="M1759" t="s">
        <v>35</v>
      </c>
    </row>
    <row r="1760" spans="1:13" x14ac:dyDescent="0.3">
      <c r="A1760" t="s">
        <v>3125</v>
      </c>
      <c r="B1760" t="s">
        <v>408</v>
      </c>
      <c r="C1760" t="s">
        <v>1957</v>
      </c>
      <c r="D1760" s="7" t="s">
        <v>1640</v>
      </c>
      <c r="E1760" t="s">
        <v>17</v>
      </c>
      <c r="F1760" t="s">
        <v>18</v>
      </c>
      <c r="G1760" t="s">
        <v>45</v>
      </c>
      <c r="H1760">
        <v>8</v>
      </c>
      <c r="I1760">
        <v>76.23</v>
      </c>
      <c r="J1760">
        <v>0.05</v>
      </c>
      <c r="K1760">
        <v>579.35</v>
      </c>
      <c r="L1760">
        <v>150.77000000000001</v>
      </c>
      <c r="M1760" t="s">
        <v>35</v>
      </c>
    </row>
    <row r="1761" spans="1:13" x14ac:dyDescent="0.3">
      <c r="A1761" t="s">
        <v>3126</v>
      </c>
      <c r="B1761" t="s">
        <v>2512</v>
      </c>
      <c r="C1761" t="s">
        <v>1361</v>
      </c>
      <c r="D1761" s="7" t="s">
        <v>3127</v>
      </c>
      <c r="E1761" t="s">
        <v>32</v>
      </c>
      <c r="F1761" t="s">
        <v>33</v>
      </c>
      <c r="G1761" t="s">
        <v>74</v>
      </c>
      <c r="H1761">
        <v>2</v>
      </c>
      <c r="I1761">
        <v>56.15</v>
      </c>
      <c r="J1761">
        <v>0</v>
      </c>
      <c r="K1761">
        <v>112.3</v>
      </c>
      <c r="L1761">
        <v>30.81</v>
      </c>
      <c r="M1761" t="s">
        <v>35</v>
      </c>
    </row>
    <row r="1762" spans="1:13" x14ac:dyDescent="0.3">
      <c r="A1762" t="s">
        <v>3128</v>
      </c>
      <c r="B1762" t="s">
        <v>983</v>
      </c>
      <c r="C1762" t="s">
        <v>555</v>
      </c>
      <c r="D1762" s="7" t="s">
        <v>1828</v>
      </c>
      <c r="E1762" t="s">
        <v>17</v>
      </c>
      <c r="F1762" t="s">
        <v>33</v>
      </c>
      <c r="G1762" t="s">
        <v>74</v>
      </c>
      <c r="H1762">
        <v>1</v>
      </c>
      <c r="I1762">
        <v>110.81</v>
      </c>
      <c r="J1762">
        <v>0.1</v>
      </c>
      <c r="K1762">
        <v>99.73</v>
      </c>
      <c r="L1762">
        <v>12.73</v>
      </c>
      <c r="M1762" t="s">
        <v>20</v>
      </c>
    </row>
    <row r="1763" spans="1:13" x14ac:dyDescent="0.3">
      <c r="A1763" t="s">
        <v>3129</v>
      </c>
      <c r="B1763" t="s">
        <v>170</v>
      </c>
      <c r="C1763" t="s">
        <v>1968</v>
      </c>
      <c r="D1763" s="7" t="s">
        <v>1934</v>
      </c>
      <c r="E1763" t="s">
        <v>25</v>
      </c>
      <c r="F1763" t="s">
        <v>26</v>
      </c>
      <c r="G1763" t="s">
        <v>84</v>
      </c>
      <c r="H1763">
        <v>2</v>
      </c>
      <c r="I1763">
        <v>48.84</v>
      </c>
      <c r="J1763">
        <v>0</v>
      </c>
      <c r="K1763">
        <v>97.68</v>
      </c>
      <c r="L1763">
        <v>20</v>
      </c>
      <c r="M1763" t="s">
        <v>35</v>
      </c>
    </row>
    <row r="1764" spans="1:13" x14ac:dyDescent="0.3">
      <c r="A1764" t="s">
        <v>3130</v>
      </c>
      <c r="B1764" t="s">
        <v>392</v>
      </c>
      <c r="C1764" t="s">
        <v>876</v>
      </c>
      <c r="D1764" s="7" t="s">
        <v>1127</v>
      </c>
      <c r="E1764" t="s">
        <v>64</v>
      </c>
      <c r="F1764" t="s">
        <v>18</v>
      </c>
      <c r="G1764" t="s">
        <v>79</v>
      </c>
      <c r="H1764">
        <v>7</v>
      </c>
      <c r="I1764">
        <v>39.869999999999997</v>
      </c>
      <c r="J1764">
        <v>0.05</v>
      </c>
      <c r="K1764">
        <v>265.14</v>
      </c>
      <c r="L1764">
        <v>75.59</v>
      </c>
      <c r="M1764" t="s">
        <v>40</v>
      </c>
    </row>
    <row r="1765" spans="1:13" x14ac:dyDescent="0.3">
      <c r="A1765" t="s">
        <v>3131</v>
      </c>
      <c r="B1765" t="s">
        <v>810</v>
      </c>
      <c r="C1765" t="s">
        <v>2809</v>
      </c>
      <c r="D1765" s="7" t="s">
        <v>803</v>
      </c>
      <c r="E1765" t="s">
        <v>32</v>
      </c>
      <c r="F1765" t="s">
        <v>18</v>
      </c>
      <c r="G1765" t="s">
        <v>19</v>
      </c>
      <c r="H1765">
        <v>8</v>
      </c>
      <c r="I1765">
        <v>49.06</v>
      </c>
      <c r="J1765">
        <v>0.1</v>
      </c>
      <c r="K1765">
        <v>353.23</v>
      </c>
      <c r="L1765">
        <v>68.540000000000006</v>
      </c>
      <c r="M1765" t="s">
        <v>40</v>
      </c>
    </row>
    <row r="1766" spans="1:13" x14ac:dyDescent="0.3">
      <c r="A1766" t="s">
        <v>3132</v>
      </c>
      <c r="B1766" t="s">
        <v>810</v>
      </c>
      <c r="C1766" t="s">
        <v>30</v>
      </c>
      <c r="D1766" s="7" t="s">
        <v>1731</v>
      </c>
      <c r="E1766" t="s">
        <v>17</v>
      </c>
      <c r="F1766" t="s">
        <v>33</v>
      </c>
      <c r="G1766" t="s">
        <v>69</v>
      </c>
      <c r="H1766">
        <v>3</v>
      </c>
      <c r="I1766">
        <v>134.63999999999999</v>
      </c>
      <c r="J1766">
        <v>0.15</v>
      </c>
      <c r="K1766">
        <v>343.33</v>
      </c>
      <c r="L1766">
        <v>64.06</v>
      </c>
      <c r="M1766" t="s">
        <v>35</v>
      </c>
    </row>
    <row r="1767" spans="1:13" x14ac:dyDescent="0.3">
      <c r="A1767" t="s">
        <v>3133</v>
      </c>
      <c r="B1767" t="s">
        <v>335</v>
      </c>
      <c r="C1767" t="s">
        <v>3134</v>
      </c>
      <c r="D1767" s="7" t="s">
        <v>803</v>
      </c>
      <c r="E1767" t="s">
        <v>25</v>
      </c>
      <c r="F1767" t="s">
        <v>89</v>
      </c>
      <c r="G1767" t="s">
        <v>90</v>
      </c>
      <c r="H1767">
        <v>1</v>
      </c>
      <c r="I1767">
        <v>242.91</v>
      </c>
      <c r="J1767">
        <v>0.05</v>
      </c>
      <c r="K1767">
        <v>230.76</v>
      </c>
      <c r="L1767">
        <v>35.96</v>
      </c>
      <c r="M1767" t="s">
        <v>35</v>
      </c>
    </row>
    <row r="1768" spans="1:13" x14ac:dyDescent="0.3">
      <c r="A1768" t="s">
        <v>3135</v>
      </c>
      <c r="B1768" t="s">
        <v>443</v>
      </c>
      <c r="C1768" t="s">
        <v>3057</v>
      </c>
      <c r="D1768" s="7" t="s">
        <v>618</v>
      </c>
      <c r="E1768" t="s">
        <v>64</v>
      </c>
      <c r="F1768" t="s">
        <v>33</v>
      </c>
      <c r="G1768" t="s">
        <v>74</v>
      </c>
      <c r="H1768">
        <v>5</v>
      </c>
      <c r="I1768">
        <v>136.15</v>
      </c>
      <c r="J1768">
        <v>0</v>
      </c>
      <c r="K1768">
        <v>680.75</v>
      </c>
      <c r="L1768">
        <v>193.98</v>
      </c>
      <c r="M1768" t="s">
        <v>35</v>
      </c>
    </row>
    <row r="1769" spans="1:13" x14ac:dyDescent="0.3">
      <c r="A1769" t="s">
        <v>3136</v>
      </c>
      <c r="B1769" t="s">
        <v>974</v>
      </c>
      <c r="C1769" t="s">
        <v>350</v>
      </c>
      <c r="D1769" s="7" t="s">
        <v>469</v>
      </c>
      <c r="E1769" t="s">
        <v>64</v>
      </c>
      <c r="F1769" t="s">
        <v>18</v>
      </c>
      <c r="G1769" t="s">
        <v>79</v>
      </c>
      <c r="H1769">
        <v>4</v>
      </c>
      <c r="I1769">
        <v>92.7</v>
      </c>
      <c r="J1769">
        <v>0.15</v>
      </c>
      <c r="K1769">
        <v>315.18</v>
      </c>
      <c r="L1769">
        <v>60.27</v>
      </c>
      <c r="M1769" t="s">
        <v>20</v>
      </c>
    </row>
    <row r="1770" spans="1:13" x14ac:dyDescent="0.3">
      <c r="A1770" t="s">
        <v>3137</v>
      </c>
      <c r="B1770" t="s">
        <v>290</v>
      </c>
      <c r="C1770" t="s">
        <v>1237</v>
      </c>
      <c r="D1770" s="7" t="s">
        <v>997</v>
      </c>
      <c r="E1770" t="s">
        <v>64</v>
      </c>
      <c r="F1770" t="s">
        <v>89</v>
      </c>
      <c r="G1770" t="s">
        <v>90</v>
      </c>
      <c r="H1770">
        <v>7</v>
      </c>
      <c r="I1770">
        <v>153.13</v>
      </c>
      <c r="J1770">
        <v>0</v>
      </c>
      <c r="K1770">
        <v>1071.9100000000001</v>
      </c>
      <c r="L1770">
        <v>267.55</v>
      </c>
      <c r="M1770" t="s">
        <v>40</v>
      </c>
    </row>
    <row r="1771" spans="1:13" x14ac:dyDescent="0.3">
      <c r="A1771" t="s">
        <v>3138</v>
      </c>
      <c r="B1771" t="s">
        <v>37</v>
      </c>
      <c r="C1771" t="s">
        <v>421</v>
      </c>
      <c r="D1771" s="7" t="s">
        <v>3015</v>
      </c>
      <c r="E1771" t="s">
        <v>59</v>
      </c>
      <c r="F1771" t="s">
        <v>33</v>
      </c>
      <c r="G1771" t="s">
        <v>74</v>
      </c>
      <c r="H1771">
        <v>3</v>
      </c>
      <c r="I1771">
        <v>76.41</v>
      </c>
      <c r="J1771">
        <v>0.1</v>
      </c>
      <c r="K1771">
        <v>206.31</v>
      </c>
      <c r="L1771">
        <v>50.81</v>
      </c>
      <c r="M1771" t="s">
        <v>35</v>
      </c>
    </row>
    <row r="1772" spans="1:13" x14ac:dyDescent="0.3">
      <c r="A1772" t="s">
        <v>3139</v>
      </c>
      <c r="B1772" t="s">
        <v>1715</v>
      </c>
      <c r="C1772" t="s">
        <v>2618</v>
      </c>
      <c r="D1772" s="7" t="s">
        <v>273</v>
      </c>
      <c r="E1772" t="s">
        <v>17</v>
      </c>
      <c r="F1772" t="s">
        <v>26</v>
      </c>
      <c r="G1772" t="s">
        <v>118</v>
      </c>
      <c r="H1772">
        <v>3</v>
      </c>
      <c r="I1772">
        <v>60.76</v>
      </c>
      <c r="J1772">
        <v>0.15</v>
      </c>
      <c r="K1772">
        <v>154.94</v>
      </c>
      <c r="L1772">
        <v>17.329999999999998</v>
      </c>
      <c r="M1772" t="s">
        <v>40</v>
      </c>
    </row>
    <row r="1773" spans="1:13" x14ac:dyDescent="0.3">
      <c r="A1773" t="s">
        <v>3140</v>
      </c>
      <c r="B1773" t="s">
        <v>500</v>
      </c>
      <c r="C1773" t="s">
        <v>448</v>
      </c>
      <c r="D1773" s="7" t="s">
        <v>3141</v>
      </c>
      <c r="E1773" t="s">
        <v>59</v>
      </c>
      <c r="F1773" t="s">
        <v>26</v>
      </c>
      <c r="G1773" t="s">
        <v>118</v>
      </c>
      <c r="H1773">
        <v>5</v>
      </c>
      <c r="I1773">
        <v>134.37</v>
      </c>
      <c r="J1773">
        <v>0</v>
      </c>
      <c r="K1773">
        <v>671.85</v>
      </c>
      <c r="L1773">
        <v>136.46</v>
      </c>
      <c r="M1773" t="s">
        <v>40</v>
      </c>
    </row>
    <row r="1774" spans="1:13" x14ac:dyDescent="0.3">
      <c r="A1774" t="s">
        <v>3142</v>
      </c>
      <c r="B1774" t="s">
        <v>1015</v>
      </c>
      <c r="C1774" t="s">
        <v>3143</v>
      </c>
      <c r="D1774" s="7" t="s">
        <v>621</v>
      </c>
      <c r="E1774" t="s">
        <v>64</v>
      </c>
      <c r="F1774" t="s">
        <v>26</v>
      </c>
      <c r="G1774" t="s">
        <v>27</v>
      </c>
      <c r="H1774">
        <v>8</v>
      </c>
      <c r="I1774">
        <v>59.7</v>
      </c>
      <c r="J1774">
        <v>0</v>
      </c>
      <c r="K1774">
        <v>477.6</v>
      </c>
      <c r="L1774">
        <v>93.2</v>
      </c>
      <c r="M1774" t="s">
        <v>35</v>
      </c>
    </row>
    <row r="1775" spans="1:13" x14ac:dyDescent="0.3">
      <c r="A1775" t="s">
        <v>3144</v>
      </c>
      <c r="B1775" t="s">
        <v>1415</v>
      </c>
      <c r="C1775" t="s">
        <v>1798</v>
      </c>
      <c r="D1775" s="7" t="s">
        <v>1258</v>
      </c>
      <c r="E1775" t="s">
        <v>64</v>
      </c>
      <c r="F1775" t="s">
        <v>18</v>
      </c>
      <c r="G1775" t="s">
        <v>79</v>
      </c>
      <c r="H1775">
        <v>3</v>
      </c>
      <c r="I1775">
        <v>178.41</v>
      </c>
      <c r="J1775">
        <v>0.05</v>
      </c>
      <c r="K1775">
        <v>508.47</v>
      </c>
      <c r="L1775">
        <v>113.36</v>
      </c>
      <c r="M1775" t="s">
        <v>35</v>
      </c>
    </row>
    <row r="1776" spans="1:13" x14ac:dyDescent="0.3">
      <c r="A1776" t="s">
        <v>3145</v>
      </c>
      <c r="B1776" t="s">
        <v>1650</v>
      </c>
      <c r="C1776" t="s">
        <v>116</v>
      </c>
      <c r="D1776" s="7" t="s">
        <v>2418</v>
      </c>
      <c r="E1776" t="s">
        <v>64</v>
      </c>
      <c r="F1776" t="s">
        <v>33</v>
      </c>
      <c r="G1776" t="s">
        <v>50</v>
      </c>
      <c r="H1776">
        <v>1</v>
      </c>
      <c r="I1776">
        <v>10.37</v>
      </c>
      <c r="J1776">
        <v>0.1</v>
      </c>
      <c r="K1776">
        <v>9.33</v>
      </c>
      <c r="L1776">
        <v>2.0099999999999998</v>
      </c>
      <c r="M1776" t="s">
        <v>35</v>
      </c>
    </row>
    <row r="1777" spans="1:13" x14ac:dyDescent="0.3">
      <c r="A1777" t="s">
        <v>3146</v>
      </c>
      <c r="B1777" t="s">
        <v>974</v>
      </c>
      <c r="C1777" t="s">
        <v>946</v>
      </c>
      <c r="D1777" s="7" t="s">
        <v>738</v>
      </c>
      <c r="E1777" t="s">
        <v>32</v>
      </c>
      <c r="F1777" t="s">
        <v>89</v>
      </c>
      <c r="G1777" t="s">
        <v>90</v>
      </c>
      <c r="H1777">
        <v>2</v>
      </c>
      <c r="I1777">
        <v>69.22</v>
      </c>
      <c r="J1777">
        <v>0.15</v>
      </c>
      <c r="K1777">
        <v>117.67</v>
      </c>
      <c r="L1777">
        <v>21.83</v>
      </c>
      <c r="M1777" t="s">
        <v>20</v>
      </c>
    </row>
    <row r="1778" spans="1:13" x14ac:dyDescent="0.3">
      <c r="A1778" t="s">
        <v>3147</v>
      </c>
      <c r="B1778" t="s">
        <v>1644</v>
      </c>
      <c r="C1778" t="s">
        <v>1353</v>
      </c>
      <c r="D1778" s="7" t="s">
        <v>1596</v>
      </c>
      <c r="E1778" t="s">
        <v>17</v>
      </c>
      <c r="F1778" t="s">
        <v>18</v>
      </c>
      <c r="G1778" t="s">
        <v>45</v>
      </c>
      <c r="H1778">
        <v>7</v>
      </c>
      <c r="I1778">
        <v>181.09</v>
      </c>
      <c r="J1778">
        <v>0.1</v>
      </c>
      <c r="K1778">
        <v>1140.8699999999999</v>
      </c>
      <c r="L1778">
        <v>149.30000000000001</v>
      </c>
      <c r="M1778" t="s">
        <v>20</v>
      </c>
    </row>
    <row r="1779" spans="1:13" x14ac:dyDescent="0.3">
      <c r="A1779" t="s">
        <v>3148</v>
      </c>
      <c r="B1779" t="s">
        <v>1547</v>
      </c>
      <c r="C1779" t="s">
        <v>174</v>
      </c>
      <c r="D1779" s="7" t="s">
        <v>258</v>
      </c>
      <c r="E1779" t="s">
        <v>64</v>
      </c>
      <c r="F1779" t="s">
        <v>89</v>
      </c>
      <c r="G1779" t="s">
        <v>131</v>
      </c>
      <c r="H1779">
        <v>5</v>
      </c>
      <c r="I1779">
        <v>167.13</v>
      </c>
      <c r="J1779">
        <v>0.05</v>
      </c>
      <c r="K1779">
        <v>793.87</v>
      </c>
      <c r="L1779">
        <v>223.24</v>
      </c>
      <c r="M1779" t="s">
        <v>20</v>
      </c>
    </row>
    <row r="1780" spans="1:13" x14ac:dyDescent="0.3">
      <c r="A1780" t="s">
        <v>3149</v>
      </c>
      <c r="B1780" t="s">
        <v>306</v>
      </c>
      <c r="C1780" t="s">
        <v>991</v>
      </c>
      <c r="D1780" s="7" t="s">
        <v>542</v>
      </c>
      <c r="E1780" t="s">
        <v>17</v>
      </c>
      <c r="F1780" t="s">
        <v>89</v>
      </c>
      <c r="G1780" t="s">
        <v>150</v>
      </c>
      <c r="H1780">
        <v>5</v>
      </c>
      <c r="I1780">
        <v>109.5</v>
      </c>
      <c r="J1780">
        <v>0</v>
      </c>
      <c r="K1780">
        <v>547.5</v>
      </c>
      <c r="L1780">
        <v>60.82</v>
      </c>
      <c r="M1780" t="s">
        <v>20</v>
      </c>
    </row>
    <row r="1781" spans="1:13" x14ac:dyDescent="0.3">
      <c r="A1781" t="s">
        <v>3150</v>
      </c>
      <c r="B1781" t="s">
        <v>217</v>
      </c>
      <c r="C1781" t="s">
        <v>375</v>
      </c>
      <c r="D1781" s="7" t="s">
        <v>968</v>
      </c>
      <c r="E1781" t="s">
        <v>59</v>
      </c>
      <c r="F1781" t="s">
        <v>89</v>
      </c>
      <c r="G1781" t="s">
        <v>131</v>
      </c>
      <c r="H1781">
        <v>5</v>
      </c>
      <c r="I1781">
        <v>130.16999999999999</v>
      </c>
      <c r="J1781">
        <v>0.15</v>
      </c>
      <c r="K1781">
        <v>553.22</v>
      </c>
      <c r="L1781">
        <v>83.53</v>
      </c>
      <c r="M1781" t="s">
        <v>20</v>
      </c>
    </row>
    <row r="1782" spans="1:13" x14ac:dyDescent="0.3">
      <c r="A1782" t="s">
        <v>3151</v>
      </c>
      <c r="B1782" t="s">
        <v>104</v>
      </c>
      <c r="C1782" t="s">
        <v>53</v>
      </c>
      <c r="D1782" s="7" t="s">
        <v>1419</v>
      </c>
      <c r="E1782" t="s">
        <v>64</v>
      </c>
      <c r="F1782" t="s">
        <v>33</v>
      </c>
      <c r="G1782" t="s">
        <v>50</v>
      </c>
      <c r="H1782">
        <v>8</v>
      </c>
      <c r="I1782">
        <v>236.47</v>
      </c>
      <c r="J1782">
        <v>0.05</v>
      </c>
      <c r="K1782">
        <v>1797.17</v>
      </c>
      <c r="L1782">
        <v>313.31</v>
      </c>
      <c r="M1782" t="s">
        <v>20</v>
      </c>
    </row>
    <row r="1783" spans="1:13" x14ac:dyDescent="0.3">
      <c r="A1783" t="s">
        <v>3152</v>
      </c>
      <c r="B1783" t="s">
        <v>1081</v>
      </c>
      <c r="C1783" t="s">
        <v>1074</v>
      </c>
      <c r="D1783" s="7" t="s">
        <v>149</v>
      </c>
      <c r="E1783" t="s">
        <v>17</v>
      </c>
      <c r="F1783" t="s">
        <v>18</v>
      </c>
      <c r="G1783" t="s">
        <v>45</v>
      </c>
      <c r="H1783">
        <v>7</v>
      </c>
      <c r="I1783">
        <v>190.11</v>
      </c>
      <c r="J1783">
        <v>0.05</v>
      </c>
      <c r="K1783">
        <v>1264.23</v>
      </c>
      <c r="L1783">
        <v>135.9</v>
      </c>
      <c r="M1783" t="s">
        <v>40</v>
      </c>
    </row>
    <row r="1784" spans="1:13" x14ac:dyDescent="0.3">
      <c r="A1784" t="s">
        <v>3153</v>
      </c>
      <c r="B1784" t="s">
        <v>1703</v>
      </c>
      <c r="C1784" t="s">
        <v>375</v>
      </c>
      <c r="D1784" s="7" t="s">
        <v>919</v>
      </c>
      <c r="E1784" t="s">
        <v>59</v>
      </c>
      <c r="F1784" t="s">
        <v>18</v>
      </c>
      <c r="G1784" t="s">
        <v>79</v>
      </c>
      <c r="H1784">
        <v>3</v>
      </c>
      <c r="I1784">
        <v>69.569999999999993</v>
      </c>
      <c r="J1784">
        <v>0.05</v>
      </c>
      <c r="K1784">
        <v>198.27</v>
      </c>
      <c r="L1784">
        <v>55.77</v>
      </c>
      <c r="M1784" t="s">
        <v>20</v>
      </c>
    </row>
    <row r="1785" spans="1:13" x14ac:dyDescent="0.3">
      <c r="A1785" t="s">
        <v>3154</v>
      </c>
      <c r="B1785" t="s">
        <v>1358</v>
      </c>
      <c r="C1785" t="s">
        <v>702</v>
      </c>
      <c r="D1785" s="7" t="s">
        <v>1889</v>
      </c>
      <c r="E1785" t="s">
        <v>25</v>
      </c>
      <c r="F1785" t="s">
        <v>33</v>
      </c>
      <c r="G1785" t="s">
        <v>34</v>
      </c>
      <c r="H1785">
        <v>6</v>
      </c>
      <c r="I1785">
        <v>200.68</v>
      </c>
      <c r="J1785">
        <v>0.1</v>
      </c>
      <c r="K1785">
        <v>1083.67</v>
      </c>
      <c r="L1785">
        <v>137.82</v>
      </c>
      <c r="M1785" t="s">
        <v>35</v>
      </c>
    </row>
    <row r="1786" spans="1:13" x14ac:dyDescent="0.3">
      <c r="A1786" t="s">
        <v>3155</v>
      </c>
      <c r="B1786" t="s">
        <v>1089</v>
      </c>
      <c r="C1786" t="s">
        <v>1653</v>
      </c>
      <c r="D1786" s="7" t="s">
        <v>805</v>
      </c>
      <c r="E1786" t="s">
        <v>64</v>
      </c>
      <c r="F1786" t="s">
        <v>89</v>
      </c>
      <c r="G1786" t="s">
        <v>131</v>
      </c>
      <c r="H1786">
        <v>5</v>
      </c>
      <c r="I1786">
        <v>136.19999999999999</v>
      </c>
      <c r="J1786">
        <v>0.15</v>
      </c>
      <c r="K1786">
        <v>578.85</v>
      </c>
      <c r="L1786">
        <v>54.85</v>
      </c>
      <c r="M1786" t="s">
        <v>40</v>
      </c>
    </row>
    <row r="1787" spans="1:13" x14ac:dyDescent="0.3">
      <c r="A1787" t="s">
        <v>3156</v>
      </c>
      <c r="B1787" t="s">
        <v>392</v>
      </c>
      <c r="C1787" t="s">
        <v>644</v>
      </c>
      <c r="D1787" s="7" t="s">
        <v>634</v>
      </c>
      <c r="E1787" t="s">
        <v>17</v>
      </c>
      <c r="F1787" t="s">
        <v>89</v>
      </c>
      <c r="G1787" t="s">
        <v>90</v>
      </c>
      <c r="H1787">
        <v>3</v>
      </c>
      <c r="I1787">
        <v>52.93</v>
      </c>
      <c r="J1787">
        <v>0.1</v>
      </c>
      <c r="K1787">
        <v>142.91</v>
      </c>
      <c r="L1787">
        <v>25.89</v>
      </c>
      <c r="M1787" t="s">
        <v>20</v>
      </c>
    </row>
    <row r="1788" spans="1:13" x14ac:dyDescent="0.3">
      <c r="A1788" t="s">
        <v>3157</v>
      </c>
      <c r="B1788" t="s">
        <v>1037</v>
      </c>
      <c r="C1788" t="s">
        <v>1082</v>
      </c>
      <c r="D1788" s="7" t="s">
        <v>425</v>
      </c>
      <c r="E1788" t="s">
        <v>59</v>
      </c>
      <c r="F1788" t="s">
        <v>26</v>
      </c>
      <c r="G1788" t="s">
        <v>118</v>
      </c>
      <c r="H1788">
        <v>7</v>
      </c>
      <c r="I1788">
        <v>119.53</v>
      </c>
      <c r="J1788">
        <v>0.1</v>
      </c>
      <c r="K1788">
        <v>753.04</v>
      </c>
      <c r="L1788">
        <v>150.34</v>
      </c>
      <c r="M1788" t="s">
        <v>40</v>
      </c>
    </row>
    <row r="1789" spans="1:13" x14ac:dyDescent="0.3">
      <c r="A1789" t="s">
        <v>3158</v>
      </c>
      <c r="B1789" t="s">
        <v>1609</v>
      </c>
      <c r="C1789" t="s">
        <v>936</v>
      </c>
      <c r="D1789" s="7" t="s">
        <v>1565</v>
      </c>
      <c r="E1789" t="s">
        <v>25</v>
      </c>
      <c r="F1789" t="s">
        <v>26</v>
      </c>
      <c r="G1789" t="s">
        <v>84</v>
      </c>
      <c r="H1789">
        <v>6</v>
      </c>
      <c r="I1789">
        <v>24.81</v>
      </c>
      <c r="J1789">
        <v>0.05</v>
      </c>
      <c r="K1789">
        <v>141.41999999999999</v>
      </c>
      <c r="L1789">
        <v>21.48</v>
      </c>
      <c r="M1789" t="s">
        <v>35</v>
      </c>
    </row>
    <row r="1790" spans="1:13" x14ac:dyDescent="0.3">
      <c r="A1790" t="s">
        <v>3159</v>
      </c>
      <c r="B1790" t="s">
        <v>220</v>
      </c>
      <c r="C1790" t="s">
        <v>1283</v>
      </c>
      <c r="D1790" s="7" t="s">
        <v>296</v>
      </c>
      <c r="E1790" t="s">
        <v>64</v>
      </c>
      <c r="F1790" t="s">
        <v>33</v>
      </c>
      <c r="G1790" t="s">
        <v>69</v>
      </c>
      <c r="H1790">
        <v>6</v>
      </c>
      <c r="I1790">
        <v>40.54</v>
      </c>
      <c r="J1790">
        <v>0.05</v>
      </c>
      <c r="K1790">
        <v>231.08</v>
      </c>
      <c r="L1790">
        <v>67.14</v>
      </c>
      <c r="M1790" t="s">
        <v>35</v>
      </c>
    </row>
    <row r="1791" spans="1:13" x14ac:dyDescent="0.3">
      <c r="A1791" t="s">
        <v>3160</v>
      </c>
      <c r="B1791" t="s">
        <v>2166</v>
      </c>
      <c r="C1791" t="s">
        <v>950</v>
      </c>
      <c r="D1791" s="7" t="s">
        <v>3161</v>
      </c>
      <c r="E1791" t="s">
        <v>32</v>
      </c>
      <c r="F1791" t="s">
        <v>26</v>
      </c>
      <c r="G1791" t="s">
        <v>84</v>
      </c>
      <c r="H1791">
        <v>3</v>
      </c>
      <c r="I1791">
        <v>237.62</v>
      </c>
      <c r="J1791">
        <v>0.05</v>
      </c>
      <c r="K1791">
        <v>677.22</v>
      </c>
      <c r="L1791">
        <v>164.16</v>
      </c>
      <c r="M1791" t="s">
        <v>35</v>
      </c>
    </row>
    <row r="1792" spans="1:13" x14ac:dyDescent="0.3">
      <c r="A1792" t="s">
        <v>3162</v>
      </c>
      <c r="B1792" t="s">
        <v>2223</v>
      </c>
      <c r="C1792" t="s">
        <v>3163</v>
      </c>
      <c r="D1792" s="7" t="s">
        <v>1507</v>
      </c>
      <c r="E1792" t="s">
        <v>25</v>
      </c>
      <c r="F1792" t="s">
        <v>89</v>
      </c>
      <c r="G1792" t="s">
        <v>90</v>
      </c>
      <c r="H1792">
        <v>3</v>
      </c>
      <c r="I1792">
        <v>120.36</v>
      </c>
      <c r="J1792">
        <v>0.1</v>
      </c>
      <c r="K1792">
        <v>324.97000000000003</v>
      </c>
      <c r="L1792">
        <v>91.07</v>
      </c>
      <c r="M1792" t="s">
        <v>35</v>
      </c>
    </row>
    <row r="1793" spans="1:13" x14ac:dyDescent="0.3">
      <c r="A1793" t="s">
        <v>3164</v>
      </c>
      <c r="B1793" t="s">
        <v>42</v>
      </c>
      <c r="C1793" t="s">
        <v>559</v>
      </c>
      <c r="D1793" s="7" t="s">
        <v>1444</v>
      </c>
      <c r="E1793" t="s">
        <v>25</v>
      </c>
      <c r="F1793" t="s">
        <v>89</v>
      </c>
      <c r="G1793" t="s">
        <v>150</v>
      </c>
      <c r="H1793">
        <v>3</v>
      </c>
      <c r="I1793">
        <v>166.64</v>
      </c>
      <c r="J1793">
        <v>0.15</v>
      </c>
      <c r="K1793">
        <v>424.93</v>
      </c>
      <c r="L1793">
        <v>74.569999999999993</v>
      </c>
      <c r="M1793" t="s">
        <v>35</v>
      </c>
    </row>
    <row r="1794" spans="1:13" x14ac:dyDescent="0.3">
      <c r="A1794" t="s">
        <v>3165</v>
      </c>
      <c r="B1794" t="s">
        <v>47</v>
      </c>
      <c r="C1794" t="s">
        <v>2111</v>
      </c>
      <c r="D1794" s="7" t="s">
        <v>1354</v>
      </c>
      <c r="E1794" t="s">
        <v>32</v>
      </c>
      <c r="F1794" t="s">
        <v>89</v>
      </c>
      <c r="G1794" t="s">
        <v>90</v>
      </c>
      <c r="H1794">
        <v>4</v>
      </c>
      <c r="I1794">
        <v>87.61</v>
      </c>
      <c r="J1794">
        <v>0</v>
      </c>
      <c r="K1794">
        <v>350.44</v>
      </c>
      <c r="L1794">
        <v>53.44</v>
      </c>
      <c r="M1794" t="s">
        <v>35</v>
      </c>
    </row>
    <row r="1795" spans="1:13" x14ac:dyDescent="0.3">
      <c r="A1795" t="s">
        <v>3166</v>
      </c>
      <c r="B1795" t="s">
        <v>1116</v>
      </c>
      <c r="C1795" t="s">
        <v>2679</v>
      </c>
      <c r="D1795" s="7" t="s">
        <v>1001</v>
      </c>
      <c r="E1795" t="s">
        <v>17</v>
      </c>
      <c r="F1795" t="s">
        <v>33</v>
      </c>
      <c r="G1795" t="s">
        <v>69</v>
      </c>
      <c r="H1795">
        <v>6</v>
      </c>
      <c r="I1795">
        <v>69.63</v>
      </c>
      <c r="J1795">
        <v>0.1</v>
      </c>
      <c r="K1795">
        <v>376</v>
      </c>
      <c r="L1795">
        <v>87.27</v>
      </c>
      <c r="M1795" t="s">
        <v>20</v>
      </c>
    </row>
    <row r="1796" spans="1:13" x14ac:dyDescent="0.3">
      <c r="A1796" t="s">
        <v>3167</v>
      </c>
      <c r="B1796" t="s">
        <v>2478</v>
      </c>
      <c r="C1796" t="s">
        <v>409</v>
      </c>
      <c r="D1796" s="7" t="s">
        <v>269</v>
      </c>
      <c r="E1796" t="s">
        <v>64</v>
      </c>
      <c r="F1796" t="s">
        <v>33</v>
      </c>
      <c r="G1796" t="s">
        <v>50</v>
      </c>
      <c r="H1796">
        <v>8</v>
      </c>
      <c r="I1796">
        <v>93.48</v>
      </c>
      <c r="J1796">
        <v>0</v>
      </c>
      <c r="K1796">
        <v>747.84</v>
      </c>
      <c r="L1796">
        <v>152</v>
      </c>
      <c r="M1796" t="s">
        <v>40</v>
      </c>
    </row>
    <row r="1797" spans="1:13" x14ac:dyDescent="0.3">
      <c r="A1797" t="s">
        <v>3168</v>
      </c>
      <c r="B1797" t="s">
        <v>1136</v>
      </c>
      <c r="C1797" t="s">
        <v>1239</v>
      </c>
      <c r="D1797" s="7" t="s">
        <v>3169</v>
      </c>
      <c r="E1797" t="s">
        <v>64</v>
      </c>
      <c r="F1797" t="s">
        <v>33</v>
      </c>
      <c r="G1797" t="s">
        <v>69</v>
      </c>
      <c r="H1797">
        <v>8</v>
      </c>
      <c r="I1797">
        <v>109.55</v>
      </c>
      <c r="J1797">
        <v>0.1</v>
      </c>
      <c r="K1797">
        <v>788.76</v>
      </c>
      <c r="L1797">
        <v>186.69</v>
      </c>
      <c r="M1797" t="s">
        <v>35</v>
      </c>
    </row>
    <row r="1798" spans="1:13" x14ac:dyDescent="0.3">
      <c r="A1798" t="s">
        <v>3170</v>
      </c>
      <c r="B1798" t="s">
        <v>3171</v>
      </c>
      <c r="C1798" t="s">
        <v>807</v>
      </c>
      <c r="D1798" s="7" t="s">
        <v>1851</v>
      </c>
      <c r="E1798" t="s">
        <v>64</v>
      </c>
      <c r="F1798" t="s">
        <v>18</v>
      </c>
      <c r="G1798" t="s">
        <v>19</v>
      </c>
      <c r="H1798">
        <v>8</v>
      </c>
      <c r="I1798">
        <v>232.08</v>
      </c>
      <c r="J1798">
        <v>0.1</v>
      </c>
      <c r="K1798">
        <v>1670.98</v>
      </c>
      <c r="L1798">
        <v>242.24</v>
      </c>
      <c r="M1798" t="s">
        <v>35</v>
      </c>
    </row>
    <row r="1799" spans="1:13" x14ac:dyDescent="0.3">
      <c r="A1799" t="s">
        <v>3172</v>
      </c>
      <c r="B1799" t="s">
        <v>650</v>
      </c>
      <c r="C1799" t="s">
        <v>1487</v>
      </c>
      <c r="D1799" s="7" t="s">
        <v>821</v>
      </c>
      <c r="E1799" t="s">
        <v>17</v>
      </c>
      <c r="F1799" t="s">
        <v>18</v>
      </c>
      <c r="G1799" t="s">
        <v>19</v>
      </c>
      <c r="H1799">
        <v>2</v>
      </c>
      <c r="I1799">
        <v>215.58</v>
      </c>
      <c r="J1799">
        <v>0.1</v>
      </c>
      <c r="K1799">
        <v>388.04</v>
      </c>
      <c r="L1799">
        <v>33.04</v>
      </c>
      <c r="M1799" t="s">
        <v>20</v>
      </c>
    </row>
    <row r="1800" spans="1:13" x14ac:dyDescent="0.3">
      <c r="A1800" t="s">
        <v>3173</v>
      </c>
      <c r="B1800" t="s">
        <v>349</v>
      </c>
      <c r="C1800" t="s">
        <v>783</v>
      </c>
      <c r="D1800" s="7" t="s">
        <v>208</v>
      </c>
      <c r="E1800" t="s">
        <v>59</v>
      </c>
      <c r="F1800" t="s">
        <v>89</v>
      </c>
      <c r="G1800" t="s">
        <v>150</v>
      </c>
      <c r="H1800">
        <v>1</v>
      </c>
      <c r="I1800">
        <v>96.62</v>
      </c>
      <c r="J1800">
        <v>0.05</v>
      </c>
      <c r="K1800">
        <v>91.79</v>
      </c>
      <c r="L1800">
        <v>18.79</v>
      </c>
      <c r="M1800" t="s">
        <v>35</v>
      </c>
    </row>
    <row r="1801" spans="1:13" x14ac:dyDescent="0.3">
      <c r="A1801" t="s">
        <v>3174</v>
      </c>
      <c r="B1801" t="s">
        <v>327</v>
      </c>
      <c r="C1801" t="s">
        <v>1978</v>
      </c>
      <c r="D1801" s="7" t="s">
        <v>786</v>
      </c>
      <c r="E1801" t="s">
        <v>32</v>
      </c>
      <c r="F1801" t="s">
        <v>18</v>
      </c>
      <c r="G1801" t="s">
        <v>79</v>
      </c>
      <c r="H1801">
        <v>3</v>
      </c>
      <c r="I1801">
        <v>81.63</v>
      </c>
      <c r="J1801">
        <v>0.1</v>
      </c>
      <c r="K1801">
        <v>220.4</v>
      </c>
      <c r="L1801">
        <v>40.549999999999997</v>
      </c>
      <c r="M1801" t="s">
        <v>40</v>
      </c>
    </row>
    <row r="1802" spans="1:13" x14ac:dyDescent="0.3">
      <c r="A1802" t="s">
        <v>3175</v>
      </c>
      <c r="B1802" t="s">
        <v>359</v>
      </c>
      <c r="C1802" t="s">
        <v>1331</v>
      </c>
      <c r="D1802" s="7" t="s">
        <v>699</v>
      </c>
      <c r="E1802" t="s">
        <v>25</v>
      </c>
      <c r="F1802" t="s">
        <v>18</v>
      </c>
      <c r="G1802" t="s">
        <v>19</v>
      </c>
      <c r="H1802">
        <v>8</v>
      </c>
      <c r="I1802">
        <v>183.85</v>
      </c>
      <c r="J1802">
        <v>0</v>
      </c>
      <c r="K1802">
        <v>1470.8</v>
      </c>
      <c r="L1802">
        <v>420.51</v>
      </c>
      <c r="M1802" t="s">
        <v>20</v>
      </c>
    </row>
    <row r="1803" spans="1:13" x14ac:dyDescent="0.3">
      <c r="A1803" t="s">
        <v>3176</v>
      </c>
      <c r="B1803" t="s">
        <v>207</v>
      </c>
      <c r="C1803" t="s">
        <v>287</v>
      </c>
      <c r="D1803" s="7" t="s">
        <v>189</v>
      </c>
      <c r="E1803" t="s">
        <v>25</v>
      </c>
      <c r="F1803" t="s">
        <v>89</v>
      </c>
      <c r="G1803" t="s">
        <v>90</v>
      </c>
      <c r="H1803">
        <v>4</v>
      </c>
      <c r="I1803">
        <v>22.37</v>
      </c>
      <c r="J1803">
        <v>0.15</v>
      </c>
      <c r="K1803">
        <v>76.06</v>
      </c>
      <c r="L1803">
        <v>21.92</v>
      </c>
      <c r="M1803" t="s">
        <v>20</v>
      </c>
    </row>
    <row r="1804" spans="1:13" x14ac:dyDescent="0.3">
      <c r="A1804" t="s">
        <v>3177</v>
      </c>
      <c r="B1804" t="s">
        <v>2504</v>
      </c>
      <c r="C1804" t="s">
        <v>1574</v>
      </c>
      <c r="D1804" s="7" t="s">
        <v>1446</v>
      </c>
      <c r="E1804" t="s">
        <v>59</v>
      </c>
      <c r="F1804" t="s">
        <v>33</v>
      </c>
      <c r="G1804" t="s">
        <v>50</v>
      </c>
      <c r="H1804">
        <v>5</v>
      </c>
      <c r="I1804">
        <v>34.49</v>
      </c>
      <c r="J1804">
        <v>0</v>
      </c>
      <c r="K1804">
        <v>172.45</v>
      </c>
      <c r="L1804">
        <v>14.73</v>
      </c>
      <c r="M1804" t="s">
        <v>40</v>
      </c>
    </row>
    <row r="1805" spans="1:13" x14ac:dyDescent="0.3">
      <c r="A1805" t="s">
        <v>3178</v>
      </c>
      <c r="B1805" t="s">
        <v>294</v>
      </c>
      <c r="C1805" t="s">
        <v>668</v>
      </c>
      <c r="D1805" s="7" t="s">
        <v>895</v>
      </c>
      <c r="E1805" t="s">
        <v>59</v>
      </c>
      <c r="F1805" t="s">
        <v>33</v>
      </c>
      <c r="G1805" t="s">
        <v>74</v>
      </c>
      <c r="H1805">
        <v>6</v>
      </c>
      <c r="I1805">
        <v>165.36</v>
      </c>
      <c r="J1805">
        <v>0.15</v>
      </c>
      <c r="K1805">
        <v>843.34</v>
      </c>
      <c r="L1805">
        <v>243.73</v>
      </c>
      <c r="M1805" t="s">
        <v>35</v>
      </c>
    </row>
    <row r="1806" spans="1:13" x14ac:dyDescent="0.3">
      <c r="A1806" t="s">
        <v>3179</v>
      </c>
      <c r="B1806" t="s">
        <v>408</v>
      </c>
      <c r="C1806" t="s">
        <v>1523</v>
      </c>
      <c r="D1806" s="7" t="s">
        <v>688</v>
      </c>
      <c r="E1806" t="s">
        <v>64</v>
      </c>
      <c r="F1806" t="s">
        <v>26</v>
      </c>
      <c r="G1806" t="s">
        <v>118</v>
      </c>
      <c r="H1806">
        <v>5</v>
      </c>
      <c r="I1806">
        <v>195.53</v>
      </c>
      <c r="J1806">
        <v>0.05</v>
      </c>
      <c r="K1806">
        <v>928.77</v>
      </c>
      <c r="L1806">
        <v>138.32</v>
      </c>
      <c r="M1806" t="s">
        <v>20</v>
      </c>
    </row>
    <row r="1807" spans="1:13" x14ac:dyDescent="0.3">
      <c r="A1807" t="s">
        <v>3180</v>
      </c>
      <c r="B1807" t="s">
        <v>1005</v>
      </c>
      <c r="C1807" t="s">
        <v>112</v>
      </c>
      <c r="D1807" s="7" t="s">
        <v>1463</v>
      </c>
      <c r="E1807" t="s">
        <v>17</v>
      </c>
      <c r="F1807" t="s">
        <v>26</v>
      </c>
      <c r="G1807" t="s">
        <v>84</v>
      </c>
      <c r="H1807">
        <v>3</v>
      </c>
      <c r="I1807">
        <v>207.93</v>
      </c>
      <c r="J1807">
        <v>0.05</v>
      </c>
      <c r="K1807">
        <v>592.6</v>
      </c>
      <c r="L1807">
        <v>82.05</v>
      </c>
      <c r="M1807" t="s">
        <v>20</v>
      </c>
    </row>
    <row r="1808" spans="1:13" x14ac:dyDescent="0.3">
      <c r="A1808" t="s">
        <v>3181</v>
      </c>
      <c r="B1808" t="s">
        <v>775</v>
      </c>
      <c r="C1808" t="s">
        <v>857</v>
      </c>
      <c r="D1808" s="7" t="s">
        <v>1851</v>
      </c>
      <c r="E1808" t="s">
        <v>17</v>
      </c>
      <c r="F1808" t="s">
        <v>26</v>
      </c>
      <c r="G1808" t="s">
        <v>118</v>
      </c>
      <c r="H1808">
        <v>3</v>
      </c>
      <c r="I1808">
        <v>178.43</v>
      </c>
      <c r="J1808">
        <v>0.1</v>
      </c>
      <c r="K1808">
        <v>481.76</v>
      </c>
      <c r="L1808">
        <v>50.55</v>
      </c>
      <c r="M1808" t="s">
        <v>40</v>
      </c>
    </row>
    <row r="1809" spans="1:13" x14ac:dyDescent="0.3">
      <c r="A1809" t="s">
        <v>3182</v>
      </c>
      <c r="B1809" t="s">
        <v>493</v>
      </c>
      <c r="C1809" t="s">
        <v>2473</v>
      </c>
      <c r="D1809" s="7" t="s">
        <v>1067</v>
      </c>
      <c r="E1809" t="s">
        <v>59</v>
      </c>
      <c r="F1809" t="s">
        <v>26</v>
      </c>
      <c r="G1809" t="s">
        <v>118</v>
      </c>
      <c r="H1809">
        <v>6</v>
      </c>
      <c r="I1809">
        <v>157.36000000000001</v>
      </c>
      <c r="J1809">
        <v>0.1</v>
      </c>
      <c r="K1809">
        <v>849.74</v>
      </c>
      <c r="L1809">
        <v>245.82</v>
      </c>
      <c r="M1809" t="s">
        <v>20</v>
      </c>
    </row>
    <row r="1810" spans="1:13" x14ac:dyDescent="0.3">
      <c r="A1810" t="s">
        <v>3183</v>
      </c>
      <c r="B1810" t="s">
        <v>432</v>
      </c>
      <c r="C1810" t="s">
        <v>369</v>
      </c>
      <c r="D1810" s="7" t="s">
        <v>508</v>
      </c>
      <c r="E1810" t="s">
        <v>64</v>
      </c>
      <c r="F1810" t="s">
        <v>33</v>
      </c>
      <c r="G1810" t="s">
        <v>69</v>
      </c>
      <c r="H1810">
        <v>6</v>
      </c>
      <c r="I1810">
        <v>35.590000000000003</v>
      </c>
      <c r="J1810">
        <v>0.15</v>
      </c>
      <c r="K1810">
        <v>181.51</v>
      </c>
      <c r="L1810">
        <v>15.69</v>
      </c>
      <c r="M1810" t="s">
        <v>20</v>
      </c>
    </row>
    <row r="1811" spans="1:13" x14ac:dyDescent="0.3">
      <c r="A1811" t="s">
        <v>3184</v>
      </c>
      <c r="B1811" t="s">
        <v>66</v>
      </c>
      <c r="C1811" t="s">
        <v>261</v>
      </c>
      <c r="D1811" s="7" t="s">
        <v>1056</v>
      </c>
      <c r="E1811" t="s">
        <v>64</v>
      </c>
      <c r="F1811" t="s">
        <v>26</v>
      </c>
      <c r="G1811" t="s">
        <v>118</v>
      </c>
      <c r="H1811">
        <v>4</v>
      </c>
      <c r="I1811">
        <v>122.88</v>
      </c>
      <c r="J1811">
        <v>0.05</v>
      </c>
      <c r="K1811">
        <v>466.94</v>
      </c>
      <c r="L1811">
        <v>38.090000000000003</v>
      </c>
      <c r="M1811" t="s">
        <v>20</v>
      </c>
    </row>
    <row r="1812" spans="1:13" x14ac:dyDescent="0.3">
      <c r="A1812" t="s">
        <v>3185</v>
      </c>
      <c r="B1812" t="s">
        <v>592</v>
      </c>
      <c r="C1812" t="s">
        <v>2522</v>
      </c>
      <c r="D1812" s="7" t="s">
        <v>811</v>
      </c>
      <c r="E1812" t="s">
        <v>64</v>
      </c>
      <c r="F1812" t="s">
        <v>33</v>
      </c>
      <c r="G1812" t="s">
        <v>34</v>
      </c>
      <c r="H1812">
        <v>3</v>
      </c>
      <c r="I1812">
        <v>46.23</v>
      </c>
      <c r="J1812">
        <v>0.1</v>
      </c>
      <c r="K1812">
        <v>124.82</v>
      </c>
      <c r="L1812">
        <v>28.48</v>
      </c>
      <c r="M1812" t="s">
        <v>35</v>
      </c>
    </row>
    <row r="1813" spans="1:13" x14ac:dyDescent="0.3">
      <c r="A1813" t="s">
        <v>3186</v>
      </c>
      <c r="B1813" t="s">
        <v>140</v>
      </c>
      <c r="C1813" t="s">
        <v>1998</v>
      </c>
      <c r="D1813" s="7" t="s">
        <v>655</v>
      </c>
      <c r="E1813" t="s">
        <v>32</v>
      </c>
      <c r="F1813" t="s">
        <v>33</v>
      </c>
      <c r="G1813" t="s">
        <v>34</v>
      </c>
      <c r="H1813">
        <v>6</v>
      </c>
      <c r="I1813">
        <v>146.41</v>
      </c>
      <c r="J1813">
        <v>0.1</v>
      </c>
      <c r="K1813">
        <v>790.61</v>
      </c>
      <c r="L1813">
        <v>113.16</v>
      </c>
      <c r="M1813" t="s">
        <v>35</v>
      </c>
    </row>
    <row r="1814" spans="1:13" x14ac:dyDescent="0.3">
      <c r="A1814" t="s">
        <v>3187</v>
      </c>
      <c r="B1814" t="s">
        <v>2077</v>
      </c>
      <c r="C1814" t="s">
        <v>984</v>
      </c>
      <c r="D1814" s="7" t="s">
        <v>666</v>
      </c>
      <c r="E1814" t="s">
        <v>17</v>
      </c>
      <c r="F1814" t="s">
        <v>26</v>
      </c>
      <c r="G1814" t="s">
        <v>118</v>
      </c>
      <c r="H1814">
        <v>1</v>
      </c>
      <c r="I1814">
        <v>23.99</v>
      </c>
      <c r="J1814">
        <v>0.1</v>
      </c>
      <c r="K1814">
        <v>21.59</v>
      </c>
      <c r="L1814">
        <v>4.9000000000000004</v>
      </c>
      <c r="M1814" t="s">
        <v>20</v>
      </c>
    </row>
    <row r="1815" spans="1:13" x14ac:dyDescent="0.3">
      <c r="A1815" t="s">
        <v>3188</v>
      </c>
      <c r="B1815" t="s">
        <v>810</v>
      </c>
      <c r="C1815" t="s">
        <v>444</v>
      </c>
      <c r="D1815" s="7" t="s">
        <v>469</v>
      </c>
      <c r="E1815" t="s">
        <v>64</v>
      </c>
      <c r="F1815" t="s">
        <v>18</v>
      </c>
      <c r="G1815" t="s">
        <v>79</v>
      </c>
      <c r="H1815">
        <v>3</v>
      </c>
      <c r="I1815">
        <v>194.32</v>
      </c>
      <c r="J1815">
        <v>0</v>
      </c>
      <c r="K1815">
        <v>582.96</v>
      </c>
      <c r="L1815">
        <v>81.8</v>
      </c>
      <c r="M1815" t="s">
        <v>35</v>
      </c>
    </row>
    <row r="1816" spans="1:13" x14ac:dyDescent="0.3">
      <c r="A1816" t="s">
        <v>3189</v>
      </c>
      <c r="B1816" t="s">
        <v>1868</v>
      </c>
      <c r="C1816" t="s">
        <v>382</v>
      </c>
      <c r="D1816" s="7" t="s">
        <v>1664</v>
      </c>
      <c r="E1816" t="s">
        <v>17</v>
      </c>
      <c r="F1816" t="s">
        <v>18</v>
      </c>
      <c r="G1816" t="s">
        <v>79</v>
      </c>
      <c r="H1816">
        <v>1</v>
      </c>
      <c r="I1816">
        <v>241.79</v>
      </c>
      <c r="J1816">
        <v>0.05</v>
      </c>
      <c r="K1816">
        <v>229.7</v>
      </c>
      <c r="L1816">
        <v>32.07</v>
      </c>
      <c r="M1816" t="s">
        <v>40</v>
      </c>
    </row>
    <row r="1817" spans="1:13" x14ac:dyDescent="0.3">
      <c r="A1817" t="s">
        <v>3190</v>
      </c>
      <c r="B1817" t="s">
        <v>14</v>
      </c>
      <c r="C1817" t="s">
        <v>303</v>
      </c>
      <c r="D1817" s="7" t="s">
        <v>612</v>
      </c>
      <c r="E1817" t="s">
        <v>25</v>
      </c>
      <c r="F1817" t="s">
        <v>33</v>
      </c>
      <c r="G1817" t="s">
        <v>34</v>
      </c>
      <c r="H1817">
        <v>5</v>
      </c>
      <c r="I1817">
        <v>77.650000000000006</v>
      </c>
      <c r="J1817">
        <v>0.15</v>
      </c>
      <c r="K1817">
        <v>330.01</v>
      </c>
      <c r="L1817">
        <v>48.14</v>
      </c>
      <c r="M1817" t="s">
        <v>35</v>
      </c>
    </row>
    <row r="1818" spans="1:13" x14ac:dyDescent="0.3">
      <c r="A1818" t="s">
        <v>3191</v>
      </c>
      <c r="B1818" t="s">
        <v>743</v>
      </c>
      <c r="C1818" t="s">
        <v>2842</v>
      </c>
      <c r="D1818" s="7" t="s">
        <v>88</v>
      </c>
      <c r="E1818" t="s">
        <v>25</v>
      </c>
      <c r="F1818" t="s">
        <v>33</v>
      </c>
      <c r="G1818" t="s">
        <v>34</v>
      </c>
      <c r="H1818">
        <v>8</v>
      </c>
      <c r="I1818">
        <v>25.25</v>
      </c>
      <c r="J1818">
        <v>0</v>
      </c>
      <c r="K1818">
        <v>202</v>
      </c>
      <c r="L1818">
        <v>48.41</v>
      </c>
      <c r="M1818" t="s">
        <v>40</v>
      </c>
    </row>
    <row r="1819" spans="1:13" x14ac:dyDescent="0.3">
      <c r="A1819" t="s">
        <v>3192</v>
      </c>
      <c r="B1819" t="s">
        <v>1598</v>
      </c>
      <c r="C1819" t="s">
        <v>1487</v>
      </c>
      <c r="D1819" s="7" t="s">
        <v>2137</v>
      </c>
      <c r="E1819" t="s">
        <v>64</v>
      </c>
      <c r="F1819" t="s">
        <v>33</v>
      </c>
      <c r="G1819" t="s">
        <v>50</v>
      </c>
      <c r="H1819">
        <v>2</v>
      </c>
      <c r="I1819">
        <v>185.23</v>
      </c>
      <c r="J1819">
        <v>0.05</v>
      </c>
      <c r="K1819">
        <v>351.94</v>
      </c>
      <c r="L1819">
        <v>42.3</v>
      </c>
      <c r="M1819" t="s">
        <v>40</v>
      </c>
    </row>
    <row r="1820" spans="1:13" x14ac:dyDescent="0.3">
      <c r="A1820" t="s">
        <v>3193</v>
      </c>
      <c r="B1820" t="s">
        <v>309</v>
      </c>
      <c r="C1820" t="s">
        <v>1771</v>
      </c>
      <c r="D1820" s="7" t="s">
        <v>1466</v>
      </c>
      <c r="E1820" t="s">
        <v>64</v>
      </c>
      <c r="F1820" t="s">
        <v>89</v>
      </c>
      <c r="G1820" t="s">
        <v>90</v>
      </c>
      <c r="H1820">
        <v>5</v>
      </c>
      <c r="I1820">
        <v>52.45</v>
      </c>
      <c r="J1820">
        <v>0.05</v>
      </c>
      <c r="K1820">
        <v>249.14</v>
      </c>
      <c r="L1820">
        <v>70.37</v>
      </c>
      <c r="M1820" t="s">
        <v>20</v>
      </c>
    </row>
    <row r="1821" spans="1:13" x14ac:dyDescent="0.3">
      <c r="A1821" t="s">
        <v>3194</v>
      </c>
      <c r="B1821" t="s">
        <v>124</v>
      </c>
      <c r="C1821" t="s">
        <v>2000</v>
      </c>
      <c r="D1821" s="7" t="s">
        <v>284</v>
      </c>
      <c r="E1821" t="s">
        <v>59</v>
      </c>
      <c r="F1821" t="s">
        <v>89</v>
      </c>
      <c r="G1821" t="s">
        <v>90</v>
      </c>
      <c r="H1821">
        <v>4</v>
      </c>
      <c r="I1821">
        <v>125.31</v>
      </c>
      <c r="J1821">
        <v>0</v>
      </c>
      <c r="K1821">
        <v>501.24</v>
      </c>
      <c r="L1821">
        <v>77.37</v>
      </c>
      <c r="M1821" t="s">
        <v>20</v>
      </c>
    </row>
    <row r="1822" spans="1:13" x14ac:dyDescent="0.3">
      <c r="A1822" t="s">
        <v>3195</v>
      </c>
      <c r="B1822" t="s">
        <v>1350</v>
      </c>
      <c r="C1822" t="s">
        <v>2498</v>
      </c>
      <c r="D1822" s="7" t="s">
        <v>841</v>
      </c>
      <c r="E1822" t="s">
        <v>32</v>
      </c>
      <c r="F1822" t="s">
        <v>89</v>
      </c>
      <c r="G1822" t="s">
        <v>131</v>
      </c>
      <c r="H1822">
        <v>2</v>
      </c>
      <c r="I1822">
        <v>74.56</v>
      </c>
      <c r="J1822">
        <v>0</v>
      </c>
      <c r="K1822">
        <v>149.12</v>
      </c>
      <c r="L1822">
        <v>22.97</v>
      </c>
      <c r="M1822" t="s">
        <v>35</v>
      </c>
    </row>
    <row r="1823" spans="1:13" x14ac:dyDescent="0.3">
      <c r="A1823" t="s">
        <v>3196</v>
      </c>
      <c r="B1823" t="s">
        <v>275</v>
      </c>
      <c r="C1823" t="s">
        <v>562</v>
      </c>
      <c r="D1823" s="7" t="s">
        <v>304</v>
      </c>
      <c r="E1823" t="s">
        <v>32</v>
      </c>
      <c r="F1823" t="s">
        <v>26</v>
      </c>
      <c r="G1823" t="s">
        <v>27</v>
      </c>
      <c r="H1823">
        <v>7</v>
      </c>
      <c r="I1823">
        <v>109.86</v>
      </c>
      <c r="J1823">
        <v>0</v>
      </c>
      <c r="K1823">
        <v>769.02</v>
      </c>
      <c r="L1823">
        <v>176.47</v>
      </c>
      <c r="M1823" t="s">
        <v>20</v>
      </c>
    </row>
    <row r="1824" spans="1:13" x14ac:dyDescent="0.3">
      <c r="A1824" t="s">
        <v>3197</v>
      </c>
      <c r="B1824" t="s">
        <v>1381</v>
      </c>
      <c r="C1824" t="s">
        <v>912</v>
      </c>
      <c r="D1824" s="7" t="s">
        <v>848</v>
      </c>
      <c r="E1824" t="s">
        <v>32</v>
      </c>
      <c r="F1824" t="s">
        <v>89</v>
      </c>
      <c r="G1824" t="s">
        <v>131</v>
      </c>
      <c r="H1824">
        <v>3</v>
      </c>
      <c r="I1824">
        <v>54.52</v>
      </c>
      <c r="J1824">
        <v>0.15</v>
      </c>
      <c r="K1824">
        <v>139.03</v>
      </c>
      <c r="L1824">
        <v>15.26</v>
      </c>
      <c r="M1824" t="s">
        <v>20</v>
      </c>
    </row>
    <row r="1825" spans="1:13" x14ac:dyDescent="0.3">
      <c r="A1825" t="s">
        <v>3198</v>
      </c>
      <c r="B1825" t="s">
        <v>2007</v>
      </c>
      <c r="C1825" t="s">
        <v>637</v>
      </c>
      <c r="D1825" s="7" t="s">
        <v>2063</v>
      </c>
      <c r="E1825" t="s">
        <v>64</v>
      </c>
      <c r="F1825" t="s">
        <v>18</v>
      </c>
      <c r="G1825" t="s">
        <v>45</v>
      </c>
      <c r="H1825">
        <v>6</v>
      </c>
      <c r="I1825">
        <v>229.36</v>
      </c>
      <c r="J1825">
        <v>0.1</v>
      </c>
      <c r="K1825">
        <v>1238.54</v>
      </c>
      <c r="L1825">
        <v>296.06</v>
      </c>
      <c r="M1825" t="s">
        <v>40</v>
      </c>
    </row>
    <row r="1826" spans="1:13" x14ac:dyDescent="0.3">
      <c r="A1826" t="s">
        <v>3199</v>
      </c>
      <c r="B1826" t="s">
        <v>1710</v>
      </c>
      <c r="C1826" t="s">
        <v>1213</v>
      </c>
      <c r="D1826" s="7" t="s">
        <v>695</v>
      </c>
      <c r="E1826" t="s">
        <v>17</v>
      </c>
      <c r="F1826" t="s">
        <v>18</v>
      </c>
      <c r="G1826" t="s">
        <v>79</v>
      </c>
      <c r="H1826">
        <v>4</v>
      </c>
      <c r="I1826">
        <v>84.52</v>
      </c>
      <c r="J1826">
        <v>0.15</v>
      </c>
      <c r="K1826">
        <v>287.37</v>
      </c>
      <c r="L1826">
        <v>59.91</v>
      </c>
      <c r="M1826" t="s">
        <v>20</v>
      </c>
    </row>
    <row r="1827" spans="1:13" x14ac:dyDescent="0.3">
      <c r="A1827" t="s">
        <v>3200</v>
      </c>
      <c r="B1827" t="s">
        <v>229</v>
      </c>
      <c r="C1827" t="s">
        <v>2574</v>
      </c>
      <c r="D1827" s="7" t="s">
        <v>406</v>
      </c>
      <c r="E1827" t="s">
        <v>17</v>
      </c>
      <c r="F1827" t="s">
        <v>89</v>
      </c>
      <c r="G1827" t="s">
        <v>150</v>
      </c>
      <c r="H1827">
        <v>3</v>
      </c>
      <c r="I1827">
        <v>48.21</v>
      </c>
      <c r="J1827">
        <v>0.05</v>
      </c>
      <c r="K1827">
        <v>137.4</v>
      </c>
      <c r="L1827">
        <v>15.31</v>
      </c>
      <c r="M1827" t="s">
        <v>35</v>
      </c>
    </row>
    <row r="1828" spans="1:13" x14ac:dyDescent="0.3">
      <c r="A1828" t="s">
        <v>3201</v>
      </c>
      <c r="B1828" t="s">
        <v>327</v>
      </c>
      <c r="C1828" t="s">
        <v>3202</v>
      </c>
      <c r="D1828" s="7" t="s">
        <v>738</v>
      </c>
      <c r="E1828" t="s">
        <v>32</v>
      </c>
      <c r="F1828" t="s">
        <v>33</v>
      </c>
      <c r="G1828" t="s">
        <v>34</v>
      </c>
      <c r="H1828">
        <v>8</v>
      </c>
      <c r="I1828">
        <v>31.4</v>
      </c>
      <c r="J1828">
        <v>0.1</v>
      </c>
      <c r="K1828">
        <v>226.08</v>
      </c>
      <c r="L1828">
        <v>65.89</v>
      </c>
      <c r="M1828" t="s">
        <v>40</v>
      </c>
    </row>
    <row r="1829" spans="1:13" x14ac:dyDescent="0.3">
      <c r="A1829" t="s">
        <v>3203</v>
      </c>
      <c r="B1829" t="s">
        <v>1059</v>
      </c>
      <c r="C1829" t="s">
        <v>405</v>
      </c>
      <c r="D1829" s="7" t="s">
        <v>784</v>
      </c>
      <c r="E1829" t="s">
        <v>25</v>
      </c>
      <c r="F1829" t="s">
        <v>18</v>
      </c>
      <c r="G1829" t="s">
        <v>79</v>
      </c>
      <c r="H1829">
        <v>8</v>
      </c>
      <c r="I1829">
        <v>197.6</v>
      </c>
      <c r="J1829">
        <v>0.15</v>
      </c>
      <c r="K1829">
        <v>1343.68</v>
      </c>
      <c r="L1829">
        <v>383.7</v>
      </c>
      <c r="M1829" t="s">
        <v>40</v>
      </c>
    </row>
    <row r="1830" spans="1:13" x14ac:dyDescent="0.3">
      <c r="A1830" t="s">
        <v>3204</v>
      </c>
      <c r="B1830" t="s">
        <v>2590</v>
      </c>
      <c r="C1830" t="s">
        <v>1798</v>
      </c>
      <c r="D1830" s="7" t="s">
        <v>1173</v>
      </c>
      <c r="E1830" t="s">
        <v>32</v>
      </c>
      <c r="F1830" t="s">
        <v>26</v>
      </c>
      <c r="G1830" t="s">
        <v>27</v>
      </c>
      <c r="H1830">
        <v>6</v>
      </c>
      <c r="I1830">
        <v>234.72</v>
      </c>
      <c r="J1830">
        <v>0</v>
      </c>
      <c r="K1830">
        <v>1408.32</v>
      </c>
      <c r="L1830">
        <v>223.4</v>
      </c>
      <c r="M1830" t="s">
        <v>35</v>
      </c>
    </row>
    <row r="1831" spans="1:13" x14ac:dyDescent="0.3">
      <c r="A1831" t="s">
        <v>3205</v>
      </c>
      <c r="B1831" t="s">
        <v>764</v>
      </c>
      <c r="C1831" t="s">
        <v>379</v>
      </c>
      <c r="D1831" s="7" t="s">
        <v>2454</v>
      </c>
      <c r="E1831" t="s">
        <v>32</v>
      </c>
      <c r="F1831" t="s">
        <v>26</v>
      </c>
      <c r="G1831" t="s">
        <v>118</v>
      </c>
      <c r="H1831">
        <v>3</v>
      </c>
      <c r="I1831">
        <v>19.579999999999998</v>
      </c>
      <c r="J1831">
        <v>0.15</v>
      </c>
      <c r="K1831">
        <v>49.93</v>
      </c>
      <c r="L1831">
        <v>13.34</v>
      </c>
      <c r="M1831" t="s">
        <v>20</v>
      </c>
    </row>
    <row r="1832" spans="1:13" x14ac:dyDescent="0.3">
      <c r="A1832" t="s">
        <v>3206</v>
      </c>
      <c r="B1832" t="s">
        <v>400</v>
      </c>
      <c r="C1832" t="s">
        <v>3134</v>
      </c>
      <c r="D1832" s="7" t="s">
        <v>1865</v>
      </c>
      <c r="E1832" t="s">
        <v>32</v>
      </c>
      <c r="F1832" t="s">
        <v>26</v>
      </c>
      <c r="G1832" t="s">
        <v>118</v>
      </c>
      <c r="H1832">
        <v>1</v>
      </c>
      <c r="I1832">
        <v>179.24</v>
      </c>
      <c r="J1832">
        <v>0.1</v>
      </c>
      <c r="K1832">
        <v>161.32</v>
      </c>
      <c r="L1832">
        <v>20.63</v>
      </c>
      <c r="M1832" t="s">
        <v>20</v>
      </c>
    </row>
    <row r="1833" spans="1:13" x14ac:dyDescent="0.3">
      <c r="A1833" t="s">
        <v>3207</v>
      </c>
      <c r="B1833" t="s">
        <v>56</v>
      </c>
      <c r="C1833" t="s">
        <v>531</v>
      </c>
      <c r="D1833" s="7" t="s">
        <v>976</v>
      </c>
      <c r="E1833" t="s">
        <v>64</v>
      </c>
      <c r="F1833" t="s">
        <v>89</v>
      </c>
      <c r="G1833" t="s">
        <v>131</v>
      </c>
      <c r="H1833">
        <v>8</v>
      </c>
      <c r="I1833">
        <v>246.69</v>
      </c>
      <c r="J1833">
        <v>0.1</v>
      </c>
      <c r="K1833">
        <v>1776.17</v>
      </c>
      <c r="L1833">
        <v>168.12</v>
      </c>
      <c r="M1833" t="s">
        <v>40</v>
      </c>
    </row>
    <row r="1834" spans="1:13" x14ac:dyDescent="0.3">
      <c r="A1834" t="s">
        <v>3208</v>
      </c>
      <c r="B1834" t="s">
        <v>2034</v>
      </c>
      <c r="C1834" t="s">
        <v>196</v>
      </c>
      <c r="D1834" s="7" t="s">
        <v>478</v>
      </c>
      <c r="E1834" t="s">
        <v>64</v>
      </c>
      <c r="F1834" t="s">
        <v>33</v>
      </c>
      <c r="G1834" t="s">
        <v>50</v>
      </c>
      <c r="H1834">
        <v>4</v>
      </c>
      <c r="I1834">
        <v>30.2</v>
      </c>
      <c r="J1834">
        <v>0</v>
      </c>
      <c r="K1834">
        <v>120.8</v>
      </c>
      <c r="L1834">
        <v>34.700000000000003</v>
      </c>
      <c r="M1834" t="s">
        <v>35</v>
      </c>
    </row>
    <row r="1835" spans="1:13" x14ac:dyDescent="0.3">
      <c r="A1835" t="s">
        <v>3209</v>
      </c>
      <c r="B1835" t="s">
        <v>943</v>
      </c>
      <c r="C1835" t="s">
        <v>2916</v>
      </c>
      <c r="D1835" s="7" t="s">
        <v>2619</v>
      </c>
      <c r="E1835" t="s">
        <v>25</v>
      </c>
      <c r="F1835" t="s">
        <v>18</v>
      </c>
      <c r="G1835" t="s">
        <v>19</v>
      </c>
      <c r="H1835">
        <v>1</v>
      </c>
      <c r="I1835">
        <v>88.28</v>
      </c>
      <c r="J1835">
        <v>0.05</v>
      </c>
      <c r="K1835">
        <v>83.87</v>
      </c>
      <c r="L1835">
        <v>8.65</v>
      </c>
      <c r="M1835" t="s">
        <v>35</v>
      </c>
    </row>
    <row r="1836" spans="1:13" x14ac:dyDescent="0.3">
      <c r="A1836" t="s">
        <v>3210</v>
      </c>
      <c r="B1836" t="s">
        <v>483</v>
      </c>
      <c r="C1836" t="s">
        <v>3211</v>
      </c>
      <c r="D1836" s="7" t="s">
        <v>1209</v>
      </c>
      <c r="E1836" t="s">
        <v>32</v>
      </c>
      <c r="F1836" t="s">
        <v>18</v>
      </c>
      <c r="G1836" t="s">
        <v>45</v>
      </c>
      <c r="H1836">
        <v>3</v>
      </c>
      <c r="I1836">
        <v>69.19</v>
      </c>
      <c r="J1836">
        <v>0.15</v>
      </c>
      <c r="K1836">
        <v>176.43</v>
      </c>
      <c r="L1836">
        <v>23.76</v>
      </c>
      <c r="M1836" t="s">
        <v>20</v>
      </c>
    </row>
    <row r="1837" spans="1:13" x14ac:dyDescent="0.3">
      <c r="A1837" t="s">
        <v>3212</v>
      </c>
      <c r="B1837" t="s">
        <v>1198</v>
      </c>
      <c r="C1837" t="s">
        <v>1244</v>
      </c>
      <c r="D1837" s="7" t="s">
        <v>3015</v>
      </c>
      <c r="E1837" t="s">
        <v>25</v>
      </c>
      <c r="F1837" t="s">
        <v>33</v>
      </c>
      <c r="G1837" t="s">
        <v>50</v>
      </c>
      <c r="H1837">
        <v>3</v>
      </c>
      <c r="I1837">
        <v>86.28</v>
      </c>
      <c r="J1837">
        <v>0.15</v>
      </c>
      <c r="K1837">
        <v>220.01</v>
      </c>
      <c r="L1837">
        <v>23.17</v>
      </c>
      <c r="M1837" t="s">
        <v>20</v>
      </c>
    </row>
    <row r="1838" spans="1:13" x14ac:dyDescent="0.3">
      <c r="A1838" t="s">
        <v>3213</v>
      </c>
      <c r="B1838" t="s">
        <v>242</v>
      </c>
      <c r="C1838" t="s">
        <v>1589</v>
      </c>
      <c r="D1838" s="7" t="s">
        <v>2130</v>
      </c>
      <c r="E1838" t="s">
        <v>59</v>
      </c>
      <c r="F1838" t="s">
        <v>89</v>
      </c>
      <c r="G1838" t="s">
        <v>150</v>
      </c>
      <c r="H1838">
        <v>3</v>
      </c>
      <c r="I1838">
        <v>117.07</v>
      </c>
      <c r="J1838">
        <v>0.15</v>
      </c>
      <c r="K1838">
        <v>298.52999999999997</v>
      </c>
      <c r="L1838">
        <v>43.94</v>
      </c>
      <c r="M1838" t="s">
        <v>35</v>
      </c>
    </row>
    <row r="1839" spans="1:13" x14ac:dyDescent="0.3">
      <c r="A1839" t="s">
        <v>3214</v>
      </c>
      <c r="B1839" t="s">
        <v>2034</v>
      </c>
      <c r="C1839" t="s">
        <v>757</v>
      </c>
      <c r="D1839" s="7" t="s">
        <v>1693</v>
      </c>
      <c r="E1839" t="s">
        <v>59</v>
      </c>
      <c r="F1839" t="s">
        <v>18</v>
      </c>
      <c r="G1839" t="s">
        <v>19</v>
      </c>
      <c r="H1839">
        <v>1</v>
      </c>
      <c r="I1839">
        <v>24.4</v>
      </c>
      <c r="J1839">
        <v>0</v>
      </c>
      <c r="K1839">
        <v>24.4</v>
      </c>
      <c r="L1839">
        <v>4.4400000000000004</v>
      </c>
      <c r="M1839" t="s">
        <v>20</v>
      </c>
    </row>
    <row r="1840" spans="1:13" x14ac:dyDescent="0.3">
      <c r="A1840" t="s">
        <v>3215</v>
      </c>
      <c r="B1840" t="s">
        <v>823</v>
      </c>
      <c r="C1840" t="s">
        <v>2445</v>
      </c>
      <c r="D1840" s="7" t="s">
        <v>1375</v>
      </c>
      <c r="E1840" t="s">
        <v>25</v>
      </c>
      <c r="F1840" t="s">
        <v>89</v>
      </c>
      <c r="G1840" t="s">
        <v>90</v>
      </c>
      <c r="H1840">
        <v>8</v>
      </c>
      <c r="I1840">
        <v>172.76</v>
      </c>
      <c r="J1840">
        <v>0.15</v>
      </c>
      <c r="K1840">
        <v>1174.77</v>
      </c>
      <c r="L1840">
        <v>258.56</v>
      </c>
      <c r="M1840" t="s">
        <v>20</v>
      </c>
    </row>
    <row r="1841" spans="1:13" x14ac:dyDescent="0.3">
      <c r="A1841" t="s">
        <v>3216</v>
      </c>
      <c r="B1841" t="s">
        <v>900</v>
      </c>
      <c r="C1841" t="s">
        <v>1543</v>
      </c>
      <c r="D1841" s="7" t="s">
        <v>688</v>
      </c>
      <c r="E1841" t="s">
        <v>32</v>
      </c>
      <c r="F1841" t="s">
        <v>18</v>
      </c>
      <c r="G1841" t="s">
        <v>45</v>
      </c>
      <c r="H1841">
        <v>2</v>
      </c>
      <c r="I1841">
        <v>112.1</v>
      </c>
      <c r="J1841">
        <v>0.1</v>
      </c>
      <c r="K1841">
        <v>201.78</v>
      </c>
      <c r="L1841">
        <v>50.82</v>
      </c>
      <c r="M1841" t="s">
        <v>40</v>
      </c>
    </row>
    <row r="1842" spans="1:13" x14ac:dyDescent="0.3">
      <c r="A1842" t="s">
        <v>3217</v>
      </c>
      <c r="B1842" t="s">
        <v>349</v>
      </c>
      <c r="C1842" t="s">
        <v>2000</v>
      </c>
      <c r="D1842" s="7" t="s">
        <v>1041</v>
      </c>
      <c r="E1842" t="s">
        <v>59</v>
      </c>
      <c r="F1842" t="s">
        <v>26</v>
      </c>
      <c r="G1842" t="s">
        <v>27</v>
      </c>
      <c r="H1842">
        <v>8</v>
      </c>
      <c r="I1842">
        <v>153.65</v>
      </c>
      <c r="J1842">
        <v>0.15</v>
      </c>
      <c r="K1842">
        <v>1044.82</v>
      </c>
      <c r="L1842">
        <v>155.41</v>
      </c>
      <c r="M1842" t="s">
        <v>40</v>
      </c>
    </row>
    <row r="1843" spans="1:13" x14ac:dyDescent="0.3">
      <c r="A1843" t="s">
        <v>3218</v>
      </c>
      <c r="B1843" t="s">
        <v>561</v>
      </c>
      <c r="C1843" t="s">
        <v>1096</v>
      </c>
      <c r="D1843" s="7" t="s">
        <v>2437</v>
      </c>
      <c r="E1843" t="s">
        <v>17</v>
      </c>
      <c r="F1843" t="s">
        <v>18</v>
      </c>
      <c r="G1843" t="s">
        <v>19</v>
      </c>
      <c r="H1843">
        <v>3</v>
      </c>
      <c r="I1843">
        <v>104.49</v>
      </c>
      <c r="J1843">
        <v>0.1</v>
      </c>
      <c r="K1843">
        <v>282.12</v>
      </c>
      <c r="L1843">
        <v>80.22</v>
      </c>
      <c r="M1843" t="s">
        <v>40</v>
      </c>
    </row>
    <row r="1844" spans="1:13" x14ac:dyDescent="0.3">
      <c r="A1844" t="s">
        <v>3219</v>
      </c>
      <c r="B1844" t="s">
        <v>771</v>
      </c>
      <c r="C1844" t="s">
        <v>314</v>
      </c>
      <c r="D1844" s="7" t="s">
        <v>262</v>
      </c>
      <c r="E1844" t="s">
        <v>59</v>
      </c>
      <c r="F1844" t="s">
        <v>33</v>
      </c>
      <c r="G1844" t="s">
        <v>50</v>
      </c>
      <c r="H1844">
        <v>5</v>
      </c>
      <c r="I1844">
        <v>213.84</v>
      </c>
      <c r="J1844">
        <v>0.1</v>
      </c>
      <c r="K1844">
        <v>962.28</v>
      </c>
      <c r="L1844">
        <v>284.77999999999997</v>
      </c>
      <c r="M1844" t="s">
        <v>20</v>
      </c>
    </row>
    <row r="1845" spans="1:13" x14ac:dyDescent="0.3">
      <c r="A1845" t="s">
        <v>3220</v>
      </c>
      <c r="B1845" t="s">
        <v>1037</v>
      </c>
      <c r="C1845" t="s">
        <v>2058</v>
      </c>
      <c r="D1845" s="7" t="s">
        <v>3221</v>
      </c>
      <c r="E1845" t="s">
        <v>32</v>
      </c>
      <c r="F1845" t="s">
        <v>33</v>
      </c>
      <c r="G1845" t="s">
        <v>69</v>
      </c>
      <c r="H1845">
        <v>5</v>
      </c>
      <c r="I1845">
        <v>42.47</v>
      </c>
      <c r="J1845">
        <v>0.1</v>
      </c>
      <c r="K1845">
        <v>191.12</v>
      </c>
      <c r="L1845">
        <v>56.6</v>
      </c>
      <c r="M1845" t="s">
        <v>40</v>
      </c>
    </row>
    <row r="1846" spans="1:13" x14ac:dyDescent="0.3">
      <c r="A1846" t="s">
        <v>3222</v>
      </c>
      <c r="B1846" t="s">
        <v>140</v>
      </c>
      <c r="C1846" t="s">
        <v>121</v>
      </c>
      <c r="D1846" s="7" t="s">
        <v>481</v>
      </c>
      <c r="E1846" t="s">
        <v>32</v>
      </c>
      <c r="F1846" t="s">
        <v>89</v>
      </c>
      <c r="G1846" t="s">
        <v>150</v>
      </c>
      <c r="H1846">
        <v>3</v>
      </c>
      <c r="I1846">
        <v>231.6</v>
      </c>
      <c r="J1846">
        <v>0.05</v>
      </c>
      <c r="K1846">
        <v>660.06</v>
      </c>
      <c r="L1846">
        <v>56.16</v>
      </c>
      <c r="M1846" t="s">
        <v>20</v>
      </c>
    </row>
    <row r="1847" spans="1:13" x14ac:dyDescent="0.3">
      <c r="A1847" t="s">
        <v>3223</v>
      </c>
      <c r="B1847" t="s">
        <v>915</v>
      </c>
      <c r="C1847" t="s">
        <v>1616</v>
      </c>
      <c r="D1847" s="7" t="s">
        <v>2295</v>
      </c>
      <c r="E1847" t="s">
        <v>17</v>
      </c>
      <c r="F1847" t="s">
        <v>33</v>
      </c>
      <c r="G1847" t="s">
        <v>74</v>
      </c>
      <c r="H1847">
        <v>3</v>
      </c>
      <c r="I1847">
        <v>61.9</v>
      </c>
      <c r="J1847">
        <v>0.1</v>
      </c>
      <c r="K1847">
        <v>167.13</v>
      </c>
      <c r="L1847">
        <v>46.31</v>
      </c>
      <c r="M1847" t="s">
        <v>20</v>
      </c>
    </row>
    <row r="1848" spans="1:13" x14ac:dyDescent="0.3">
      <c r="A1848" t="s">
        <v>3224</v>
      </c>
      <c r="B1848" t="s">
        <v>1043</v>
      </c>
      <c r="C1848" t="s">
        <v>597</v>
      </c>
      <c r="D1848" s="7" t="s">
        <v>1400</v>
      </c>
      <c r="E1848" t="s">
        <v>25</v>
      </c>
      <c r="F1848" t="s">
        <v>89</v>
      </c>
      <c r="G1848" t="s">
        <v>90</v>
      </c>
      <c r="H1848">
        <v>2</v>
      </c>
      <c r="I1848">
        <v>181.53</v>
      </c>
      <c r="J1848">
        <v>0.15</v>
      </c>
      <c r="K1848">
        <v>308.60000000000002</v>
      </c>
      <c r="L1848">
        <v>70.92</v>
      </c>
      <c r="M1848" t="s">
        <v>20</v>
      </c>
    </row>
    <row r="1849" spans="1:13" x14ac:dyDescent="0.3">
      <c r="A1849" t="s">
        <v>3225</v>
      </c>
      <c r="B1849" t="s">
        <v>1124</v>
      </c>
      <c r="C1849" t="s">
        <v>1974</v>
      </c>
      <c r="D1849" s="7" t="s">
        <v>985</v>
      </c>
      <c r="E1849" t="s">
        <v>17</v>
      </c>
      <c r="F1849" t="s">
        <v>26</v>
      </c>
      <c r="G1849" t="s">
        <v>84</v>
      </c>
      <c r="H1849">
        <v>3</v>
      </c>
      <c r="I1849">
        <v>58.74</v>
      </c>
      <c r="J1849">
        <v>0.1</v>
      </c>
      <c r="K1849">
        <v>158.6</v>
      </c>
      <c r="L1849">
        <v>23.27</v>
      </c>
      <c r="M1849" t="s">
        <v>40</v>
      </c>
    </row>
    <row r="1850" spans="1:13" x14ac:dyDescent="0.3">
      <c r="A1850" t="s">
        <v>3226</v>
      </c>
      <c r="B1850" t="s">
        <v>1394</v>
      </c>
      <c r="C1850" t="s">
        <v>424</v>
      </c>
      <c r="D1850" s="7" t="s">
        <v>1865</v>
      </c>
      <c r="E1850" t="s">
        <v>59</v>
      </c>
      <c r="F1850" t="s">
        <v>18</v>
      </c>
      <c r="G1850" t="s">
        <v>79</v>
      </c>
      <c r="H1850">
        <v>1</v>
      </c>
      <c r="I1850">
        <v>197.53</v>
      </c>
      <c r="J1850">
        <v>0.05</v>
      </c>
      <c r="K1850">
        <v>187.65</v>
      </c>
      <c r="L1850">
        <v>55.3</v>
      </c>
      <c r="M1850" t="s">
        <v>35</v>
      </c>
    </row>
    <row r="1851" spans="1:13" x14ac:dyDescent="0.3">
      <c r="A1851" t="s">
        <v>3227</v>
      </c>
      <c r="B1851" t="s">
        <v>1108</v>
      </c>
      <c r="C1851" t="s">
        <v>886</v>
      </c>
      <c r="D1851" s="7" t="s">
        <v>288</v>
      </c>
      <c r="E1851" t="s">
        <v>17</v>
      </c>
      <c r="F1851" t="s">
        <v>89</v>
      </c>
      <c r="G1851" t="s">
        <v>90</v>
      </c>
      <c r="H1851">
        <v>4</v>
      </c>
      <c r="I1851">
        <v>32.93</v>
      </c>
      <c r="J1851">
        <v>0.1</v>
      </c>
      <c r="K1851">
        <v>118.55</v>
      </c>
      <c r="L1851">
        <v>31.27</v>
      </c>
      <c r="M1851" t="s">
        <v>40</v>
      </c>
    </row>
    <row r="1852" spans="1:13" x14ac:dyDescent="0.3">
      <c r="A1852" t="s">
        <v>3228</v>
      </c>
      <c r="B1852" t="s">
        <v>712</v>
      </c>
      <c r="C1852" t="s">
        <v>112</v>
      </c>
      <c r="D1852" s="7" t="s">
        <v>466</v>
      </c>
      <c r="E1852" t="s">
        <v>25</v>
      </c>
      <c r="F1852" t="s">
        <v>33</v>
      </c>
      <c r="G1852" t="s">
        <v>50</v>
      </c>
      <c r="H1852">
        <v>2</v>
      </c>
      <c r="I1852">
        <v>41.82</v>
      </c>
      <c r="J1852">
        <v>0.05</v>
      </c>
      <c r="K1852">
        <v>79.459999999999994</v>
      </c>
      <c r="L1852">
        <v>11.59</v>
      </c>
      <c r="M1852" t="s">
        <v>20</v>
      </c>
    </row>
    <row r="1853" spans="1:13" x14ac:dyDescent="0.3">
      <c r="A1853" t="s">
        <v>3229</v>
      </c>
      <c r="B1853" t="s">
        <v>636</v>
      </c>
      <c r="C1853" t="s">
        <v>2056</v>
      </c>
      <c r="D1853" s="7" t="s">
        <v>524</v>
      </c>
      <c r="E1853" t="s">
        <v>25</v>
      </c>
      <c r="F1853" t="s">
        <v>26</v>
      </c>
      <c r="G1853" t="s">
        <v>84</v>
      </c>
      <c r="H1853">
        <v>5</v>
      </c>
      <c r="I1853">
        <v>123.76</v>
      </c>
      <c r="J1853">
        <v>0.05</v>
      </c>
      <c r="K1853">
        <v>587.86</v>
      </c>
      <c r="L1853">
        <v>174.76</v>
      </c>
      <c r="M1853" t="s">
        <v>40</v>
      </c>
    </row>
    <row r="1854" spans="1:13" x14ac:dyDescent="0.3">
      <c r="A1854" t="s">
        <v>3230</v>
      </c>
      <c r="B1854" t="s">
        <v>1081</v>
      </c>
      <c r="C1854" t="s">
        <v>1704</v>
      </c>
      <c r="D1854" s="7" t="s">
        <v>576</v>
      </c>
      <c r="E1854" t="s">
        <v>64</v>
      </c>
      <c r="F1854" t="s">
        <v>33</v>
      </c>
      <c r="G1854" t="s">
        <v>74</v>
      </c>
      <c r="H1854">
        <v>1</v>
      </c>
      <c r="I1854">
        <v>184.13</v>
      </c>
      <c r="J1854">
        <v>0.15</v>
      </c>
      <c r="K1854">
        <v>156.51</v>
      </c>
      <c r="L1854">
        <v>21.67</v>
      </c>
      <c r="M1854" t="s">
        <v>40</v>
      </c>
    </row>
    <row r="1855" spans="1:13" x14ac:dyDescent="0.3">
      <c r="A1855" t="s">
        <v>3231</v>
      </c>
      <c r="B1855" t="s">
        <v>388</v>
      </c>
      <c r="C1855" t="s">
        <v>1193</v>
      </c>
      <c r="D1855" s="7" t="s">
        <v>1179</v>
      </c>
      <c r="E1855" t="s">
        <v>17</v>
      </c>
      <c r="F1855" t="s">
        <v>89</v>
      </c>
      <c r="G1855" t="s">
        <v>131</v>
      </c>
      <c r="H1855">
        <v>6</v>
      </c>
      <c r="I1855">
        <v>132.41</v>
      </c>
      <c r="J1855">
        <v>0.15</v>
      </c>
      <c r="K1855">
        <v>675.29</v>
      </c>
      <c r="L1855">
        <v>126.28</v>
      </c>
      <c r="M1855" t="s">
        <v>40</v>
      </c>
    </row>
    <row r="1856" spans="1:13" x14ac:dyDescent="0.3">
      <c r="A1856" t="s">
        <v>3232</v>
      </c>
      <c r="B1856" t="s">
        <v>1170</v>
      </c>
      <c r="C1856" t="s">
        <v>897</v>
      </c>
      <c r="D1856" s="7" t="s">
        <v>612</v>
      </c>
      <c r="E1856" t="s">
        <v>59</v>
      </c>
      <c r="F1856" t="s">
        <v>26</v>
      </c>
      <c r="G1856" t="s">
        <v>27</v>
      </c>
      <c r="H1856">
        <v>6</v>
      </c>
      <c r="I1856">
        <v>176.18</v>
      </c>
      <c r="J1856">
        <v>0.05</v>
      </c>
      <c r="K1856">
        <v>1004.23</v>
      </c>
      <c r="L1856">
        <v>257.68</v>
      </c>
      <c r="M1856" t="s">
        <v>40</v>
      </c>
    </row>
    <row r="1857" spans="1:13" x14ac:dyDescent="0.3">
      <c r="A1857" t="s">
        <v>3233</v>
      </c>
      <c r="B1857" t="s">
        <v>650</v>
      </c>
      <c r="C1857" t="s">
        <v>1141</v>
      </c>
      <c r="D1857" s="7" t="s">
        <v>3021</v>
      </c>
      <c r="E1857" t="s">
        <v>17</v>
      </c>
      <c r="F1857" t="s">
        <v>33</v>
      </c>
      <c r="G1857" t="s">
        <v>50</v>
      </c>
      <c r="H1857">
        <v>1</v>
      </c>
      <c r="I1857">
        <v>70.91</v>
      </c>
      <c r="J1857">
        <v>0</v>
      </c>
      <c r="K1857">
        <v>70.91</v>
      </c>
      <c r="L1857">
        <v>18.78</v>
      </c>
      <c r="M1857" t="s">
        <v>40</v>
      </c>
    </row>
    <row r="1858" spans="1:13" x14ac:dyDescent="0.3">
      <c r="A1858" t="s">
        <v>3234</v>
      </c>
      <c r="B1858" t="s">
        <v>345</v>
      </c>
      <c r="C1858" t="s">
        <v>393</v>
      </c>
      <c r="D1858" s="7" t="s">
        <v>49</v>
      </c>
      <c r="E1858" t="s">
        <v>59</v>
      </c>
      <c r="F1858" t="s">
        <v>26</v>
      </c>
      <c r="G1858" t="s">
        <v>84</v>
      </c>
      <c r="H1858">
        <v>3</v>
      </c>
      <c r="I1858">
        <v>47.67</v>
      </c>
      <c r="J1858">
        <v>0.1</v>
      </c>
      <c r="K1858">
        <v>128.71</v>
      </c>
      <c r="L1858">
        <v>31.52</v>
      </c>
      <c r="M1858" t="s">
        <v>40</v>
      </c>
    </row>
    <row r="1859" spans="1:13" x14ac:dyDescent="0.3">
      <c r="A1859" t="s">
        <v>3235</v>
      </c>
      <c r="B1859" t="s">
        <v>904</v>
      </c>
      <c r="C1859" t="s">
        <v>440</v>
      </c>
      <c r="D1859" s="7" t="s">
        <v>1822</v>
      </c>
      <c r="E1859" t="s">
        <v>64</v>
      </c>
      <c r="F1859" t="s">
        <v>26</v>
      </c>
      <c r="G1859" t="s">
        <v>118</v>
      </c>
      <c r="H1859">
        <v>1</v>
      </c>
      <c r="I1859">
        <v>128.54</v>
      </c>
      <c r="J1859">
        <v>0.15</v>
      </c>
      <c r="K1859">
        <v>109.26</v>
      </c>
      <c r="L1859">
        <v>26.35</v>
      </c>
      <c r="M1859" t="s">
        <v>40</v>
      </c>
    </row>
    <row r="1860" spans="1:13" x14ac:dyDescent="0.3">
      <c r="A1860" t="s">
        <v>3236</v>
      </c>
      <c r="B1860" t="s">
        <v>1029</v>
      </c>
      <c r="C1860" t="s">
        <v>644</v>
      </c>
      <c r="D1860" s="7" t="s">
        <v>113</v>
      </c>
      <c r="E1860" t="s">
        <v>25</v>
      </c>
      <c r="F1860" t="s">
        <v>89</v>
      </c>
      <c r="G1860" t="s">
        <v>90</v>
      </c>
      <c r="H1860">
        <v>3</v>
      </c>
      <c r="I1860">
        <v>89.22</v>
      </c>
      <c r="J1860">
        <v>0</v>
      </c>
      <c r="K1860">
        <v>267.66000000000003</v>
      </c>
      <c r="L1860">
        <v>22.54</v>
      </c>
      <c r="M1860" t="s">
        <v>35</v>
      </c>
    </row>
    <row r="1861" spans="1:13" x14ac:dyDescent="0.3">
      <c r="A1861" t="s">
        <v>3237</v>
      </c>
      <c r="B1861" t="s">
        <v>1049</v>
      </c>
      <c r="C1861" t="s">
        <v>1331</v>
      </c>
      <c r="D1861" s="7" t="s">
        <v>1344</v>
      </c>
      <c r="E1861" t="s">
        <v>59</v>
      </c>
      <c r="F1861" t="s">
        <v>89</v>
      </c>
      <c r="G1861" t="s">
        <v>131</v>
      </c>
      <c r="H1861">
        <v>2</v>
      </c>
      <c r="I1861">
        <v>136.38</v>
      </c>
      <c r="J1861">
        <v>0.15</v>
      </c>
      <c r="K1861">
        <v>231.85</v>
      </c>
      <c r="L1861">
        <v>34.090000000000003</v>
      </c>
      <c r="M1861" t="s">
        <v>20</v>
      </c>
    </row>
    <row r="1862" spans="1:13" x14ac:dyDescent="0.3">
      <c r="A1862" t="s">
        <v>3238</v>
      </c>
      <c r="B1862" t="s">
        <v>184</v>
      </c>
      <c r="C1862" t="s">
        <v>310</v>
      </c>
      <c r="D1862" s="7" t="s">
        <v>1084</v>
      </c>
      <c r="E1862" t="s">
        <v>25</v>
      </c>
      <c r="F1862" t="s">
        <v>26</v>
      </c>
      <c r="G1862" t="s">
        <v>118</v>
      </c>
      <c r="H1862">
        <v>4</v>
      </c>
      <c r="I1862">
        <v>133.94</v>
      </c>
      <c r="J1862">
        <v>0.05</v>
      </c>
      <c r="K1862">
        <v>508.97</v>
      </c>
      <c r="L1862">
        <v>85.28</v>
      </c>
      <c r="M1862" t="s">
        <v>20</v>
      </c>
    </row>
    <row r="1863" spans="1:13" x14ac:dyDescent="0.3">
      <c r="A1863" t="s">
        <v>3239</v>
      </c>
      <c r="B1863" t="s">
        <v>349</v>
      </c>
      <c r="C1863" t="s">
        <v>909</v>
      </c>
      <c r="D1863" s="7" t="s">
        <v>1214</v>
      </c>
      <c r="E1863" t="s">
        <v>59</v>
      </c>
      <c r="F1863" t="s">
        <v>26</v>
      </c>
      <c r="G1863" t="s">
        <v>118</v>
      </c>
      <c r="H1863">
        <v>5</v>
      </c>
      <c r="I1863">
        <v>82.51</v>
      </c>
      <c r="J1863">
        <v>0</v>
      </c>
      <c r="K1863">
        <v>412.55</v>
      </c>
      <c r="L1863">
        <v>110.18</v>
      </c>
      <c r="M1863" t="s">
        <v>35</v>
      </c>
    </row>
    <row r="1864" spans="1:13" x14ac:dyDescent="0.3">
      <c r="A1864" t="s">
        <v>3240</v>
      </c>
      <c r="B1864" t="s">
        <v>147</v>
      </c>
      <c r="C1864" t="s">
        <v>1082</v>
      </c>
      <c r="D1864" s="7" t="s">
        <v>2681</v>
      </c>
      <c r="E1864" t="s">
        <v>17</v>
      </c>
      <c r="F1864" t="s">
        <v>18</v>
      </c>
      <c r="G1864" t="s">
        <v>79</v>
      </c>
      <c r="H1864">
        <v>7</v>
      </c>
      <c r="I1864">
        <v>173.26</v>
      </c>
      <c r="J1864">
        <v>0</v>
      </c>
      <c r="K1864">
        <v>1212.82</v>
      </c>
      <c r="L1864">
        <v>138.37</v>
      </c>
      <c r="M1864" t="s">
        <v>35</v>
      </c>
    </row>
    <row r="1865" spans="1:13" x14ac:dyDescent="0.3">
      <c r="A1865" t="s">
        <v>3241</v>
      </c>
      <c r="B1865" t="s">
        <v>100</v>
      </c>
      <c r="C1865" t="s">
        <v>1492</v>
      </c>
      <c r="D1865" s="7" t="s">
        <v>414</v>
      </c>
      <c r="E1865" t="s">
        <v>64</v>
      </c>
      <c r="F1865" t="s">
        <v>26</v>
      </c>
      <c r="G1865" t="s">
        <v>118</v>
      </c>
      <c r="H1865">
        <v>6</v>
      </c>
      <c r="I1865">
        <v>31.33</v>
      </c>
      <c r="J1865">
        <v>0.05</v>
      </c>
      <c r="K1865">
        <v>178.58</v>
      </c>
      <c r="L1865">
        <v>27.4</v>
      </c>
      <c r="M1865" t="s">
        <v>35</v>
      </c>
    </row>
    <row r="1866" spans="1:13" x14ac:dyDescent="0.3">
      <c r="A1866" t="s">
        <v>3242</v>
      </c>
      <c r="B1866" t="s">
        <v>2478</v>
      </c>
      <c r="C1866" t="s">
        <v>2679</v>
      </c>
      <c r="D1866" s="7" t="s">
        <v>601</v>
      </c>
      <c r="E1866" t="s">
        <v>59</v>
      </c>
      <c r="F1866" t="s">
        <v>33</v>
      </c>
      <c r="G1866" t="s">
        <v>69</v>
      </c>
      <c r="H1866">
        <v>4</v>
      </c>
      <c r="I1866">
        <v>89.72</v>
      </c>
      <c r="J1866">
        <v>0.1</v>
      </c>
      <c r="K1866">
        <v>322.99</v>
      </c>
      <c r="L1866">
        <v>40.82</v>
      </c>
      <c r="M1866" t="s">
        <v>40</v>
      </c>
    </row>
    <row r="1867" spans="1:13" x14ac:dyDescent="0.3">
      <c r="A1867" t="s">
        <v>3243</v>
      </c>
      <c r="B1867" t="s">
        <v>108</v>
      </c>
      <c r="C1867" t="s">
        <v>389</v>
      </c>
      <c r="D1867" s="7" t="s">
        <v>2292</v>
      </c>
      <c r="E1867" t="s">
        <v>64</v>
      </c>
      <c r="F1867" t="s">
        <v>33</v>
      </c>
      <c r="G1867" t="s">
        <v>69</v>
      </c>
      <c r="H1867">
        <v>4</v>
      </c>
      <c r="I1867">
        <v>45.28</v>
      </c>
      <c r="J1867">
        <v>0.05</v>
      </c>
      <c r="K1867">
        <v>172.06</v>
      </c>
      <c r="L1867">
        <v>43.17</v>
      </c>
      <c r="M1867" t="s">
        <v>40</v>
      </c>
    </row>
    <row r="1868" spans="1:13" x14ac:dyDescent="0.3">
      <c r="A1868" t="s">
        <v>3244</v>
      </c>
      <c r="B1868" t="s">
        <v>1358</v>
      </c>
      <c r="C1868" t="s">
        <v>2755</v>
      </c>
      <c r="D1868" s="7" t="s">
        <v>934</v>
      </c>
      <c r="E1868" t="s">
        <v>64</v>
      </c>
      <c r="F1868" t="s">
        <v>18</v>
      </c>
      <c r="G1868" t="s">
        <v>79</v>
      </c>
      <c r="H1868">
        <v>7</v>
      </c>
      <c r="I1868">
        <v>78.650000000000006</v>
      </c>
      <c r="J1868">
        <v>0.05</v>
      </c>
      <c r="K1868">
        <v>523.02</v>
      </c>
      <c r="L1868">
        <v>52.18</v>
      </c>
      <c r="M1868" t="s">
        <v>40</v>
      </c>
    </row>
    <row r="1869" spans="1:13" x14ac:dyDescent="0.3">
      <c r="A1869" t="s">
        <v>3245</v>
      </c>
      <c r="B1869" t="s">
        <v>1715</v>
      </c>
      <c r="C1869" t="s">
        <v>647</v>
      </c>
      <c r="D1869" s="7" t="s">
        <v>816</v>
      </c>
      <c r="E1869" t="s">
        <v>25</v>
      </c>
      <c r="F1869" t="s">
        <v>26</v>
      </c>
      <c r="G1869" t="s">
        <v>118</v>
      </c>
      <c r="H1869">
        <v>8</v>
      </c>
      <c r="I1869">
        <v>236.25</v>
      </c>
      <c r="J1869">
        <v>0.1</v>
      </c>
      <c r="K1869">
        <v>1701</v>
      </c>
      <c r="L1869">
        <v>396.35</v>
      </c>
      <c r="M1869" t="s">
        <v>40</v>
      </c>
    </row>
    <row r="1870" spans="1:13" x14ac:dyDescent="0.3">
      <c r="A1870" t="s">
        <v>3246</v>
      </c>
      <c r="B1870" t="s">
        <v>56</v>
      </c>
      <c r="C1870" t="s">
        <v>867</v>
      </c>
      <c r="D1870" s="7" t="s">
        <v>122</v>
      </c>
      <c r="E1870" t="s">
        <v>17</v>
      </c>
      <c r="F1870" t="s">
        <v>18</v>
      </c>
      <c r="G1870" t="s">
        <v>79</v>
      </c>
      <c r="H1870">
        <v>8</v>
      </c>
      <c r="I1870">
        <v>28.85</v>
      </c>
      <c r="J1870">
        <v>0.05</v>
      </c>
      <c r="K1870">
        <v>219.26</v>
      </c>
      <c r="L1870">
        <v>17.690000000000001</v>
      </c>
      <c r="M1870" t="s">
        <v>40</v>
      </c>
    </row>
    <row r="1871" spans="1:13" x14ac:dyDescent="0.3">
      <c r="A1871" t="s">
        <v>3247</v>
      </c>
      <c r="B1871" t="s">
        <v>349</v>
      </c>
      <c r="C1871" t="s">
        <v>1771</v>
      </c>
      <c r="D1871" s="7" t="s">
        <v>1272</v>
      </c>
      <c r="E1871" t="s">
        <v>32</v>
      </c>
      <c r="F1871" t="s">
        <v>89</v>
      </c>
      <c r="G1871" t="s">
        <v>150</v>
      </c>
      <c r="H1871">
        <v>1</v>
      </c>
      <c r="I1871">
        <v>25.87</v>
      </c>
      <c r="J1871">
        <v>0.15</v>
      </c>
      <c r="K1871">
        <v>21.99</v>
      </c>
      <c r="L1871">
        <v>3.4</v>
      </c>
      <c r="M1871" t="s">
        <v>20</v>
      </c>
    </row>
    <row r="1872" spans="1:13" x14ac:dyDescent="0.3">
      <c r="A1872" t="s">
        <v>3248</v>
      </c>
      <c r="B1872" t="s">
        <v>1005</v>
      </c>
      <c r="C1872" t="s">
        <v>1523</v>
      </c>
      <c r="D1872" s="7" t="s">
        <v>1555</v>
      </c>
      <c r="E1872" t="s">
        <v>25</v>
      </c>
      <c r="F1872" t="s">
        <v>26</v>
      </c>
      <c r="G1872" t="s">
        <v>118</v>
      </c>
      <c r="H1872">
        <v>7</v>
      </c>
      <c r="I1872">
        <v>94.73</v>
      </c>
      <c r="J1872">
        <v>0</v>
      </c>
      <c r="K1872">
        <v>663.11</v>
      </c>
      <c r="L1872">
        <v>112.63</v>
      </c>
      <c r="M1872" t="s">
        <v>20</v>
      </c>
    </row>
    <row r="1873" spans="1:13" x14ac:dyDescent="0.3">
      <c r="A1873" t="s">
        <v>3249</v>
      </c>
      <c r="B1873" t="s">
        <v>195</v>
      </c>
      <c r="C1873" t="s">
        <v>160</v>
      </c>
      <c r="D1873" s="7" t="s">
        <v>1149</v>
      </c>
      <c r="E1873" t="s">
        <v>59</v>
      </c>
      <c r="F1873" t="s">
        <v>18</v>
      </c>
      <c r="G1873" t="s">
        <v>45</v>
      </c>
      <c r="H1873">
        <v>4</v>
      </c>
      <c r="I1873">
        <v>92.16</v>
      </c>
      <c r="J1873">
        <v>0</v>
      </c>
      <c r="K1873">
        <v>368.64</v>
      </c>
      <c r="L1873">
        <v>61.6</v>
      </c>
      <c r="M1873" t="s">
        <v>35</v>
      </c>
    </row>
    <row r="1874" spans="1:13" x14ac:dyDescent="0.3">
      <c r="A1874" t="s">
        <v>3250</v>
      </c>
      <c r="B1874" t="s">
        <v>400</v>
      </c>
      <c r="C1874" t="s">
        <v>181</v>
      </c>
      <c r="D1874" s="7" t="s">
        <v>418</v>
      </c>
      <c r="E1874" t="s">
        <v>64</v>
      </c>
      <c r="F1874" t="s">
        <v>89</v>
      </c>
      <c r="G1874" t="s">
        <v>90</v>
      </c>
      <c r="H1874">
        <v>5</v>
      </c>
      <c r="I1874">
        <v>243.97</v>
      </c>
      <c r="J1874">
        <v>0.05</v>
      </c>
      <c r="K1874">
        <v>1158.8599999999999</v>
      </c>
      <c r="L1874">
        <v>346.41</v>
      </c>
      <c r="M1874" t="s">
        <v>35</v>
      </c>
    </row>
    <row r="1875" spans="1:13" x14ac:dyDescent="0.3">
      <c r="A1875" t="s">
        <v>3251</v>
      </c>
      <c r="B1875" t="s">
        <v>728</v>
      </c>
      <c r="C1875" t="s">
        <v>1558</v>
      </c>
      <c r="D1875" s="7" t="s">
        <v>24</v>
      </c>
      <c r="E1875" t="s">
        <v>25</v>
      </c>
      <c r="F1875" t="s">
        <v>89</v>
      </c>
      <c r="G1875" t="s">
        <v>131</v>
      </c>
      <c r="H1875">
        <v>3</v>
      </c>
      <c r="I1875">
        <v>155.57</v>
      </c>
      <c r="J1875">
        <v>0.15</v>
      </c>
      <c r="K1875">
        <v>396.7</v>
      </c>
      <c r="L1875">
        <v>114.29</v>
      </c>
      <c r="M1875" t="s">
        <v>40</v>
      </c>
    </row>
    <row r="1876" spans="1:13" x14ac:dyDescent="0.3">
      <c r="A1876" t="s">
        <v>3252</v>
      </c>
      <c r="B1876" t="s">
        <v>1415</v>
      </c>
      <c r="C1876" t="s">
        <v>1747</v>
      </c>
      <c r="D1876" s="7" t="s">
        <v>2619</v>
      </c>
      <c r="E1876" t="s">
        <v>32</v>
      </c>
      <c r="F1876" t="s">
        <v>26</v>
      </c>
      <c r="G1876" t="s">
        <v>84</v>
      </c>
      <c r="H1876">
        <v>3</v>
      </c>
      <c r="I1876">
        <v>89.93</v>
      </c>
      <c r="J1876">
        <v>0.05</v>
      </c>
      <c r="K1876">
        <v>256.3</v>
      </c>
      <c r="L1876">
        <v>64.47</v>
      </c>
      <c r="M1876" t="s">
        <v>20</v>
      </c>
    </row>
    <row r="1877" spans="1:13" x14ac:dyDescent="0.3">
      <c r="A1877" t="s">
        <v>3253</v>
      </c>
      <c r="B1877" t="s">
        <v>636</v>
      </c>
      <c r="C1877" t="s">
        <v>1082</v>
      </c>
      <c r="D1877" s="7" t="s">
        <v>49</v>
      </c>
      <c r="E1877" t="s">
        <v>64</v>
      </c>
      <c r="F1877" t="s">
        <v>89</v>
      </c>
      <c r="G1877" t="s">
        <v>131</v>
      </c>
      <c r="H1877">
        <v>5</v>
      </c>
      <c r="I1877">
        <v>210.77</v>
      </c>
      <c r="J1877">
        <v>0.15</v>
      </c>
      <c r="K1877">
        <v>895.77</v>
      </c>
      <c r="L1877">
        <v>239.28</v>
      </c>
      <c r="M1877" t="s">
        <v>20</v>
      </c>
    </row>
    <row r="1878" spans="1:13" x14ac:dyDescent="0.3">
      <c r="A1878" t="s">
        <v>3254</v>
      </c>
      <c r="B1878" t="s">
        <v>1757</v>
      </c>
      <c r="C1878" t="s">
        <v>253</v>
      </c>
      <c r="D1878" s="7" t="s">
        <v>138</v>
      </c>
      <c r="E1878" t="s">
        <v>17</v>
      </c>
      <c r="F1878" t="s">
        <v>18</v>
      </c>
      <c r="G1878" t="s">
        <v>45</v>
      </c>
      <c r="H1878">
        <v>7</v>
      </c>
      <c r="I1878">
        <v>221.42</v>
      </c>
      <c r="J1878">
        <v>0.05</v>
      </c>
      <c r="K1878">
        <v>1472.44</v>
      </c>
      <c r="L1878">
        <v>239.93</v>
      </c>
      <c r="M1878" t="s">
        <v>20</v>
      </c>
    </row>
    <row r="1879" spans="1:13" x14ac:dyDescent="0.3">
      <c r="A1879" t="s">
        <v>3255</v>
      </c>
      <c r="B1879" t="s">
        <v>400</v>
      </c>
      <c r="C1879" t="s">
        <v>584</v>
      </c>
      <c r="D1879" s="7" t="s">
        <v>197</v>
      </c>
      <c r="E1879" t="s">
        <v>25</v>
      </c>
      <c r="F1879" t="s">
        <v>89</v>
      </c>
      <c r="G1879" t="s">
        <v>150</v>
      </c>
      <c r="H1879">
        <v>6</v>
      </c>
      <c r="I1879">
        <v>56.83</v>
      </c>
      <c r="J1879">
        <v>0.15</v>
      </c>
      <c r="K1879">
        <v>289.83</v>
      </c>
      <c r="L1879">
        <v>53.28</v>
      </c>
      <c r="M1879" t="s">
        <v>35</v>
      </c>
    </row>
    <row r="1880" spans="1:13" x14ac:dyDescent="0.3">
      <c r="A1880" t="s">
        <v>3256</v>
      </c>
      <c r="B1880" t="s">
        <v>1394</v>
      </c>
      <c r="C1880" t="s">
        <v>1582</v>
      </c>
      <c r="D1880" s="7" t="s">
        <v>1627</v>
      </c>
      <c r="E1880" t="s">
        <v>59</v>
      </c>
      <c r="F1880" t="s">
        <v>26</v>
      </c>
      <c r="G1880" t="s">
        <v>84</v>
      </c>
      <c r="H1880">
        <v>5</v>
      </c>
      <c r="I1880">
        <v>97.92</v>
      </c>
      <c r="J1880">
        <v>0</v>
      </c>
      <c r="K1880">
        <v>489.6</v>
      </c>
      <c r="L1880">
        <v>80.78</v>
      </c>
      <c r="M1880" t="s">
        <v>40</v>
      </c>
    </row>
    <row r="1881" spans="1:13" x14ac:dyDescent="0.3">
      <c r="A1881" t="s">
        <v>3257</v>
      </c>
      <c r="B1881" t="s">
        <v>408</v>
      </c>
      <c r="C1881" t="s">
        <v>67</v>
      </c>
      <c r="D1881" s="7" t="s">
        <v>1640</v>
      </c>
      <c r="E1881" t="s">
        <v>25</v>
      </c>
      <c r="F1881" t="s">
        <v>18</v>
      </c>
      <c r="G1881" t="s">
        <v>79</v>
      </c>
      <c r="H1881">
        <v>8</v>
      </c>
      <c r="I1881">
        <v>107.28</v>
      </c>
      <c r="J1881">
        <v>0</v>
      </c>
      <c r="K1881">
        <v>858.24</v>
      </c>
      <c r="L1881">
        <v>161.61000000000001</v>
      </c>
      <c r="M1881" t="s">
        <v>40</v>
      </c>
    </row>
    <row r="1882" spans="1:13" x14ac:dyDescent="0.3">
      <c r="A1882" t="s">
        <v>3258</v>
      </c>
      <c r="B1882" t="s">
        <v>282</v>
      </c>
      <c r="C1882" t="s">
        <v>857</v>
      </c>
      <c r="D1882" s="7" t="s">
        <v>1701</v>
      </c>
      <c r="E1882" t="s">
        <v>25</v>
      </c>
      <c r="F1882" t="s">
        <v>26</v>
      </c>
      <c r="G1882" t="s">
        <v>27</v>
      </c>
      <c r="H1882">
        <v>1</v>
      </c>
      <c r="I1882">
        <v>17.48</v>
      </c>
      <c r="J1882">
        <v>0.15</v>
      </c>
      <c r="K1882">
        <v>14.86</v>
      </c>
      <c r="L1882">
        <v>1.54</v>
      </c>
      <c r="M1882" t="s">
        <v>35</v>
      </c>
    </row>
    <row r="1883" spans="1:13" x14ac:dyDescent="0.3">
      <c r="A1883" t="s">
        <v>3259</v>
      </c>
      <c r="B1883" t="s">
        <v>1883</v>
      </c>
      <c r="C1883" t="s">
        <v>1385</v>
      </c>
      <c r="D1883" s="7" t="s">
        <v>2619</v>
      </c>
      <c r="E1883" t="s">
        <v>64</v>
      </c>
      <c r="F1883" t="s">
        <v>89</v>
      </c>
      <c r="G1883" t="s">
        <v>90</v>
      </c>
      <c r="H1883">
        <v>2</v>
      </c>
      <c r="I1883">
        <v>173.2</v>
      </c>
      <c r="J1883">
        <v>0.1</v>
      </c>
      <c r="K1883">
        <v>311.76</v>
      </c>
      <c r="L1883">
        <v>88.1</v>
      </c>
      <c r="M1883" t="s">
        <v>20</v>
      </c>
    </row>
    <row r="1884" spans="1:13" x14ac:dyDescent="0.3">
      <c r="A1884" t="s">
        <v>3260</v>
      </c>
      <c r="B1884" t="s">
        <v>1260</v>
      </c>
      <c r="C1884" t="s">
        <v>2679</v>
      </c>
      <c r="D1884" s="7" t="s">
        <v>2544</v>
      </c>
      <c r="E1884" t="s">
        <v>25</v>
      </c>
      <c r="F1884" t="s">
        <v>89</v>
      </c>
      <c r="G1884" t="s">
        <v>90</v>
      </c>
      <c r="H1884">
        <v>7</v>
      </c>
      <c r="I1884">
        <v>170.27</v>
      </c>
      <c r="J1884">
        <v>0.05</v>
      </c>
      <c r="K1884">
        <v>1132.3</v>
      </c>
      <c r="L1884">
        <v>315.99</v>
      </c>
      <c r="M1884" t="s">
        <v>35</v>
      </c>
    </row>
    <row r="1885" spans="1:13" x14ac:dyDescent="0.3">
      <c r="A1885" t="s">
        <v>3261</v>
      </c>
      <c r="B1885" t="s">
        <v>81</v>
      </c>
      <c r="C1885" t="s">
        <v>1293</v>
      </c>
      <c r="D1885" s="7" t="s">
        <v>1137</v>
      </c>
      <c r="E1885" t="s">
        <v>17</v>
      </c>
      <c r="F1885" t="s">
        <v>33</v>
      </c>
      <c r="G1885" t="s">
        <v>34</v>
      </c>
      <c r="H1885">
        <v>1</v>
      </c>
      <c r="I1885">
        <v>49.97</v>
      </c>
      <c r="J1885">
        <v>0.05</v>
      </c>
      <c r="K1885">
        <v>47.47</v>
      </c>
      <c r="L1885">
        <v>9.9700000000000006</v>
      </c>
      <c r="M1885" t="s">
        <v>20</v>
      </c>
    </row>
    <row r="1886" spans="1:13" x14ac:dyDescent="0.3">
      <c r="A1886" t="s">
        <v>3262</v>
      </c>
      <c r="B1886" t="s">
        <v>2391</v>
      </c>
      <c r="C1886" t="s">
        <v>1679</v>
      </c>
      <c r="D1886" s="7" t="s">
        <v>609</v>
      </c>
      <c r="E1886" t="s">
        <v>17</v>
      </c>
      <c r="F1886" t="s">
        <v>26</v>
      </c>
      <c r="G1886" t="s">
        <v>84</v>
      </c>
      <c r="H1886">
        <v>3</v>
      </c>
      <c r="I1886">
        <v>61.48</v>
      </c>
      <c r="J1886">
        <v>0.1</v>
      </c>
      <c r="K1886">
        <v>166</v>
      </c>
      <c r="L1886">
        <v>42.58</v>
      </c>
      <c r="M1886" t="s">
        <v>40</v>
      </c>
    </row>
    <row r="1887" spans="1:13" x14ac:dyDescent="0.3">
      <c r="A1887" t="s">
        <v>3263</v>
      </c>
      <c r="B1887" t="s">
        <v>1465</v>
      </c>
      <c r="C1887" t="s">
        <v>916</v>
      </c>
      <c r="D1887" s="7" t="s">
        <v>481</v>
      </c>
      <c r="E1887" t="s">
        <v>32</v>
      </c>
      <c r="F1887" t="s">
        <v>26</v>
      </c>
      <c r="G1887" t="s">
        <v>84</v>
      </c>
      <c r="H1887">
        <v>1</v>
      </c>
      <c r="I1887">
        <v>113.16</v>
      </c>
      <c r="J1887">
        <v>0.05</v>
      </c>
      <c r="K1887">
        <v>107.5</v>
      </c>
      <c r="L1887">
        <v>31.33</v>
      </c>
      <c r="M1887" t="s">
        <v>35</v>
      </c>
    </row>
    <row r="1888" spans="1:13" x14ac:dyDescent="0.3">
      <c r="A1888" t="s">
        <v>3264</v>
      </c>
      <c r="B1888" t="s">
        <v>1242</v>
      </c>
      <c r="C1888" t="s">
        <v>1060</v>
      </c>
      <c r="D1888" s="7" t="s">
        <v>1446</v>
      </c>
      <c r="E1888" t="s">
        <v>25</v>
      </c>
      <c r="F1888" t="s">
        <v>18</v>
      </c>
      <c r="G1888" t="s">
        <v>79</v>
      </c>
      <c r="H1888">
        <v>1</v>
      </c>
      <c r="I1888">
        <v>143.74</v>
      </c>
      <c r="J1888">
        <v>0.1</v>
      </c>
      <c r="K1888">
        <v>129.37</v>
      </c>
      <c r="L1888">
        <v>18.09</v>
      </c>
      <c r="M1888" t="s">
        <v>35</v>
      </c>
    </row>
    <row r="1889" spans="1:13" x14ac:dyDescent="0.3">
      <c r="A1889" t="s">
        <v>3265</v>
      </c>
      <c r="B1889" t="s">
        <v>1956</v>
      </c>
      <c r="C1889" t="s">
        <v>1532</v>
      </c>
      <c r="D1889" s="7" t="s">
        <v>445</v>
      </c>
      <c r="E1889" t="s">
        <v>32</v>
      </c>
      <c r="F1889" t="s">
        <v>26</v>
      </c>
      <c r="G1889" t="s">
        <v>118</v>
      </c>
      <c r="H1889">
        <v>3</v>
      </c>
      <c r="I1889">
        <v>131.56</v>
      </c>
      <c r="J1889">
        <v>0</v>
      </c>
      <c r="K1889">
        <v>394.68</v>
      </c>
      <c r="L1889">
        <v>49.89</v>
      </c>
      <c r="M1889" t="s">
        <v>20</v>
      </c>
    </row>
    <row r="1890" spans="1:13" x14ac:dyDescent="0.3">
      <c r="A1890" t="s">
        <v>3266</v>
      </c>
      <c r="B1890" t="s">
        <v>252</v>
      </c>
      <c r="C1890" t="s">
        <v>429</v>
      </c>
      <c r="D1890" s="7" t="s">
        <v>357</v>
      </c>
      <c r="E1890" t="s">
        <v>25</v>
      </c>
      <c r="F1890" t="s">
        <v>33</v>
      </c>
      <c r="G1890" t="s">
        <v>69</v>
      </c>
      <c r="H1890">
        <v>6</v>
      </c>
      <c r="I1890">
        <v>138.38</v>
      </c>
      <c r="J1890">
        <v>0.05</v>
      </c>
      <c r="K1890">
        <v>788.77</v>
      </c>
      <c r="L1890">
        <v>112.7</v>
      </c>
      <c r="M1890" t="s">
        <v>35</v>
      </c>
    </row>
    <row r="1891" spans="1:13" x14ac:dyDescent="0.3">
      <c r="A1891" t="s">
        <v>3267</v>
      </c>
      <c r="B1891" t="s">
        <v>1059</v>
      </c>
      <c r="C1891" t="s">
        <v>1430</v>
      </c>
      <c r="D1891" s="7" t="s">
        <v>2137</v>
      </c>
      <c r="E1891" t="s">
        <v>59</v>
      </c>
      <c r="F1891" t="s">
        <v>33</v>
      </c>
      <c r="G1891" t="s">
        <v>74</v>
      </c>
      <c r="H1891">
        <v>1</v>
      </c>
      <c r="I1891">
        <v>113.32</v>
      </c>
      <c r="J1891">
        <v>0.05</v>
      </c>
      <c r="K1891">
        <v>107.65</v>
      </c>
      <c r="L1891">
        <v>11.88</v>
      </c>
      <c r="M1891" t="s">
        <v>35</v>
      </c>
    </row>
    <row r="1892" spans="1:13" x14ac:dyDescent="0.3">
      <c r="A1892" t="s">
        <v>3268</v>
      </c>
      <c r="B1892" t="s">
        <v>1710</v>
      </c>
      <c r="C1892" t="s">
        <v>1201</v>
      </c>
      <c r="D1892" s="7" t="s">
        <v>699</v>
      </c>
      <c r="E1892" t="s">
        <v>59</v>
      </c>
      <c r="F1892" t="s">
        <v>26</v>
      </c>
      <c r="G1892" t="s">
        <v>118</v>
      </c>
      <c r="H1892">
        <v>1</v>
      </c>
      <c r="I1892">
        <v>106.81</v>
      </c>
      <c r="J1892">
        <v>0.15</v>
      </c>
      <c r="K1892">
        <v>90.79</v>
      </c>
      <c r="L1892">
        <v>20.79</v>
      </c>
      <c r="M1892" t="s">
        <v>40</v>
      </c>
    </row>
    <row r="1893" spans="1:13" x14ac:dyDescent="0.3">
      <c r="A1893" t="s">
        <v>3269</v>
      </c>
      <c r="B1893" t="s">
        <v>338</v>
      </c>
      <c r="C1893" t="s">
        <v>43</v>
      </c>
      <c r="D1893" s="7" t="s">
        <v>2096</v>
      </c>
      <c r="E1893" t="s">
        <v>59</v>
      </c>
      <c r="F1893" t="s">
        <v>18</v>
      </c>
      <c r="G1893" t="s">
        <v>19</v>
      </c>
      <c r="H1893">
        <v>7</v>
      </c>
      <c r="I1893">
        <v>57.77</v>
      </c>
      <c r="J1893">
        <v>0.1</v>
      </c>
      <c r="K1893">
        <v>363.95</v>
      </c>
      <c r="L1893">
        <v>45.47</v>
      </c>
      <c r="M1893" t="s">
        <v>35</v>
      </c>
    </row>
    <row r="1894" spans="1:13" x14ac:dyDescent="0.3">
      <c r="A1894" t="s">
        <v>3270</v>
      </c>
      <c r="B1894" t="s">
        <v>893</v>
      </c>
      <c r="C1894" t="s">
        <v>249</v>
      </c>
      <c r="D1894" s="7" t="s">
        <v>1988</v>
      </c>
      <c r="E1894" t="s">
        <v>32</v>
      </c>
      <c r="F1894" t="s">
        <v>18</v>
      </c>
      <c r="G1894" t="s">
        <v>45</v>
      </c>
      <c r="H1894">
        <v>3</v>
      </c>
      <c r="I1894">
        <v>174.35</v>
      </c>
      <c r="J1894">
        <v>0.05</v>
      </c>
      <c r="K1894">
        <v>496.9</v>
      </c>
      <c r="L1894">
        <v>43.06</v>
      </c>
      <c r="M1894" t="s">
        <v>35</v>
      </c>
    </row>
    <row r="1895" spans="1:13" x14ac:dyDescent="0.3">
      <c r="A1895" t="s">
        <v>3271</v>
      </c>
      <c r="B1895" t="s">
        <v>2478</v>
      </c>
      <c r="C1895" t="s">
        <v>2120</v>
      </c>
      <c r="D1895" s="7" t="s">
        <v>1834</v>
      </c>
      <c r="E1895" t="s">
        <v>25</v>
      </c>
      <c r="F1895" t="s">
        <v>26</v>
      </c>
      <c r="G1895" t="s">
        <v>84</v>
      </c>
      <c r="H1895">
        <v>8</v>
      </c>
      <c r="I1895">
        <v>35.5</v>
      </c>
      <c r="J1895">
        <v>0.1</v>
      </c>
      <c r="K1895">
        <v>255.6</v>
      </c>
      <c r="L1895">
        <v>22.75</v>
      </c>
      <c r="M1895" t="s">
        <v>40</v>
      </c>
    </row>
    <row r="1896" spans="1:13" x14ac:dyDescent="0.3">
      <c r="A1896" t="s">
        <v>3272</v>
      </c>
      <c r="B1896" t="s">
        <v>489</v>
      </c>
      <c r="C1896" t="s">
        <v>2111</v>
      </c>
      <c r="D1896" s="7" t="s">
        <v>266</v>
      </c>
      <c r="E1896" t="s">
        <v>59</v>
      </c>
      <c r="F1896" t="s">
        <v>18</v>
      </c>
      <c r="G1896" t="s">
        <v>19</v>
      </c>
      <c r="H1896">
        <v>3</v>
      </c>
      <c r="I1896">
        <v>15.33</v>
      </c>
      <c r="J1896">
        <v>0</v>
      </c>
      <c r="K1896">
        <v>45.99</v>
      </c>
      <c r="L1896">
        <v>6.82</v>
      </c>
      <c r="M1896" t="s">
        <v>40</v>
      </c>
    </row>
    <row r="1897" spans="1:13" x14ac:dyDescent="0.3">
      <c r="A1897" t="s">
        <v>3273</v>
      </c>
      <c r="B1897" t="s">
        <v>2724</v>
      </c>
      <c r="C1897" t="s">
        <v>30</v>
      </c>
      <c r="D1897" s="7" t="s">
        <v>1001</v>
      </c>
      <c r="E1897" t="s">
        <v>64</v>
      </c>
      <c r="F1897" t="s">
        <v>33</v>
      </c>
      <c r="G1897" t="s">
        <v>34</v>
      </c>
      <c r="H1897">
        <v>2</v>
      </c>
      <c r="I1897">
        <v>85.3</v>
      </c>
      <c r="J1897">
        <v>0</v>
      </c>
      <c r="K1897">
        <v>170.6</v>
      </c>
      <c r="L1897">
        <v>24.84</v>
      </c>
      <c r="M1897" t="s">
        <v>20</v>
      </c>
    </row>
    <row r="1898" spans="1:13" x14ac:dyDescent="0.3">
      <c r="A1898" t="s">
        <v>3274</v>
      </c>
      <c r="B1898" t="s">
        <v>510</v>
      </c>
      <c r="C1898" t="s">
        <v>291</v>
      </c>
      <c r="D1898" s="7" t="s">
        <v>3275</v>
      </c>
      <c r="E1898" t="s">
        <v>25</v>
      </c>
      <c r="F1898" t="s">
        <v>18</v>
      </c>
      <c r="G1898" t="s">
        <v>19</v>
      </c>
      <c r="H1898">
        <v>6</v>
      </c>
      <c r="I1898">
        <v>84.59</v>
      </c>
      <c r="J1898">
        <v>0.1</v>
      </c>
      <c r="K1898">
        <v>456.79</v>
      </c>
      <c r="L1898">
        <v>65.349999999999994</v>
      </c>
      <c r="M1898" t="s">
        <v>20</v>
      </c>
    </row>
    <row r="1899" spans="1:13" x14ac:dyDescent="0.3">
      <c r="A1899" t="s">
        <v>3276</v>
      </c>
      <c r="B1899" t="s">
        <v>1428</v>
      </c>
      <c r="C1899" t="s">
        <v>440</v>
      </c>
      <c r="D1899" s="7" t="s">
        <v>1179</v>
      </c>
      <c r="E1899" t="s">
        <v>59</v>
      </c>
      <c r="F1899" t="s">
        <v>89</v>
      </c>
      <c r="G1899" t="s">
        <v>90</v>
      </c>
      <c r="H1899">
        <v>3</v>
      </c>
      <c r="I1899">
        <v>11.01</v>
      </c>
      <c r="J1899">
        <v>0.15</v>
      </c>
      <c r="K1899">
        <v>28.08</v>
      </c>
      <c r="L1899">
        <v>7.16</v>
      </c>
      <c r="M1899" t="s">
        <v>35</v>
      </c>
    </row>
    <row r="1900" spans="1:13" x14ac:dyDescent="0.3">
      <c r="A1900" t="s">
        <v>3277</v>
      </c>
      <c r="B1900" t="s">
        <v>882</v>
      </c>
      <c r="C1900" t="s">
        <v>1044</v>
      </c>
      <c r="D1900" s="7" t="s">
        <v>813</v>
      </c>
      <c r="E1900" t="s">
        <v>64</v>
      </c>
      <c r="F1900" t="s">
        <v>18</v>
      </c>
      <c r="G1900" t="s">
        <v>19</v>
      </c>
      <c r="H1900">
        <v>5</v>
      </c>
      <c r="I1900">
        <v>46.54</v>
      </c>
      <c r="J1900">
        <v>0.05</v>
      </c>
      <c r="K1900">
        <v>221.06</v>
      </c>
      <c r="L1900">
        <v>26.21</v>
      </c>
      <c r="M1900" t="s">
        <v>35</v>
      </c>
    </row>
    <row r="1901" spans="1:13" x14ac:dyDescent="0.3">
      <c r="A1901" t="s">
        <v>3278</v>
      </c>
      <c r="B1901" t="s">
        <v>2504</v>
      </c>
      <c r="C1901" t="s">
        <v>116</v>
      </c>
      <c r="D1901" s="7" t="s">
        <v>1274</v>
      </c>
      <c r="E1901" t="s">
        <v>25</v>
      </c>
      <c r="F1901" t="s">
        <v>26</v>
      </c>
      <c r="G1901" t="s">
        <v>27</v>
      </c>
      <c r="H1901">
        <v>2</v>
      </c>
      <c r="I1901">
        <v>174.47</v>
      </c>
      <c r="J1901">
        <v>0</v>
      </c>
      <c r="K1901">
        <v>348.94</v>
      </c>
      <c r="L1901">
        <v>77.989999999999995</v>
      </c>
      <c r="M1901" t="s">
        <v>20</v>
      </c>
    </row>
    <row r="1902" spans="1:13" x14ac:dyDescent="0.3">
      <c r="A1902" t="s">
        <v>3279</v>
      </c>
      <c r="B1902" t="s">
        <v>137</v>
      </c>
      <c r="C1902" t="s">
        <v>717</v>
      </c>
      <c r="D1902" s="7" t="s">
        <v>835</v>
      </c>
      <c r="E1902" t="s">
        <v>25</v>
      </c>
      <c r="F1902" t="s">
        <v>89</v>
      </c>
      <c r="G1902" t="s">
        <v>90</v>
      </c>
      <c r="H1902">
        <v>2</v>
      </c>
      <c r="I1902">
        <v>118.75</v>
      </c>
      <c r="J1902">
        <v>0.05</v>
      </c>
      <c r="K1902">
        <v>225.62</v>
      </c>
      <c r="L1902">
        <v>30.13</v>
      </c>
      <c r="M1902" t="s">
        <v>35</v>
      </c>
    </row>
    <row r="1903" spans="1:13" x14ac:dyDescent="0.3">
      <c r="A1903" t="s">
        <v>3280</v>
      </c>
      <c r="B1903" t="s">
        <v>368</v>
      </c>
      <c r="C1903" t="s">
        <v>3065</v>
      </c>
      <c r="D1903" s="7" t="s">
        <v>2625</v>
      </c>
      <c r="E1903" t="s">
        <v>59</v>
      </c>
      <c r="F1903" t="s">
        <v>89</v>
      </c>
      <c r="G1903" t="s">
        <v>90</v>
      </c>
      <c r="H1903">
        <v>1</v>
      </c>
      <c r="I1903">
        <v>155.5</v>
      </c>
      <c r="J1903">
        <v>0.15</v>
      </c>
      <c r="K1903">
        <v>132.16999999999999</v>
      </c>
      <c r="L1903">
        <v>35.68</v>
      </c>
      <c r="M1903" t="s">
        <v>20</v>
      </c>
    </row>
    <row r="1904" spans="1:13" x14ac:dyDescent="0.3">
      <c r="A1904" t="s">
        <v>3281</v>
      </c>
      <c r="B1904" t="s">
        <v>1713</v>
      </c>
      <c r="C1904" t="s">
        <v>894</v>
      </c>
      <c r="D1904" s="7" t="s">
        <v>2307</v>
      </c>
      <c r="E1904" t="s">
        <v>17</v>
      </c>
      <c r="F1904" t="s">
        <v>33</v>
      </c>
      <c r="G1904" t="s">
        <v>50</v>
      </c>
      <c r="H1904">
        <v>3</v>
      </c>
      <c r="I1904">
        <v>63.89</v>
      </c>
      <c r="J1904">
        <v>0.15</v>
      </c>
      <c r="K1904">
        <v>162.91999999999999</v>
      </c>
      <c r="L1904">
        <v>40.04</v>
      </c>
      <c r="M1904" t="s">
        <v>20</v>
      </c>
    </row>
    <row r="1905" spans="1:13" x14ac:dyDescent="0.3">
      <c r="A1905" t="s">
        <v>3282</v>
      </c>
      <c r="B1905" t="s">
        <v>1307</v>
      </c>
      <c r="C1905" t="s">
        <v>1368</v>
      </c>
      <c r="D1905" s="7" t="s">
        <v>1369</v>
      </c>
      <c r="E1905" t="s">
        <v>17</v>
      </c>
      <c r="F1905" t="s">
        <v>89</v>
      </c>
      <c r="G1905" t="s">
        <v>90</v>
      </c>
      <c r="H1905">
        <v>7</v>
      </c>
      <c r="I1905">
        <v>172.67</v>
      </c>
      <c r="J1905">
        <v>0.1</v>
      </c>
      <c r="K1905">
        <v>1087.82</v>
      </c>
      <c r="L1905">
        <v>245.07</v>
      </c>
      <c r="M1905" t="s">
        <v>20</v>
      </c>
    </row>
    <row r="1906" spans="1:13" x14ac:dyDescent="0.3">
      <c r="A1906" t="s">
        <v>3283</v>
      </c>
      <c r="B1906" t="s">
        <v>850</v>
      </c>
      <c r="C1906" t="s">
        <v>295</v>
      </c>
      <c r="D1906" s="7" t="s">
        <v>1981</v>
      </c>
      <c r="E1906" t="s">
        <v>17</v>
      </c>
      <c r="F1906" t="s">
        <v>33</v>
      </c>
      <c r="G1906" t="s">
        <v>74</v>
      </c>
      <c r="H1906">
        <v>1</v>
      </c>
      <c r="I1906">
        <v>13.03</v>
      </c>
      <c r="J1906">
        <v>0.05</v>
      </c>
      <c r="K1906">
        <v>12.38</v>
      </c>
      <c r="L1906">
        <v>2.58</v>
      </c>
      <c r="M1906" t="s">
        <v>40</v>
      </c>
    </row>
    <row r="1907" spans="1:13" x14ac:dyDescent="0.3">
      <c r="A1907" t="s">
        <v>3284</v>
      </c>
      <c r="B1907" t="s">
        <v>388</v>
      </c>
      <c r="C1907" t="s">
        <v>397</v>
      </c>
      <c r="D1907" s="7" t="s">
        <v>2156</v>
      </c>
      <c r="E1907" t="s">
        <v>25</v>
      </c>
      <c r="F1907" t="s">
        <v>33</v>
      </c>
      <c r="G1907" t="s">
        <v>34</v>
      </c>
      <c r="H1907">
        <v>2</v>
      </c>
      <c r="I1907">
        <v>49.31</v>
      </c>
      <c r="J1907">
        <v>0.05</v>
      </c>
      <c r="K1907">
        <v>93.69</v>
      </c>
      <c r="L1907">
        <v>15.6</v>
      </c>
      <c r="M1907" t="s">
        <v>40</v>
      </c>
    </row>
    <row r="1908" spans="1:13" x14ac:dyDescent="0.3">
      <c r="A1908" t="s">
        <v>3285</v>
      </c>
      <c r="B1908" t="s">
        <v>1691</v>
      </c>
      <c r="C1908" t="s">
        <v>633</v>
      </c>
      <c r="D1908" s="7" t="s">
        <v>138</v>
      </c>
      <c r="E1908" t="s">
        <v>32</v>
      </c>
      <c r="F1908" t="s">
        <v>89</v>
      </c>
      <c r="G1908" t="s">
        <v>131</v>
      </c>
      <c r="H1908">
        <v>7</v>
      </c>
      <c r="I1908">
        <v>247.09</v>
      </c>
      <c r="J1908">
        <v>0.05</v>
      </c>
      <c r="K1908">
        <v>1643.15</v>
      </c>
      <c r="L1908">
        <v>341.53</v>
      </c>
      <c r="M1908" t="s">
        <v>20</v>
      </c>
    </row>
    <row r="1909" spans="1:13" x14ac:dyDescent="0.3">
      <c r="A1909" t="s">
        <v>3286</v>
      </c>
      <c r="B1909" t="s">
        <v>1059</v>
      </c>
      <c r="C1909" t="s">
        <v>1271</v>
      </c>
      <c r="D1909" s="7" t="s">
        <v>2544</v>
      </c>
      <c r="E1909" t="s">
        <v>59</v>
      </c>
      <c r="F1909" t="s">
        <v>18</v>
      </c>
      <c r="G1909" t="s">
        <v>19</v>
      </c>
      <c r="H1909">
        <v>6</v>
      </c>
      <c r="I1909">
        <v>243.96</v>
      </c>
      <c r="J1909">
        <v>0.15</v>
      </c>
      <c r="K1909">
        <v>1244.2</v>
      </c>
      <c r="L1909">
        <v>364.04</v>
      </c>
      <c r="M1909" t="s">
        <v>35</v>
      </c>
    </row>
    <row r="1910" spans="1:13" x14ac:dyDescent="0.3">
      <c r="A1910" t="s">
        <v>3287</v>
      </c>
      <c r="B1910" t="s">
        <v>396</v>
      </c>
      <c r="C1910" t="s">
        <v>3288</v>
      </c>
      <c r="D1910" s="7" t="s">
        <v>1375</v>
      </c>
      <c r="E1910" t="s">
        <v>17</v>
      </c>
      <c r="F1910" t="s">
        <v>26</v>
      </c>
      <c r="G1910" t="s">
        <v>27</v>
      </c>
      <c r="H1910">
        <v>7</v>
      </c>
      <c r="I1910">
        <v>161.68</v>
      </c>
      <c r="J1910">
        <v>0</v>
      </c>
      <c r="K1910">
        <v>1131.76</v>
      </c>
      <c r="L1910">
        <v>250.27</v>
      </c>
      <c r="M1910" t="s">
        <v>40</v>
      </c>
    </row>
    <row r="1911" spans="1:13" x14ac:dyDescent="0.3">
      <c r="A1911" t="s">
        <v>3289</v>
      </c>
      <c r="B1911" t="s">
        <v>2458</v>
      </c>
      <c r="C1911" t="s">
        <v>575</v>
      </c>
      <c r="D1911" s="7" t="s">
        <v>3290</v>
      </c>
      <c r="E1911" t="s">
        <v>64</v>
      </c>
      <c r="F1911" t="s">
        <v>26</v>
      </c>
      <c r="G1911" t="s">
        <v>84</v>
      </c>
      <c r="H1911">
        <v>5</v>
      </c>
      <c r="I1911">
        <v>85.8</v>
      </c>
      <c r="J1911">
        <v>0.05</v>
      </c>
      <c r="K1911">
        <v>407.55</v>
      </c>
      <c r="L1911">
        <v>51.49</v>
      </c>
      <c r="M1911" t="s">
        <v>35</v>
      </c>
    </row>
    <row r="1912" spans="1:13" x14ac:dyDescent="0.3">
      <c r="A1912" t="s">
        <v>3291</v>
      </c>
      <c r="B1912" t="s">
        <v>359</v>
      </c>
      <c r="C1912" t="s">
        <v>3143</v>
      </c>
      <c r="D1912" s="7" t="s">
        <v>1315</v>
      </c>
      <c r="E1912" t="s">
        <v>25</v>
      </c>
      <c r="F1912" t="s">
        <v>89</v>
      </c>
      <c r="G1912" t="s">
        <v>90</v>
      </c>
      <c r="H1912">
        <v>6</v>
      </c>
      <c r="I1912">
        <v>163.72999999999999</v>
      </c>
      <c r="J1912">
        <v>0</v>
      </c>
      <c r="K1912">
        <v>982.38</v>
      </c>
      <c r="L1912">
        <v>239.67</v>
      </c>
      <c r="M1912" t="s">
        <v>20</v>
      </c>
    </row>
    <row r="1913" spans="1:13" x14ac:dyDescent="0.3">
      <c r="A1913" t="s">
        <v>3292</v>
      </c>
      <c r="B1913" t="s">
        <v>999</v>
      </c>
      <c r="C1913" t="s">
        <v>1063</v>
      </c>
      <c r="D1913" s="7" t="s">
        <v>1308</v>
      </c>
      <c r="E1913" t="s">
        <v>17</v>
      </c>
      <c r="F1913" t="s">
        <v>89</v>
      </c>
      <c r="G1913" t="s">
        <v>150</v>
      </c>
      <c r="H1913">
        <v>1</v>
      </c>
      <c r="I1913">
        <v>245</v>
      </c>
      <c r="J1913">
        <v>0.15</v>
      </c>
      <c r="K1913">
        <v>208.25</v>
      </c>
      <c r="L1913">
        <v>53.39</v>
      </c>
      <c r="M1913" t="s">
        <v>20</v>
      </c>
    </row>
    <row r="1914" spans="1:13" x14ac:dyDescent="0.3">
      <c r="A1914" t="s">
        <v>3293</v>
      </c>
      <c r="B1914" t="s">
        <v>264</v>
      </c>
      <c r="C1914" t="s">
        <v>991</v>
      </c>
      <c r="D1914" s="7" t="s">
        <v>931</v>
      </c>
      <c r="E1914" t="s">
        <v>25</v>
      </c>
      <c r="F1914" t="s">
        <v>18</v>
      </c>
      <c r="G1914" t="s">
        <v>19</v>
      </c>
      <c r="H1914">
        <v>6</v>
      </c>
      <c r="I1914">
        <v>61.01</v>
      </c>
      <c r="J1914">
        <v>0.1</v>
      </c>
      <c r="K1914">
        <v>329.45</v>
      </c>
      <c r="L1914">
        <v>47.82</v>
      </c>
      <c r="M1914" t="s">
        <v>20</v>
      </c>
    </row>
    <row r="1915" spans="1:13" x14ac:dyDescent="0.3">
      <c r="A1915" t="s">
        <v>3294</v>
      </c>
      <c r="B1915" t="s">
        <v>2572</v>
      </c>
      <c r="C1915" t="s">
        <v>1888</v>
      </c>
      <c r="D1915" s="7" t="s">
        <v>641</v>
      </c>
      <c r="E1915" t="s">
        <v>64</v>
      </c>
      <c r="F1915" t="s">
        <v>26</v>
      </c>
      <c r="G1915" t="s">
        <v>84</v>
      </c>
      <c r="H1915">
        <v>5</v>
      </c>
      <c r="I1915">
        <v>179.99</v>
      </c>
      <c r="J1915">
        <v>0.1</v>
      </c>
      <c r="K1915">
        <v>809.96</v>
      </c>
      <c r="L1915">
        <v>162.41999999999999</v>
      </c>
      <c r="M1915" t="s">
        <v>35</v>
      </c>
    </row>
    <row r="1916" spans="1:13" x14ac:dyDescent="0.3">
      <c r="A1916" t="s">
        <v>3295</v>
      </c>
      <c r="B1916" t="s">
        <v>1335</v>
      </c>
      <c r="C1916" t="s">
        <v>867</v>
      </c>
      <c r="D1916" s="7" t="s">
        <v>1569</v>
      </c>
      <c r="E1916" t="s">
        <v>17</v>
      </c>
      <c r="F1916" t="s">
        <v>89</v>
      </c>
      <c r="G1916" t="s">
        <v>90</v>
      </c>
      <c r="H1916">
        <v>4</v>
      </c>
      <c r="I1916">
        <v>241.05</v>
      </c>
      <c r="J1916">
        <v>0.1</v>
      </c>
      <c r="K1916">
        <v>867.78</v>
      </c>
      <c r="L1916">
        <v>164.22</v>
      </c>
      <c r="M1916" t="s">
        <v>40</v>
      </c>
    </row>
    <row r="1917" spans="1:13" x14ac:dyDescent="0.3">
      <c r="A1917" t="s">
        <v>3296</v>
      </c>
      <c r="B1917" t="s">
        <v>349</v>
      </c>
      <c r="C1917" t="s">
        <v>1974</v>
      </c>
      <c r="D1917" s="7" t="s">
        <v>178</v>
      </c>
      <c r="E1917" t="s">
        <v>64</v>
      </c>
      <c r="F1917" t="s">
        <v>26</v>
      </c>
      <c r="G1917" t="s">
        <v>84</v>
      </c>
      <c r="H1917">
        <v>5</v>
      </c>
      <c r="I1917">
        <v>161.19999999999999</v>
      </c>
      <c r="J1917">
        <v>0.15</v>
      </c>
      <c r="K1917">
        <v>685.1</v>
      </c>
      <c r="L1917">
        <v>64.89</v>
      </c>
      <c r="M1917" t="s">
        <v>20</v>
      </c>
    </row>
    <row r="1918" spans="1:13" x14ac:dyDescent="0.3">
      <c r="A1918" t="s">
        <v>3297</v>
      </c>
      <c r="B1918" t="s">
        <v>1415</v>
      </c>
      <c r="C1918" t="s">
        <v>950</v>
      </c>
      <c r="D1918" s="7" t="s">
        <v>773</v>
      </c>
      <c r="E1918" t="s">
        <v>59</v>
      </c>
      <c r="F1918" t="s">
        <v>26</v>
      </c>
      <c r="G1918" t="s">
        <v>84</v>
      </c>
      <c r="H1918">
        <v>2</v>
      </c>
      <c r="I1918">
        <v>46.48</v>
      </c>
      <c r="J1918">
        <v>0.15</v>
      </c>
      <c r="K1918">
        <v>79.02</v>
      </c>
      <c r="L1918">
        <v>17.25</v>
      </c>
      <c r="M1918" t="s">
        <v>20</v>
      </c>
    </row>
    <row r="1919" spans="1:13" x14ac:dyDescent="0.3">
      <c r="A1919" t="s">
        <v>3298</v>
      </c>
      <c r="B1919" t="s">
        <v>207</v>
      </c>
      <c r="C1919" t="s">
        <v>1046</v>
      </c>
      <c r="D1919" s="7" t="s">
        <v>1114</v>
      </c>
      <c r="E1919" t="s">
        <v>32</v>
      </c>
      <c r="F1919" t="s">
        <v>89</v>
      </c>
      <c r="G1919" t="s">
        <v>150</v>
      </c>
      <c r="H1919">
        <v>7</v>
      </c>
      <c r="I1919">
        <v>21.63</v>
      </c>
      <c r="J1919">
        <v>0.05</v>
      </c>
      <c r="K1919">
        <v>143.84</v>
      </c>
      <c r="L1919">
        <v>35.049999999999997</v>
      </c>
      <c r="M1919" t="s">
        <v>20</v>
      </c>
    </row>
    <row r="1920" spans="1:13" x14ac:dyDescent="0.3">
      <c r="A1920" t="s">
        <v>3299</v>
      </c>
      <c r="B1920" t="s">
        <v>1486</v>
      </c>
      <c r="C1920" t="s">
        <v>608</v>
      </c>
      <c r="D1920" s="7" t="s">
        <v>2712</v>
      </c>
      <c r="E1920" t="s">
        <v>64</v>
      </c>
      <c r="F1920" t="s">
        <v>26</v>
      </c>
      <c r="G1920" t="s">
        <v>84</v>
      </c>
      <c r="H1920">
        <v>1</v>
      </c>
      <c r="I1920">
        <v>89.14</v>
      </c>
      <c r="J1920">
        <v>0.1</v>
      </c>
      <c r="K1920">
        <v>80.23</v>
      </c>
      <c r="L1920">
        <v>11.22</v>
      </c>
      <c r="M1920" t="s">
        <v>20</v>
      </c>
    </row>
    <row r="1921" spans="1:13" x14ac:dyDescent="0.3">
      <c r="A1921" t="s">
        <v>3300</v>
      </c>
      <c r="B1921" t="s">
        <v>708</v>
      </c>
      <c r="C1921" t="s">
        <v>1030</v>
      </c>
      <c r="D1921" s="7" t="s">
        <v>1575</v>
      </c>
      <c r="E1921" t="s">
        <v>64</v>
      </c>
      <c r="F1921" t="s">
        <v>26</v>
      </c>
      <c r="G1921" t="s">
        <v>27</v>
      </c>
      <c r="H1921">
        <v>1</v>
      </c>
      <c r="I1921">
        <v>35.369999999999997</v>
      </c>
      <c r="J1921">
        <v>0.1</v>
      </c>
      <c r="K1921">
        <v>31.83</v>
      </c>
      <c r="L1921">
        <v>7.93</v>
      </c>
      <c r="M1921" t="s">
        <v>20</v>
      </c>
    </row>
    <row r="1922" spans="1:13" x14ac:dyDescent="0.3">
      <c r="A1922" t="s">
        <v>3301</v>
      </c>
      <c r="B1922" t="s">
        <v>1187</v>
      </c>
      <c r="C1922" t="s">
        <v>1152</v>
      </c>
      <c r="D1922" s="7" t="s">
        <v>829</v>
      </c>
      <c r="E1922" t="s">
        <v>59</v>
      </c>
      <c r="F1922" t="s">
        <v>33</v>
      </c>
      <c r="G1922" t="s">
        <v>74</v>
      </c>
      <c r="H1922">
        <v>5</v>
      </c>
      <c r="I1922">
        <v>215.39</v>
      </c>
      <c r="J1922">
        <v>0.05</v>
      </c>
      <c r="K1922">
        <v>1023.1</v>
      </c>
      <c r="L1922">
        <v>282.01</v>
      </c>
      <c r="M1922" t="s">
        <v>40</v>
      </c>
    </row>
    <row r="1923" spans="1:13" x14ac:dyDescent="0.3">
      <c r="A1923" t="s">
        <v>3302</v>
      </c>
      <c r="B1923" t="s">
        <v>1657</v>
      </c>
      <c r="C1923" t="s">
        <v>1346</v>
      </c>
      <c r="D1923" s="7" t="s">
        <v>2403</v>
      </c>
      <c r="E1923" t="s">
        <v>25</v>
      </c>
      <c r="F1923" t="s">
        <v>33</v>
      </c>
      <c r="G1923" t="s">
        <v>69</v>
      </c>
      <c r="H1923">
        <v>7</v>
      </c>
      <c r="I1923">
        <v>16.989999999999998</v>
      </c>
      <c r="J1923">
        <v>0.1</v>
      </c>
      <c r="K1923">
        <v>107.04</v>
      </c>
      <c r="L1923">
        <v>22.09</v>
      </c>
      <c r="M1923" t="s">
        <v>20</v>
      </c>
    </row>
    <row r="1924" spans="1:13" x14ac:dyDescent="0.3">
      <c r="A1924" t="s">
        <v>3303</v>
      </c>
      <c r="B1924" t="s">
        <v>554</v>
      </c>
      <c r="C1924" t="s">
        <v>116</v>
      </c>
      <c r="D1924" s="7" t="s">
        <v>695</v>
      </c>
      <c r="E1924" t="s">
        <v>17</v>
      </c>
      <c r="F1924" t="s">
        <v>26</v>
      </c>
      <c r="G1924" t="s">
        <v>27</v>
      </c>
      <c r="H1924">
        <v>4</v>
      </c>
      <c r="I1924">
        <v>79.569999999999993</v>
      </c>
      <c r="J1924">
        <v>0</v>
      </c>
      <c r="K1924">
        <v>318.27999999999997</v>
      </c>
      <c r="L1924">
        <v>90.23</v>
      </c>
      <c r="M1924" t="s">
        <v>35</v>
      </c>
    </row>
    <row r="1925" spans="1:13" x14ac:dyDescent="0.3">
      <c r="A1925" t="s">
        <v>3304</v>
      </c>
      <c r="B1925" t="s">
        <v>1684</v>
      </c>
      <c r="C1925" t="s">
        <v>2350</v>
      </c>
      <c r="D1925" s="7" t="s">
        <v>157</v>
      </c>
      <c r="E1925" t="s">
        <v>25</v>
      </c>
      <c r="F1925" t="s">
        <v>33</v>
      </c>
      <c r="G1925" t="s">
        <v>34</v>
      </c>
      <c r="H1925">
        <v>7</v>
      </c>
      <c r="I1925">
        <v>98.39</v>
      </c>
      <c r="J1925">
        <v>0</v>
      </c>
      <c r="K1925">
        <v>688.73</v>
      </c>
      <c r="L1925">
        <v>206.46</v>
      </c>
      <c r="M1925" t="s">
        <v>35</v>
      </c>
    </row>
    <row r="1926" spans="1:13" x14ac:dyDescent="0.3">
      <c r="A1926" t="s">
        <v>3305</v>
      </c>
      <c r="B1926" t="s">
        <v>697</v>
      </c>
      <c r="C1926" t="s">
        <v>1195</v>
      </c>
      <c r="D1926" s="7" t="s">
        <v>455</v>
      </c>
      <c r="E1926" t="s">
        <v>25</v>
      </c>
      <c r="F1926" t="s">
        <v>18</v>
      </c>
      <c r="G1926" t="s">
        <v>45</v>
      </c>
      <c r="H1926">
        <v>1</v>
      </c>
      <c r="I1926">
        <v>116.52</v>
      </c>
      <c r="J1926">
        <v>0</v>
      </c>
      <c r="K1926">
        <v>116.52</v>
      </c>
      <c r="L1926">
        <v>15.78</v>
      </c>
      <c r="M1926" t="s">
        <v>35</v>
      </c>
    </row>
    <row r="1927" spans="1:13" x14ac:dyDescent="0.3">
      <c r="A1927" t="s">
        <v>3306</v>
      </c>
      <c r="B1927" t="s">
        <v>128</v>
      </c>
      <c r="C1927" t="s">
        <v>1213</v>
      </c>
      <c r="D1927" s="7" t="s">
        <v>106</v>
      </c>
      <c r="E1927" t="s">
        <v>59</v>
      </c>
      <c r="F1927" t="s">
        <v>89</v>
      </c>
      <c r="G1927" t="s">
        <v>131</v>
      </c>
      <c r="H1927">
        <v>2</v>
      </c>
      <c r="I1927">
        <v>83.73</v>
      </c>
      <c r="J1927">
        <v>0.1</v>
      </c>
      <c r="K1927">
        <v>150.71</v>
      </c>
      <c r="L1927">
        <v>34.880000000000003</v>
      </c>
      <c r="M1927" t="s">
        <v>35</v>
      </c>
    </row>
    <row r="1928" spans="1:13" x14ac:dyDescent="0.3">
      <c r="A1928" t="s">
        <v>3307</v>
      </c>
      <c r="B1928" t="s">
        <v>885</v>
      </c>
      <c r="C1928" t="s">
        <v>243</v>
      </c>
      <c r="D1928" s="7" t="s">
        <v>2137</v>
      </c>
      <c r="E1928" t="s">
        <v>25</v>
      </c>
      <c r="F1928" t="s">
        <v>26</v>
      </c>
      <c r="G1928" t="s">
        <v>118</v>
      </c>
      <c r="H1928">
        <v>6</v>
      </c>
      <c r="I1928">
        <v>166.58</v>
      </c>
      <c r="J1928">
        <v>0.15</v>
      </c>
      <c r="K1928">
        <v>849.56</v>
      </c>
      <c r="L1928">
        <v>114.64</v>
      </c>
      <c r="M1928" t="s">
        <v>35</v>
      </c>
    </row>
    <row r="1929" spans="1:13" x14ac:dyDescent="0.3">
      <c r="A1929" t="s">
        <v>3308</v>
      </c>
      <c r="B1929" t="s">
        <v>306</v>
      </c>
      <c r="C1929" t="s">
        <v>1737</v>
      </c>
      <c r="D1929" s="7" t="s">
        <v>1235</v>
      </c>
      <c r="E1929" t="s">
        <v>32</v>
      </c>
      <c r="F1929" t="s">
        <v>26</v>
      </c>
      <c r="G1929" t="s">
        <v>27</v>
      </c>
      <c r="H1929">
        <v>1</v>
      </c>
      <c r="I1929">
        <v>119.86</v>
      </c>
      <c r="J1929">
        <v>0.15</v>
      </c>
      <c r="K1929">
        <v>101.88</v>
      </c>
      <c r="L1929">
        <v>18</v>
      </c>
      <c r="M1929" t="s">
        <v>40</v>
      </c>
    </row>
    <row r="1930" spans="1:13" x14ac:dyDescent="0.3">
      <c r="A1930" t="s">
        <v>3309</v>
      </c>
      <c r="B1930" t="s">
        <v>1005</v>
      </c>
      <c r="C1930" t="s">
        <v>1936</v>
      </c>
      <c r="D1930" s="7" t="s">
        <v>284</v>
      </c>
      <c r="E1930" t="s">
        <v>64</v>
      </c>
      <c r="F1930" t="s">
        <v>18</v>
      </c>
      <c r="G1930" t="s">
        <v>45</v>
      </c>
      <c r="H1930">
        <v>1</v>
      </c>
      <c r="I1930">
        <v>240.25</v>
      </c>
      <c r="J1930">
        <v>0.05</v>
      </c>
      <c r="K1930">
        <v>228.24</v>
      </c>
      <c r="L1930">
        <v>49.29</v>
      </c>
      <c r="M1930" t="s">
        <v>35</v>
      </c>
    </row>
    <row r="1931" spans="1:13" x14ac:dyDescent="0.3">
      <c r="A1931" t="s">
        <v>3310</v>
      </c>
      <c r="B1931" t="s">
        <v>1263</v>
      </c>
      <c r="C1931" t="s">
        <v>1060</v>
      </c>
      <c r="D1931" s="7" t="s">
        <v>1261</v>
      </c>
      <c r="E1931" t="s">
        <v>32</v>
      </c>
      <c r="F1931" t="s">
        <v>26</v>
      </c>
      <c r="G1931" t="s">
        <v>84</v>
      </c>
      <c r="H1931">
        <v>5</v>
      </c>
      <c r="I1931">
        <v>13.19</v>
      </c>
      <c r="J1931">
        <v>0</v>
      </c>
      <c r="K1931">
        <v>65.95</v>
      </c>
      <c r="L1931">
        <v>18.600000000000001</v>
      </c>
      <c r="M1931" t="s">
        <v>35</v>
      </c>
    </row>
    <row r="1932" spans="1:13" x14ac:dyDescent="0.3">
      <c r="A1932" t="s">
        <v>3311</v>
      </c>
      <c r="B1932" t="s">
        <v>1089</v>
      </c>
      <c r="C1932" t="s">
        <v>2241</v>
      </c>
      <c r="D1932" s="7" t="s">
        <v>1959</v>
      </c>
      <c r="E1932" t="s">
        <v>32</v>
      </c>
      <c r="F1932" t="s">
        <v>18</v>
      </c>
      <c r="G1932" t="s">
        <v>79</v>
      </c>
      <c r="H1932">
        <v>1</v>
      </c>
      <c r="I1932">
        <v>71</v>
      </c>
      <c r="J1932">
        <v>0.05</v>
      </c>
      <c r="K1932">
        <v>67.45</v>
      </c>
      <c r="L1932">
        <v>15.14</v>
      </c>
      <c r="M1932" t="s">
        <v>20</v>
      </c>
    </row>
    <row r="1933" spans="1:13" x14ac:dyDescent="0.3">
      <c r="A1933" t="s">
        <v>3312</v>
      </c>
      <c r="B1933" t="s">
        <v>1307</v>
      </c>
      <c r="C1933" t="s">
        <v>215</v>
      </c>
      <c r="D1933" s="7" t="s">
        <v>754</v>
      </c>
      <c r="E1933" t="s">
        <v>32</v>
      </c>
      <c r="F1933" t="s">
        <v>89</v>
      </c>
      <c r="G1933" t="s">
        <v>150</v>
      </c>
      <c r="H1933">
        <v>6</v>
      </c>
      <c r="I1933">
        <v>159.58000000000001</v>
      </c>
      <c r="J1933">
        <v>0.1</v>
      </c>
      <c r="K1933">
        <v>861.73</v>
      </c>
      <c r="L1933">
        <v>181.67</v>
      </c>
      <c r="M1933" t="s">
        <v>40</v>
      </c>
    </row>
    <row r="1934" spans="1:13" x14ac:dyDescent="0.3">
      <c r="A1934" t="s">
        <v>3313</v>
      </c>
      <c r="B1934" t="s">
        <v>1198</v>
      </c>
      <c r="C1934" t="s">
        <v>1646</v>
      </c>
      <c r="D1934" s="7" t="s">
        <v>718</v>
      </c>
      <c r="E1934" t="s">
        <v>25</v>
      </c>
      <c r="F1934" t="s">
        <v>33</v>
      </c>
      <c r="G1934" t="s">
        <v>50</v>
      </c>
      <c r="H1934">
        <v>5</v>
      </c>
      <c r="I1934">
        <v>95.31</v>
      </c>
      <c r="J1934">
        <v>0</v>
      </c>
      <c r="K1934">
        <v>476.55</v>
      </c>
      <c r="L1934">
        <v>101.84</v>
      </c>
      <c r="M1934" t="s">
        <v>40</v>
      </c>
    </row>
    <row r="1935" spans="1:13" x14ac:dyDescent="0.3">
      <c r="A1935" t="s">
        <v>3314</v>
      </c>
      <c r="B1935" t="s">
        <v>235</v>
      </c>
      <c r="C1935" t="s">
        <v>2537</v>
      </c>
      <c r="D1935" s="7" t="s">
        <v>2023</v>
      </c>
      <c r="E1935" t="s">
        <v>59</v>
      </c>
      <c r="F1935" t="s">
        <v>89</v>
      </c>
      <c r="G1935" t="s">
        <v>150</v>
      </c>
      <c r="H1935">
        <v>3</v>
      </c>
      <c r="I1935">
        <v>26.47</v>
      </c>
      <c r="J1935">
        <v>0</v>
      </c>
      <c r="K1935">
        <v>79.41</v>
      </c>
      <c r="L1935">
        <v>20.97</v>
      </c>
      <c r="M1935" t="s">
        <v>20</v>
      </c>
    </row>
    <row r="1936" spans="1:13" x14ac:dyDescent="0.3">
      <c r="A1936" t="s">
        <v>3315</v>
      </c>
      <c r="B1936" t="s">
        <v>447</v>
      </c>
      <c r="C1936" t="s">
        <v>43</v>
      </c>
      <c r="D1936" s="7" t="s">
        <v>1077</v>
      </c>
      <c r="E1936" t="s">
        <v>17</v>
      </c>
      <c r="F1936" t="s">
        <v>33</v>
      </c>
      <c r="G1936" t="s">
        <v>34</v>
      </c>
      <c r="H1936">
        <v>6</v>
      </c>
      <c r="I1936">
        <v>229.26</v>
      </c>
      <c r="J1936">
        <v>0</v>
      </c>
      <c r="K1936">
        <v>1375.56</v>
      </c>
      <c r="L1936">
        <v>380.15</v>
      </c>
      <c r="M1936" t="s">
        <v>20</v>
      </c>
    </row>
    <row r="1937" spans="1:13" x14ac:dyDescent="0.3">
      <c r="A1937" t="s">
        <v>3316</v>
      </c>
      <c r="B1937" t="s">
        <v>1242</v>
      </c>
      <c r="C1937" t="s">
        <v>1512</v>
      </c>
      <c r="D1937" s="7" t="s">
        <v>1103</v>
      </c>
      <c r="E1937" t="s">
        <v>25</v>
      </c>
      <c r="F1937" t="s">
        <v>26</v>
      </c>
      <c r="G1937" t="s">
        <v>27</v>
      </c>
      <c r="H1937">
        <v>4</v>
      </c>
      <c r="I1937">
        <v>66.28</v>
      </c>
      <c r="J1937">
        <v>0.05</v>
      </c>
      <c r="K1937">
        <v>251.86</v>
      </c>
      <c r="L1937">
        <v>60.65</v>
      </c>
      <c r="M1937" t="s">
        <v>20</v>
      </c>
    </row>
    <row r="1938" spans="1:13" x14ac:dyDescent="0.3">
      <c r="A1938" t="s">
        <v>3317</v>
      </c>
      <c r="B1938" t="s">
        <v>371</v>
      </c>
      <c r="C1938" t="s">
        <v>339</v>
      </c>
      <c r="D1938" s="7" t="s">
        <v>2196</v>
      </c>
      <c r="E1938" t="s">
        <v>17</v>
      </c>
      <c r="F1938" t="s">
        <v>26</v>
      </c>
      <c r="G1938" t="s">
        <v>118</v>
      </c>
      <c r="H1938">
        <v>4</v>
      </c>
      <c r="I1938">
        <v>242.68</v>
      </c>
      <c r="J1938">
        <v>0.1</v>
      </c>
      <c r="K1938">
        <v>873.65</v>
      </c>
      <c r="L1938">
        <v>107.26</v>
      </c>
      <c r="M1938" t="s">
        <v>20</v>
      </c>
    </row>
    <row r="1939" spans="1:13" x14ac:dyDescent="0.3">
      <c r="A1939" t="s">
        <v>3318</v>
      </c>
      <c r="B1939" t="s">
        <v>1965</v>
      </c>
      <c r="C1939" t="s">
        <v>2208</v>
      </c>
      <c r="D1939" s="7" t="s">
        <v>175</v>
      </c>
      <c r="E1939" t="s">
        <v>32</v>
      </c>
      <c r="F1939" t="s">
        <v>18</v>
      </c>
      <c r="G1939" t="s">
        <v>45</v>
      </c>
      <c r="H1939">
        <v>1</v>
      </c>
      <c r="I1939">
        <v>202.02</v>
      </c>
      <c r="J1939">
        <v>0.15</v>
      </c>
      <c r="K1939">
        <v>171.72</v>
      </c>
      <c r="L1939">
        <v>19.059999999999999</v>
      </c>
      <c r="M1939" t="s">
        <v>35</v>
      </c>
    </row>
    <row r="1940" spans="1:13" x14ac:dyDescent="0.3">
      <c r="A1940" t="s">
        <v>3319</v>
      </c>
      <c r="B1940" t="s">
        <v>199</v>
      </c>
      <c r="C1940" t="s">
        <v>1831</v>
      </c>
      <c r="D1940" s="7" t="s">
        <v>466</v>
      </c>
      <c r="E1940" t="s">
        <v>59</v>
      </c>
      <c r="F1940" t="s">
        <v>89</v>
      </c>
      <c r="G1940" t="s">
        <v>150</v>
      </c>
      <c r="H1940">
        <v>6</v>
      </c>
      <c r="I1940">
        <v>53.75</v>
      </c>
      <c r="J1940">
        <v>0</v>
      </c>
      <c r="K1940">
        <v>322.5</v>
      </c>
      <c r="L1940">
        <v>58.98</v>
      </c>
      <c r="M1940" t="s">
        <v>35</v>
      </c>
    </row>
    <row r="1941" spans="1:13" x14ac:dyDescent="0.3">
      <c r="A1941" t="s">
        <v>3320</v>
      </c>
      <c r="B1941" t="s">
        <v>1956</v>
      </c>
      <c r="C1941" t="s">
        <v>994</v>
      </c>
      <c r="D1941" s="7" t="s">
        <v>240</v>
      </c>
      <c r="E1941" t="s">
        <v>32</v>
      </c>
      <c r="F1941" t="s">
        <v>18</v>
      </c>
      <c r="G1941" t="s">
        <v>45</v>
      </c>
      <c r="H1941">
        <v>6</v>
      </c>
      <c r="I1941">
        <v>79.94</v>
      </c>
      <c r="J1941">
        <v>0</v>
      </c>
      <c r="K1941">
        <v>479.64</v>
      </c>
      <c r="L1941">
        <v>57.85</v>
      </c>
      <c r="M1941" t="s">
        <v>35</v>
      </c>
    </row>
    <row r="1942" spans="1:13" x14ac:dyDescent="0.3">
      <c r="A1942" t="s">
        <v>3321</v>
      </c>
      <c r="B1942" t="s">
        <v>1868</v>
      </c>
      <c r="C1942" t="s">
        <v>1509</v>
      </c>
      <c r="D1942" s="7" t="s">
        <v>109</v>
      </c>
      <c r="E1942" t="s">
        <v>25</v>
      </c>
      <c r="F1942" t="s">
        <v>26</v>
      </c>
      <c r="G1942" t="s">
        <v>118</v>
      </c>
      <c r="H1942">
        <v>2</v>
      </c>
      <c r="I1942">
        <v>195.45</v>
      </c>
      <c r="J1942">
        <v>0.05</v>
      </c>
      <c r="K1942">
        <v>371.35</v>
      </c>
      <c r="L1942">
        <v>97.18</v>
      </c>
      <c r="M1942" t="s">
        <v>35</v>
      </c>
    </row>
    <row r="1943" spans="1:13" x14ac:dyDescent="0.3">
      <c r="A1943" t="s">
        <v>3322</v>
      </c>
      <c r="B1943" t="s">
        <v>1118</v>
      </c>
      <c r="C1943" t="s">
        <v>177</v>
      </c>
      <c r="D1943" s="7" t="s">
        <v>1209</v>
      </c>
      <c r="E1943" t="s">
        <v>64</v>
      </c>
      <c r="F1943" t="s">
        <v>18</v>
      </c>
      <c r="G1943" t="s">
        <v>19</v>
      </c>
      <c r="H1943">
        <v>5</v>
      </c>
      <c r="I1943">
        <v>73.22</v>
      </c>
      <c r="J1943">
        <v>0</v>
      </c>
      <c r="K1943">
        <v>366.1</v>
      </c>
      <c r="L1943">
        <v>90.81</v>
      </c>
      <c r="M1943" t="s">
        <v>20</v>
      </c>
    </row>
    <row r="1944" spans="1:13" x14ac:dyDescent="0.3">
      <c r="A1944" t="s">
        <v>3323</v>
      </c>
      <c r="B1944" t="s">
        <v>2164</v>
      </c>
      <c r="C1944" t="s">
        <v>511</v>
      </c>
      <c r="D1944" s="7" t="s">
        <v>1490</v>
      </c>
      <c r="E1944" t="s">
        <v>25</v>
      </c>
      <c r="F1944" t="s">
        <v>89</v>
      </c>
      <c r="G1944" t="s">
        <v>131</v>
      </c>
      <c r="H1944">
        <v>5</v>
      </c>
      <c r="I1944">
        <v>170.94</v>
      </c>
      <c r="J1944">
        <v>0.05</v>
      </c>
      <c r="K1944">
        <v>811.97</v>
      </c>
      <c r="L1944">
        <v>139.93</v>
      </c>
      <c r="M1944" t="s">
        <v>40</v>
      </c>
    </row>
    <row r="1945" spans="1:13" x14ac:dyDescent="0.3">
      <c r="A1945" t="s">
        <v>3324</v>
      </c>
      <c r="B1945" t="s">
        <v>1226</v>
      </c>
      <c r="C1945" t="s">
        <v>668</v>
      </c>
      <c r="D1945" s="7" t="s">
        <v>1431</v>
      </c>
      <c r="E1945" t="s">
        <v>17</v>
      </c>
      <c r="F1945" t="s">
        <v>18</v>
      </c>
      <c r="G1945" t="s">
        <v>19</v>
      </c>
      <c r="H1945">
        <v>3</v>
      </c>
      <c r="I1945">
        <v>89.1</v>
      </c>
      <c r="J1945">
        <v>0.05</v>
      </c>
      <c r="K1945">
        <v>253.93</v>
      </c>
      <c r="L1945">
        <v>25.04</v>
      </c>
      <c r="M1945" t="s">
        <v>40</v>
      </c>
    </row>
    <row r="1946" spans="1:13" x14ac:dyDescent="0.3">
      <c r="A1946" t="s">
        <v>3325</v>
      </c>
      <c r="B1946" t="s">
        <v>1043</v>
      </c>
      <c r="C1946" t="s">
        <v>2203</v>
      </c>
      <c r="D1946" s="7" t="s">
        <v>789</v>
      </c>
      <c r="E1946" t="s">
        <v>59</v>
      </c>
      <c r="F1946" t="s">
        <v>18</v>
      </c>
      <c r="G1946" t="s">
        <v>45</v>
      </c>
      <c r="H1946">
        <v>4</v>
      </c>
      <c r="I1946">
        <v>238.52</v>
      </c>
      <c r="J1946">
        <v>0.05</v>
      </c>
      <c r="K1946">
        <v>906.38</v>
      </c>
      <c r="L1946">
        <v>270.42</v>
      </c>
      <c r="M1946" t="s">
        <v>35</v>
      </c>
    </row>
    <row r="1947" spans="1:13" x14ac:dyDescent="0.3">
      <c r="A1947" t="s">
        <v>3326</v>
      </c>
      <c r="B1947" t="s">
        <v>359</v>
      </c>
      <c r="C1947" t="s">
        <v>2330</v>
      </c>
      <c r="D1947" s="7" t="s">
        <v>212</v>
      </c>
      <c r="E1947" t="s">
        <v>59</v>
      </c>
      <c r="F1947" t="s">
        <v>18</v>
      </c>
      <c r="G1947" t="s">
        <v>79</v>
      </c>
      <c r="H1947">
        <v>8</v>
      </c>
      <c r="I1947">
        <v>55.93</v>
      </c>
      <c r="J1947">
        <v>0.05</v>
      </c>
      <c r="K1947">
        <v>425.07</v>
      </c>
      <c r="L1947">
        <v>80.010000000000005</v>
      </c>
      <c r="M1947" t="s">
        <v>40</v>
      </c>
    </row>
    <row r="1948" spans="1:13" x14ac:dyDescent="0.3">
      <c r="A1948" t="s">
        <v>3327</v>
      </c>
      <c r="B1948" t="s">
        <v>56</v>
      </c>
      <c r="C1948" t="s">
        <v>861</v>
      </c>
      <c r="D1948" s="7" t="s">
        <v>1354</v>
      </c>
      <c r="E1948" t="s">
        <v>17</v>
      </c>
      <c r="F1948" t="s">
        <v>18</v>
      </c>
      <c r="G1948" t="s">
        <v>45</v>
      </c>
      <c r="H1948">
        <v>2</v>
      </c>
      <c r="I1948">
        <v>117.08</v>
      </c>
      <c r="J1948">
        <v>0</v>
      </c>
      <c r="K1948">
        <v>234.16</v>
      </c>
      <c r="L1948">
        <v>31.44</v>
      </c>
      <c r="M1948" t="s">
        <v>40</v>
      </c>
    </row>
    <row r="1949" spans="1:13" x14ac:dyDescent="0.3">
      <c r="A1949" t="s">
        <v>3328</v>
      </c>
      <c r="B1949" t="s">
        <v>815</v>
      </c>
      <c r="C1949" t="s">
        <v>978</v>
      </c>
      <c r="D1949" s="7" t="s">
        <v>598</v>
      </c>
      <c r="E1949" t="s">
        <v>32</v>
      </c>
      <c r="F1949" t="s">
        <v>33</v>
      </c>
      <c r="G1949" t="s">
        <v>74</v>
      </c>
      <c r="H1949">
        <v>2</v>
      </c>
      <c r="I1949">
        <v>136.61000000000001</v>
      </c>
      <c r="J1949">
        <v>0.15</v>
      </c>
      <c r="K1949">
        <v>232.24</v>
      </c>
      <c r="L1949">
        <v>30.58</v>
      </c>
      <c r="M1949" t="s">
        <v>40</v>
      </c>
    </row>
    <row r="1950" spans="1:13" x14ac:dyDescent="0.3">
      <c r="A1950" t="s">
        <v>3329</v>
      </c>
      <c r="B1950" t="s">
        <v>1352</v>
      </c>
      <c r="C1950" t="s">
        <v>1305</v>
      </c>
      <c r="D1950" s="7" t="s">
        <v>3330</v>
      </c>
      <c r="E1950" t="s">
        <v>32</v>
      </c>
      <c r="F1950" t="s">
        <v>89</v>
      </c>
      <c r="G1950" t="s">
        <v>150</v>
      </c>
      <c r="H1950">
        <v>2</v>
      </c>
      <c r="I1950">
        <v>243.4</v>
      </c>
      <c r="J1950">
        <v>0.1</v>
      </c>
      <c r="K1950">
        <v>438.12</v>
      </c>
      <c r="L1950">
        <v>68.92</v>
      </c>
      <c r="M1950" t="s">
        <v>35</v>
      </c>
    </row>
    <row r="1951" spans="1:13" x14ac:dyDescent="0.3">
      <c r="A1951" t="s">
        <v>3331</v>
      </c>
      <c r="B1951" t="s">
        <v>1144</v>
      </c>
      <c r="C1951" t="s">
        <v>1217</v>
      </c>
      <c r="D1951" s="7" t="s">
        <v>280</v>
      </c>
      <c r="E1951" t="s">
        <v>17</v>
      </c>
      <c r="F1951" t="s">
        <v>89</v>
      </c>
      <c r="G1951" t="s">
        <v>131</v>
      </c>
      <c r="H1951">
        <v>6</v>
      </c>
      <c r="I1951">
        <v>236</v>
      </c>
      <c r="J1951">
        <v>0</v>
      </c>
      <c r="K1951">
        <v>1416</v>
      </c>
      <c r="L1951">
        <v>140.30000000000001</v>
      </c>
      <c r="M1951" t="s">
        <v>20</v>
      </c>
    </row>
    <row r="1952" spans="1:13" x14ac:dyDescent="0.3">
      <c r="A1952" t="s">
        <v>3332</v>
      </c>
      <c r="B1952" t="s">
        <v>548</v>
      </c>
      <c r="C1952" t="s">
        <v>318</v>
      </c>
      <c r="D1952" s="7" t="s">
        <v>2454</v>
      </c>
      <c r="E1952" t="s">
        <v>25</v>
      </c>
      <c r="F1952" t="s">
        <v>18</v>
      </c>
      <c r="G1952" t="s">
        <v>45</v>
      </c>
      <c r="H1952">
        <v>4</v>
      </c>
      <c r="I1952">
        <v>84.51</v>
      </c>
      <c r="J1952">
        <v>0</v>
      </c>
      <c r="K1952">
        <v>338.04</v>
      </c>
      <c r="L1952">
        <v>82.84</v>
      </c>
      <c r="M1952" t="s">
        <v>35</v>
      </c>
    </row>
    <row r="1953" spans="1:13" x14ac:dyDescent="0.3">
      <c r="A1953" t="s">
        <v>3333</v>
      </c>
      <c r="B1953" t="s">
        <v>823</v>
      </c>
      <c r="C1953" t="s">
        <v>1147</v>
      </c>
      <c r="D1953" s="7" t="s">
        <v>258</v>
      </c>
      <c r="E1953" t="s">
        <v>59</v>
      </c>
      <c r="F1953" t="s">
        <v>89</v>
      </c>
      <c r="G1953" t="s">
        <v>150</v>
      </c>
      <c r="H1953">
        <v>8</v>
      </c>
      <c r="I1953">
        <v>84.22</v>
      </c>
      <c r="J1953">
        <v>0</v>
      </c>
      <c r="K1953">
        <v>673.76</v>
      </c>
      <c r="L1953">
        <v>69.73</v>
      </c>
      <c r="M1953" t="s">
        <v>35</v>
      </c>
    </row>
    <row r="1954" spans="1:13" x14ac:dyDescent="0.3">
      <c r="A1954" t="s">
        <v>3334</v>
      </c>
      <c r="B1954" t="s">
        <v>229</v>
      </c>
      <c r="C1954" t="s">
        <v>717</v>
      </c>
      <c r="D1954" s="7" t="s">
        <v>469</v>
      </c>
      <c r="E1954" t="s">
        <v>32</v>
      </c>
      <c r="F1954" t="s">
        <v>33</v>
      </c>
      <c r="G1954" t="s">
        <v>69</v>
      </c>
      <c r="H1954">
        <v>3</v>
      </c>
      <c r="I1954">
        <v>166.3</v>
      </c>
      <c r="J1954">
        <v>0</v>
      </c>
      <c r="K1954">
        <v>498.9</v>
      </c>
      <c r="L1954">
        <v>107.55</v>
      </c>
      <c r="M1954" t="s">
        <v>20</v>
      </c>
    </row>
    <row r="1955" spans="1:13" x14ac:dyDescent="0.3">
      <c r="A1955" t="s">
        <v>3335</v>
      </c>
      <c r="B1955" t="s">
        <v>943</v>
      </c>
      <c r="C1955" t="s">
        <v>1213</v>
      </c>
      <c r="D1955" s="7" t="s">
        <v>1278</v>
      </c>
      <c r="E1955" t="s">
        <v>32</v>
      </c>
      <c r="F1955" t="s">
        <v>18</v>
      </c>
      <c r="G1955" t="s">
        <v>79</v>
      </c>
      <c r="H1955">
        <v>5</v>
      </c>
      <c r="I1955">
        <v>218.33</v>
      </c>
      <c r="J1955">
        <v>0</v>
      </c>
      <c r="K1955">
        <v>1091.6500000000001</v>
      </c>
      <c r="L1955">
        <v>118.78</v>
      </c>
      <c r="M1955" t="s">
        <v>40</v>
      </c>
    </row>
    <row r="1956" spans="1:13" x14ac:dyDescent="0.3">
      <c r="A1956" t="s">
        <v>3336</v>
      </c>
      <c r="B1956" t="s">
        <v>22</v>
      </c>
      <c r="C1956" t="s">
        <v>2065</v>
      </c>
      <c r="D1956" s="7" t="s">
        <v>1718</v>
      </c>
      <c r="E1956" t="s">
        <v>64</v>
      </c>
      <c r="F1956" t="s">
        <v>33</v>
      </c>
      <c r="G1956" t="s">
        <v>69</v>
      </c>
      <c r="H1956">
        <v>8</v>
      </c>
      <c r="I1956">
        <v>245.52</v>
      </c>
      <c r="J1956">
        <v>0.15</v>
      </c>
      <c r="K1956">
        <v>1669.54</v>
      </c>
      <c r="L1956">
        <v>461.88</v>
      </c>
      <c r="M1956" t="s">
        <v>35</v>
      </c>
    </row>
    <row r="1957" spans="1:13" x14ac:dyDescent="0.3">
      <c r="A1957" t="s">
        <v>3337</v>
      </c>
      <c r="B1957" t="s">
        <v>2077</v>
      </c>
      <c r="C1957" t="s">
        <v>673</v>
      </c>
      <c r="D1957" s="7" t="s">
        <v>322</v>
      </c>
      <c r="E1957" t="s">
        <v>17</v>
      </c>
      <c r="F1957" t="s">
        <v>33</v>
      </c>
      <c r="G1957" t="s">
        <v>34</v>
      </c>
      <c r="H1957">
        <v>7</v>
      </c>
      <c r="I1957">
        <v>175.08</v>
      </c>
      <c r="J1957">
        <v>0.05</v>
      </c>
      <c r="K1957">
        <v>1164.28</v>
      </c>
      <c r="L1957">
        <v>345.27</v>
      </c>
      <c r="M1957" t="s">
        <v>35</v>
      </c>
    </row>
    <row r="1958" spans="1:13" x14ac:dyDescent="0.3">
      <c r="A1958" t="s">
        <v>3338</v>
      </c>
      <c r="B1958" t="s">
        <v>223</v>
      </c>
      <c r="C1958" t="s">
        <v>1044</v>
      </c>
      <c r="D1958" s="7" t="s">
        <v>1453</v>
      </c>
      <c r="E1958" t="s">
        <v>17</v>
      </c>
      <c r="F1958" t="s">
        <v>89</v>
      </c>
      <c r="G1958" t="s">
        <v>90</v>
      </c>
      <c r="H1958">
        <v>5</v>
      </c>
      <c r="I1958">
        <v>40.53</v>
      </c>
      <c r="J1958">
        <v>0.1</v>
      </c>
      <c r="K1958">
        <v>182.39</v>
      </c>
      <c r="L1958">
        <v>29.63</v>
      </c>
      <c r="M1958" t="s">
        <v>40</v>
      </c>
    </row>
    <row r="1959" spans="1:13" x14ac:dyDescent="0.3">
      <c r="A1959" t="s">
        <v>3339</v>
      </c>
      <c r="B1959" t="s">
        <v>2590</v>
      </c>
      <c r="C1959" t="s">
        <v>474</v>
      </c>
      <c r="D1959" s="7" t="s">
        <v>1731</v>
      </c>
      <c r="E1959" t="s">
        <v>17</v>
      </c>
      <c r="F1959" t="s">
        <v>33</v>
      </c>
      <c r="G1959" t="s">
        <v>50</v>
      </c>
      <c r="H1959">
        <v>1</v>
      </c>
      <c r="I1959">
        <v>36.31</v>
      </c>
      <c r="J1959">
        <v>0.1</v>
      </c>
      <c r="K1959">
        <v>32.68</v>
      </c>
      <c r="L1959">
        <v>6.99</v>
      </c>
      <c r="M1959" t="s">
        <v>40</v>
      </c>
    </row>
    <row r="1960" spans="1:13" x14ac:dyDescent="0.3">
      <c r="A1960" t="s">
        <v>3340</v>
      </c>
      <c r="B1960" t="s">
        <v>2435</v>
      </c>
      <c r="C1960" t="s">
        <v>604</v>
      </c>
      <c r="D1960" s="7" t="s">
        <v>1250</v>
      </c>
      <c r="E1960" t="s">
        <v>32</v>
      </c>
      <c r="F1960" t="s">
        <v>26</v>
      </c>
      <c r="G1960" t="s">
        <v>118</v>
      </c>
      <c r="H1960">
        <v>3</v>
      </c>
      <c r="I1960">
        <v>219.85</v>
      </c>
      <c r="J1960">
        <v>0.15</v>
      </c>
      <c r="K1960">
        <v>560.62</v>
      </c>
      <c r="L1960">
        <v>111.02</v>
      </c>
      <c r="M1960" t="s">
        <v>20</v>
      </c>
    </row>
    <row r="1961" spans="1:13" x14ac:dyDescent="0.3">
      <c r="A1961" t="s">
        <v>3341</v>
      </c>
      <c r="B1961" t="s">
        <v>1118</v>
      </c>
      <c r="C1961" t="s">
        <v>2120</v>
      </c>
      <c r="D1961" s="7" t="s">
        <v>1828</v>
      </c>
      <c r="E1961" t="s">
        <v>32</v>
      </c>
      <c r="F1961" t="s">
        <v>89</v>
      </c>
      <c r="G1961" t="s">
        <v>150</v>
      </c>
      <c r="H1961">
        <v>6</v>
      </c>
      <c r="I1961">
        <v>237.16</v>
      </c>
      <c r="J1961">
        <v>0.1</v>
      </c>
      <c r="K1961">
        <v>1280.6600000000001</v>
      </c>
      <c r="L1961">
        <v>300.94</v>
      </c>
      <c r="M1961" t="s">
        <v>40</v>
      </c>
    </row>
    <row r="1962" spans="1:13" x14ac:dyDescent="0.3">
      <c r="A1962" t="s">
        <v>3342</v>
      </c>
      <c r="B1962" t="s">
        <v>3343</v>
      </c>
      <c r="C1962" t="s">
        <v>637</v>
      </c>
      <c r="D1962" s="7" t="s">
        <v>269</v>
      </c>
      <c r="E1962" t="s">
        <v>59</v>
      </c>
      <c r="F1962" t="s">
        <v>18</v>
      </c>
      <c r="G1962" t="s">
        <v>19</v>
      </c>
      <c r="H1962">
        <v>2</v>
      </c>
      <c r="I1962">
        <v>154.55000000000001</v>
      </c>
      <c r="J1962">
        <v>0.1</v>
      </c>
      <c r="K1962">
        <v>278.19</v>
      </c>
      <c r="L1962">
        <v>32.03</v>
      </c>
      <c r="M1962" t="s">
        <v>40</v>
      </c>
    </row>
    <row r="1963" spans="1:13" x14ac:dyDescent="0.3">
      <c r="A1963" t="s">
        <v>3344</v>
      </c>
      <c r="B1963" t="s">
        <v>570</v>
      </c>
      <c r="C1963" t="s">
        <v>468</v>
      </c>
      <c r="D1963" s="7" t="s">
        <v>1072</v>
      </c>
      <c r="E1963" t="s">
        <v>64</v>
      </c>
      <c r="F1963" t="s">
        <v>18</v>
      </c>
      <c r="G1963" t="s">
        <v>19</v>
      </c>
      <c r="H1963">
        <v>3</v>
      </c>
      <c r="I1963">
        <v>151.63999999999999</v>
      </c>
      <c r="J1963">
        <v>0.1</v>
      </c>
      <c r="K1963">
        <v>409.43</v>
      </c>
      <c r="L1963">
        <v>40.520000000000003</v>
      </c>
      <c r="M1963" t="s">
        <v>40</v>
      </c>
    </row>
    <row r="1964" spans="1:13" x14ac:dyDescent="0.3">
      <c r="A1964" t="s">
        <v>3345</v>
      </c>
      <c r="B1964" t="s">
        <v>1129</v>
      </c>
      <c r="C1964" t="s">
        <v>511</v>
      </c>
      <c r="D1964" s="7" t="s">
        <v>1734</v>
      </c>
      <c r="E1964" t="s">
        <v>64</v>
      </c>
      <c r="F1964" t="s">
        <v>18</v>
      </c>
      <c r="G1964" t="s">
        <v>19</v>
      </c>
      <c r="H1964">
        <v>1</v>
      </c>
      <c r="I1964">
        <v>172.1</v>
      </c>
      <c r="J1964">
        <v>0.1</v>
      </c>
      <c r="K1964">
        <v>154.88999999999999</v>
      </c>
      <c r="L1964">
        <v>40.630000000000003</v>
      </c>
      <c r="M1964" t="s">
        <v>35</v>
      </c>
    </row>
    <row r="1965" spans="1:13" x14ac:dyDescent="0.3">
      <c r="A1965" t="s">
        <v>3346</v>
      </c>
      <c r="B1965" t="s">
        <v>526</v>
      </c>
      <c r="C1965" t="s">
        <v>1642</v>
      </c>
      <c r="D1965" s="7" t="s">
        <v>109</v>
      </c>
      <c r="E1965" t="s">
        <v>32</v>
      </c>
      <c r="F1965" t="s">
        <v>33</v>
      </c>
      <c r="G1965" t="s">
        <v>34</v>
      </c>
      <c r="H1965">
        <v>2</v>
      </c>
      <c r="I1965">
        <v>103.66</v>
      </c>
      <c r="J1965">
        <v>0.1</v>
      </c>
      <c r="K1965">
        <v>186.59</v>
      </c>
      <c r="L1965">
        <v>35.19</v>
      </c>
      <c r="M1965" t="s">
        <v>40</v>
      </c>
    </row>
    <row r="1966" spans="1:13" x14ac:dyDescent="0.3">
      <c r="A1966" t="s">
        <v>3347</v>
      </c>
      <c r="B1966" t="s">
        <v>2051</v>
      </c>
      <c r="C1966" t="s">
        <v>593</v>
      </c>
      <c r="D1966" s="7" t="s">
        <v>601</v>
      </c>
      <c r="E1966" t="s">
        <v>17</v>
      </c>
      <c r="F1966" t="s">
        <v>18</v>
      </c>
      <c r="G1966" t="s">
        <v>45</v>
      </c>
      <c r="H1966">
        <v>3</v>
      </c>
      <c r="I1966">
        <v>62.91</v>
      </c>
      <c r="J1966">
        <v>0.05</v>
      </c>
      <c r="K1966">
        <v>179.29</v>
      </c>
      <c r="L1966">
        <v>40.950000000000003</v>
      </c>
      <c r="M1966" t="s">
        <v>20</v>
      </c>
    </row>
    <row r="1967" spans="1:13" x14ac:dyDescent="0.3">
      <c r="A1967" t="s">
        <v>3348</v>
      </c>
      <c r="B1967" t="s">
        <v>3343</v>
      </c>
      <c r="C1967" t="s">
        <v>567</v>
      </c>
      <c r="D1967" s="7" t="s">
        <v>2023</v>
      </c>
      <c r="E1967" t="s">
        <v>32</v>
      </c>
      <c r="F1967" t="s">
        <v>33</v>
      </c>
      <c r="G1967" t="s">
        <v>34</v>
      </c>
      <c r="H1967">
        <v>4</v>
      </c>
      <c r="I1967">
        <v>149.13</v>
      </c>
      <c r="J1967">
        <v>0.05</v>
      </c>
      <c r="K1967">
        <v>566.69000000000005</v>
      </c>
      <c r="L1967">
        <v>130.38</v>
      </c>
      <c r="M1967" t="s">
        <v>40</v>
      </c>
    </row>
    <row r="1968" spans="1:13" x14ac:dyDescent="0.3">
      <c r="A1968" t="s">
        <v>3349</v>
      </c>
      <c r="B1968" t="s">
        <v>2590</v>
      </c>
      <c r="C1968" t="s">
        <v>93</v>
      </c>
      <c r="D1968" s="7" t="s">
        <v>910</v>
      </c>
      <c r="E1968" t="s">
        <v>64</v>
      </c>
      <c r="F1968" t="s">
        <v>33</v>
      </c>
      <c r="G1968" t="s">
        <v>69</v>
      </c>
      <c r="H1968">
        <v>3</v>
      </c>
      <c r="I1968">
        <v>109.54</v>
      </c>
      <c r="J1968">
        <v>0.05</v>
      </c>
      <c r="K1968">
        <v>312.19</v>
      </c>
      <c r="L1968">
        <v>71.739999999999995</v>
      </c>
      <c r="M1968" t="s">
        <v>35</v>
      </c>
    </row>
    <row r="1969" spans="1:13" x14ac:dyDescent="0.3">
      <c r="A1969" t="s">
        <v>3350</v>
      </c>
      <c r="B1969" t="s">
        <v>558</v>
      </c>
      <c r="C1969" t="s">
        <v>2901</v>
      </c>
      <c r="D1969" s="7" t="s">
        <v>2078</v>
      </c>
      <c r="E1969" t="s">
        <v>17</v>
      </c>
      <c r="F1969" t="s">
        <v>33</v>
      </c>
      <c r="G1969" t="s">
        <v>50</v>
      </c>
      <c r="H1969">
        <v>5</v>
      </c>
      <c r="I1969">
        <v>154.72999999999999</v>
      </c>
      <c r="J1969">
        <v>0.05</v>
      </c>
      <c r="K1969">
        <v>734.97</v>
      </c>
      <c r="L1969">
        <v>195.74</v>
      </c>
      <c r="M1969" t="s">
        <v>20</v>
      </c>
    </row>
    <row r="1970" spans="1:13" x14ac:dyDescent="0.3">
      <c r="A1970" t="s">
        <v>3351</v>
      </c>
      <c r="B1970" t="s">
        <v>1997</v>
      </c>
      <c r="C1970" t="s">
        <v>97</v>
      </c>
      <c r="D1970" s="7" t="s">
        <v>1139</v>
      </c>
      <c r="E1970" t="s">
        <v>17</v>
      </c>
      <c r="F1970" t="s">
        <v>26</v>
      </c>
      <c r="G1970" t="s">
        <v>27</v>
      </c>
      <c r="H1970">
        <v>2</v>
      </c>
      <c r="I1970">
        <v>123.96</v>
      </c>
      <c r="J1970">
        <v>0.1</v>
      </c>
      <c r="K1970">
        <v>223.13</v>
      </c>
      <c r="L1970">
        <v>50.97</v>
      </c>
      <c r="M1970" t="s">
        <v>35</v>
      </c>
    </row>
    <row r="1971" spans="1:13" x14ac:dyDescent="0.3">
      <c r="A1971" t="s">
        <v>3352</v>
      </c>
      <c r="B1971" t="s">
        <v>188</v>
      </c>
      <c r="C1971" t="s">
        <v>1255</v>
      </c>
      <c r="D1971" s="7" t="s">
        <v>1669</v>
      </c>
      <c r="E1971" t="s">
        <v>64</v>
      </c>
      <c r="F1971" t="s">
        <v>33</v>
      </c>
      <c r="G1971" t="s">
        <v>50</v>
      </c>
      <c r="H1971">
        <v>1</v>
      </c>
      <c r="I1971">
        <v>241.09</v>
      </c>
      <c r="J1971">
        <v>0.1</v>
      </c>
      <c r="K1971">
        <v>216.98</v>
      </c>
      <c r="L1971">
        <v>18.989999999999998</v>
      </c>
      <c r="M1971" t="s">
        <v>40</v>
      </c>
    </row>
    <row r="1972" spans="1:13" x14ac:dyDescent="0.3">
      <c r="A1972" t="s">
        <v>3353</v>
      </c>
      <c r="B1972" t="s">
        <v>345</v>
      </c>
      <c r="C1972" t="s">
        <v>1327</v>
      </c>
      <c r="D1972" s="7" t="s">
        <v>1354</v>
      </c>
      <c r="E1972" t="s">
        <v>17</v>
      </c>
      <c r="F1972" t="s">
        <v>26</v>
      </c>
      <c r="G1972" t="s">
        <v>118</v>
      </c>
      <c r="H1972">
        <v>8</v>
      </c>
      <c r="I1972">
        <v>51.31</v>
      </c>
      <c r="J1972">
        <v>0.05</v>
      </c>
      <c r="K1972">
        <v>389.96</v>
      </c>
      <c r="L1972">
        <v>35.840000000000003</v>
      </c>
      <c r="M1972" t="s">
        <v>20</v>
      </c>
    </row>
    <row r="1973" spans="1:13" x14ac:dyDescent="0.3">
      <c r="A1973" t="s">
        <v>3354</v>
      </c>
      <c r="B1973" t="s">
        <v>1684</v>
      </c>
      <c r="C1973" t="s">
        <v>1288</v>
      </c>
      <c r="D1973" s="7" t="s">
        <v>1442</v>
      </c>
      <c r="E1973" t="s">
        <v>17</v>
      </c>
      <c r="F1973" t="s">
        <v>26</v>
      </c>
      <c r="G1973" t="s">
        <v>118</v>
      </c>
      <c r="H1973">
        <v>1</v>
      </c>
      <c r="I1973">
        <v>119.3</v>
      </c>
      <c r="J1973">
        <v>0.15</v>
      </c>
      <c r="K1973">
        <v>101.41</v>
      </c>
      <c r="L1973">
        <v>27.75</v>
      </c>
      <c r="M1973" t="s">
        <v>20</v>
      </c>
    </row>
    <row r="1974" spans="1:13" x14ac:dyDescent="0.3">
      <c r="A1974" t="s">
        <v>3355</v>
      </c>
      <c r="B1974" t="s">
        <v>1992</v>
      </c>
      <c r="C1974" t="s">
        <v>211</v>
      </c>
      <c r="D1974" s="7" t="s">
        <v>3356</v>
      </c>
      <c r="E1974" t="s">
        <v>59</v>
      </c>
      <c r="F1974" t="s">
        <v>18</v>
      </c>
      <c r="G1974" t="s">
        <v>19</v>
      </c>
      <c r="H1974">
        <v>3</v>
      </c>
      <c r="I1974">
        <v>20.43</v>
      </c>
      <c r="J1974">
        <v>0</v>
      </c>
      <c r="K1974">
        <v>61.29</v>
      </c>
      <c r="L1974">
        <v>9.18</v>
      </c>
      <c r="M1974" t="s">
        <v>40</v>
      </c>
    </row>
    <row r="1975" spans="1:13" x14ac:dyDescent="0.3">
      <c r="A1975" t="s">
        <v>3357</v>
      </c>
      <c r="B1975" t="s">
        <v>1280</v>
      </c>
      <c r="C1975" t="s">
        <v>565</v>
      </c>
      <c r="D1975" s="7" t="s">
        <v>2074</v>
      </c>
      <c r="E1975" t="s">
        <v>25</v>
      </c>
      <c r="F1975" t="s">
        <v>89</v>
      </c>
      <c r="G1975" t="s">
        <v>90</v>
      </c>
      <c r="H1975">
        <v>5</v>
      </c>
      <c r="I1975">
        <v>85.88</v>
      </c>
      <c r="J1975">
        <v>0.05</v>
      </c>
      <c r="K1975">
        <v>407.93</v>
      </c>
      <c r="L1975">
        <v>75.73</v>
      </c>
      <c r="M1975" t="s">
        <v>40</v>
      </c>
    </row>
    <row r="1976" spans="1:13" x14ac:dyDescent="0.3">
      <c r="A1976" t="s">
        <v>3358</v>
      </c>
      <c r="B1976" t="s">
        <v>1159</v>
      </c>
      <c r="C1976" t="s">
        <v>1679</v>
      </c>
      <c r="D1976" s="7" t="s">
        <v>122</v>
      </c>
      <c r="E1976" t="s">
        <v>17</v>
      </c>
      <c r="F1976" t="s">
        <v>18</v>
      </c>
      <c r="G1976" t="s">
        <v>19</v>
      </c>
      <c r="H1976">
        <v>1</v>
      </c>
      <c r="I1976">
        <v>205.91</v>
      </c>
      <c r="J1976">
        <v>0.1</v>
      </c>
      <c r="K1976">
        <v>185.32</v>
      </c>
      <c r="L1976">
        <v>38.700000000000003</v>
      </c>
      <c r="M1976" t="s">
        <v>40</v>
      </c>
    </row>
    <row r="1977" spans="1:13" x14ac:dyDescent="0.3">
      <c r="A1977" t="s">
        <v>3359</v>
      </c>
      <c r="B1977" t="s">
        <v>1805</v>
      </c>
      <c r="C1977" t="s">
        <v>1635</v>
      </c>
      <c r="D1977" s="7" t="s">
        <v>273</v>
      </c>
      <c r="E1977" t="s">
        <v>17</v>
      </c>
      <c r="F1977" t="s">
        <v>26</v>
      </c>
      <c r="G1977" t="s">
        <v>118</v>
      </c>
      <c r="H1977">
        <v>2</v>
      </c>
      <c r="I1977">
        <v>236.56</v>
      </c>
      <c r="J1977">
        <v>0</v>
      </c>
      <c r="K1977">
        <v>473.12</v>
      </c>
      <c r="L1977">
        <v>49.54</v>
      </c>
      <c r="M1977" t="s">
        <v>20</v>
      </c>
    </row>
    <row r="1978" spans="1:13" x14ac:dyDescent="0.3">
      <c r="A1978" t="s">
        <v>3360</v>
      </c>
      <c r="B1978" t="s">
        <v>489</v>
      </c>
      <c r="C1978" t="s">
        <v>941</v>
      </c>
      <c r="D1978" s="7" t="s">
        <v>552</v>
      </c>
      <c r="E1978" t="s">
        <v>64</v>
      </c>
      <c r="F1978" t="s">
        <v>33</v>
      </c>
      <c r="G1978" t="s">
        <v>74</v>
      </c>
      <c r="H1978">
        <v>2</v>
      </c>
      <c r="I1978">
        <v>225.17</v>
      </c>
      <c r="J1978">
        <v>0.05</v>
      </c>
      <c r="K1978">
        <v>427.82</v>
      </c>
      <c r="L1978">
        <v>51.14</v>
      </c>
      <c r="M1978" t="s">
        <v>40</v>
      </c>
    </row>
    <row r="1979" spans="1:13" x14ac:dyDescent="0.3">
      <c r="A1979" t="s">
        <v>3361</v>
      </c>
      <c r="B1979" t="s">
        <v>1547</v>
      </c>
      <c r="C1979" t="s">
        <v>448</v>
      </c>
      <c r="D1979" s="7" t="s">
        <v>2971</v>
      </c>
      <c r="E1979" t="s">
        <v>25</v>
      </c>
      <c r="F1979" t="s">
        <v>89</v>
      </c>
      <c r="G1979" t="s">
        <v>150</v>
      </c>
      <c r="H1979">
        <v>2</v>
      </c>
      <c r="I1979">
        <v>204.84</v>
      </c>
      <c r="J1979">
        <v>0</v>
      </c>
      <c r="K1979">
        <v>409.68</v>
      </c>
      <c r="L1979">
        <v>111.71</v>
      </c>
      <c r="M1979" t="s">
        <v>20</v>
      </c>
    </row>
    <row r="1980" spans="1:13" x14ac:dyDescent="0.3">
      <c r="A1980" t="s">
        <v>3362</v>
      </c>
      <c r="B1980" t="s">
        <v>523</v>
      </c>
      <c r="C1980" t="s">
        <v>3134</v>
      </c>
      <c r="D1980" s="7" t="s">
        <v>83</v>
      </c>
      <c r="E1980" t="s">
        <v>32</v>
      </c>
      <c r="F1980" t="s">
        <v>18</v>
      </c>
      <c r="G1980" t="s">
        <v>45</v>
      </c>
      <c r="H1980">
        <v>7</v>
      </c>
      <c r="I1980">
        <v>199.86</v>
      </c>
      <c r="J1980">
        <v>0.05</v>
      </c>
      <c r="K1980">
        <v>1329.07</v>
      </c>
      <c r="L1980">
        <v>148.66999999999999</v>
      </c>
      <c r="M1980" t="s">
        <v>40</v>
      </c>
    </row>
    <row r="1981" spans="1:13" x14ac:dyDescent="0.3">
      <c r="A1981" t="s">
        <v>3363</v>
      </c>
      <c r="B1981" t="s">
        <v>313</v>
      </c>
      <c r="C1981" t="s">
        <v>1993</v>
      </c>
      <c r="D1981" s="7" t="s">
        <v>2295</v>
      </c>
      <c r="E1981" t="s">
        <v>64</v>
      </c>
      <c r="F1981" t="s">
        <v>26</v>
      </c>
      <c r="G1981" t="s">
        <v>27</v>
      </c>
      <c r="H1981">
        <v>4</v>
      </c>
      <c r="I1981">
        <v>72.209999999999994</v>
      </c>
      <c r="J1981">
        <v>0.1</v>
      </c>
      <c r="K1981">
        <v>259.95999999999998</v>
      </c>
      <c r="L1981">
        <v>38.72</v>
      </c>
      <c r="M1981" t="s">
        <v>20</v>
      </c>
    </row>
    <row r="1982" spans="1:13" x14ac:dyDescent="0.3">
      <c r="A1982" t="s">
        <v>3364</v>
      </c>
      <c r="B1982" t="s">
        <v>856</v>
      </c>
      <c r="C1982" t="s">
        <v>1166</v>
      </c>
      <c r="D1982" s="7" t="s">
        <v>182</v>
      </c>
      <c r="E1982" t="s">
        <v>59</v>
      </c>
      <c r="F1982" t="s">
        <v>18</v>
      </c>
      <c r="G1982" t="s">
        <v>19</v>
      </c>
      <c r="H1982">
        <v>4</v>
      </c>
      <c r="I1982">
        <v>91.44</v>
      </c>
      <c r="J1982">
        <v>0.15</v>
      </c>
      <c r="K1982">
        <v>310.89999999999998</v>
      </c>
      <c r="L1982">
        <v>45.22</v>
      </c>
      <c r="M1982" t="s">
        <v>35</v>
      </c>
    </row>
    <row r="1983" spans="1:13" x14ac:dyDescent="0.3">
      <c r="A1983" t="s">
        <v>3365</v>
      </c>
      <c r="B1983" t="s">
        <v>278</v>
      </c>
      <c r="C1983" t="s">
        <v>1451</v>
      </c>
      <c r="D1983" s="7" t="s">
        <v>98</v>
      </c>
      <c r="E1983" t="s">
        <v>25</v>
      </c>
      <c r="F1983" t="s">
        <v>26</v>
      </c>
      <c r="G1983" t="s">
        <v>27</v>
      </c>
      <c r="H1983">
        <v>2</v>
      </c>
      <c r="I1983">
        <v>212.77</v>
      </c>
      <c r="J1983">
        <v>0.1</v>
      </c>
      <c r="K1983">
        <v>382.99</v>
      </c>
      <c r="L1983">
        <v>99.39</v>
      </c>
      <c r="M1983" t="s">
        <v>40</v>
      </c>
    </row>
    <row r="1984" spans="1:13" x14ac:dyDescent="0.3">
      <c r="A1984" t="s">
        <v>3366</v>
      </c>
      <c r="B1984" t="s">
        <v>203</v>
      </c>
      <c r="C1984" t="s">
        <v>614</v>
      </c>
      <c r="D1984" s="7" t="s">
        <v>688</v>
      </c>
      <c r="E1984" t="s">
        <v>32</v>
      </c>
      <c r="F1984" t="s">
        <v>18</v>
      </c>
      <c r="G1984" t="s">
        <v>45</v>
      </c>
      <c r="H1984">
        <v>4</v>
      </c>
      <c r="I1984">
        <v>22.58</v>
      </c>
      <c r="J1984">
        <v>0.05</v>
      </c>
      <c r="K1984">
        <v>85.8</v>
      </c>
      <c r="L1984">
        <v>12.94</v>
      </c>
      <c r="M1984" t="s">
        <v>20</v>
      </c>
    </row>
    <row r="1985" spans="1:13" x14ac:dyDescent="0.3">
      <c r="A1985" t="s">
        <v>3367</v>
      </c>
      <c r="B1985" t="s">
        <v>327</v>
      </c>
      <c r="C1985" t="s">
        <v>1268</v>
      </c>
      <c r="D1985" s="7" t="s">
        <v>1137</v>
      </c>
      <c r="E1985" t="s">
        <v>64</v>
      </c>
      <c r="F1985" t="s">
        <v>89</v>
      </c>
      <c r="G1985" t="s">
        <v>131</v>
      </c>
      <c r="H1985">
        <v>6</v>
      </c>
      <c r="I1985">
        <v>22.11</v>
      </c>
      <c r="J1985">
        <v>0.15</v>
      </c>
      <c r="K1985">
        <v>112.76</v>
      </c>
      <c r="L1985">
        <v>32.51</v>
      </c>
      <c r="M1985" t="s">
        <v>20</v>
      </c>
    </row>
    <row r="1986" spans="1:13" x14ac:dyDescent="0.3">
      <c r="A1986" t="s">
        <v>3368</v>
      </c>
      <c r="B1986" t="s">
        <v>1098</v>
      </c>
      <c r="C1986" t="s">
        <v>846</v>
      </c>
      <c r="D1986" s="7" t="s">
        <v>780</v>
      </c>
      <c r="E1986" t="s">
        <v>64</v>
      </c>
      <c r="F1986" t="s">
        <v>33</v>
      </c>
      <c r="G1986" t="s">
        <v>74</v>
      </c>
      <c r="H1986">
        <v>5</v>
      </c>
      <c r="I1986">
        <v>87.21</v>
      </c>
      <c r="J1986">
        <v>0.15</v>
      </c>
      <c r="K1986">
        <v>370.64</v>
      </c>
      <c r="L1986">
        <v>61.91</v>
      </c>
      <c r="M1986" t="s">
        <v>20</v>
      </c>
    </row>
    <row r="1987" spans="1:13" x14ac:dyDescent="0.3">
      <c r="A1987" t="s">
        <v>3369</v>
      </c>
      <c r="B1987" t="s">
        <v>1118</v>
      </c>
      <c r="C1987" t="s">
        <v>580</v>
      </c>
      <c r="D1987" s="7" t="s">
        <v>588</v>
      </c>
      <c r="E1987" t="s">
        <v>64</v>
      </c>
      <c r="F1987" t="s">
        <v>26</v>
      </c>
      <c r="G1987" t="s">
        <v>84</v>
      </c>
      <c r="H1987">
        <v>7</v>
      </c>
      <c r="I1987">
        <v>204.94</v>
      </c>
      <c r="J1987">
        <v>0.15</v>
      </c>
      <c r="K1987">
        <v>1219.3900000000001</v>
      </c>
      <c r="L1987">
        <v>326.25</v>
      </c>
      <c r="M1987" t="s">
        <v>20</v>
      </c>
    </row>
    <row r="1988" spans="1:13" x14ac:dyDescent="0.3">
      <c r="A1988" t="s">
        <v>3370</v>
      </c>
      <c r="B1988" t="s">
        <v>1696</v>
      </c>
      <c r="C1988" t="s">
        <v>2183</v>
      </c>
      <c r="D1988" s="7" t="s">
        <v>1142</v>
      </c>
      <c r="E1988" t="s">
        <v>59</v>
      </c>
      <c r="F1988" t="s">
        <v>89</v>
      </c>
      <c r="G1988" t="s">
        <v>90</v>
      </c>
      <c r="H1988">
        <v>4</v>
      </c>
      <c r="I1988">
        <v>114.49</v>
      </c>
      <c r="J1988">
        <v>0.15</v>
      </c>
      <c r="K1988">
        <v>389.27</v>
      </c>
      <c r="L1988">
        <v>85.15</v>
      </c>
      <c r="M1988" t="s">
        <v>35</v>
      </c>
    </row>
    <row r="1989" spans="1:13" x14ac:dyDescent="0.3">
      <c r="A1989" t="s">
        <v>3371</v>
      </c>
      <c r="B1989" t="s">
        <v>558</v>
      </c>
      <c r="C1989" t="s">
        <v>424</v>
      </c>
      <c r="D1989" s="7" t="s">
        <v>695</v>
      </c>
      <c r="E1989" t="s">
        <v>64</v>
      </c>
      <c r="F1989" t="s">
        <v>33</v>
      </c>
      <c r="G1989" t="s">
        <v>69</v>
      </c>
      <c r="H1989">
        <v>8</v>
      </c>
      <c r="I1989">
        <v>141.72</v>
      </c>
      <c r="J1989">
        <v>0.1</v>
      </c>
      <c r="K1989">
        <v>1020.38</v>
      </c>
      <c r="L1989">
        <v>151.85</v>
      </c>
      <c r="M1989" t="s">
        <v>20</v>
      </c>
    </row>
    <row r="1990" spans="1:13" x14ac:dyDescent="0.3">
      <c r="A1990" t="s">
        <v>3372</v>
      </c>
      <c r="B1990" t="s">
        <v>1198</v>
      </c>
      <c r="C1990" t="s">
        <v>1406</v>
      </c>
      <c r="D1990" s="7" t="s">
        <v>2118</v>
      </c>
      <c r="E1990" t="s">
        <v>64</v>
      </c>
      <c r="F1990" t="s">
        <v>89</v>
      </c>
      <c r="G1990" t="s">
        <v>150</v>
      </c>
      <c r="H1990">
        <v>6</v>
      </c>
      <c r="I1990">
        <v>87.96</v>
      </c>
      <c r="J1990">
        <v>0</v>
      </c>
      <c r="K1990">
        <v>527.76</v>
      </c>
      <c r="L1990">
        <v>154.09</v>
      </c>
      <c r="M1990" t="s">
        <v>20</v>
      </c>
    </row>
    <row r="1991" spans="1:13" x14ac:dyDescent="0.3">
      <c r="A1991" t="s">
        <v>3373</v>
      </c>
      <c r="B1991" t="s">
        <v>111</v>
      </c>
      <c r="C1991" t="s">
        <v>1110</v>
      </c>
      <c r="D1991" s="7" t="s">
        <v>508</v>
      </c>
      <c r="E1991" t="s">
        <v>59</v>
      </c>
      <c r="F1991" t="s">
        <v>33</v>
      </c>
      <c r="G1991" t="s">
        <v>74</v>
      </c>
      <c r="H1991">
        <v>8</v>
      </c>
      <c r="I1991">
        <v>22.85</v>
      </c>
      <c r="J1991">
        <v>0</v>
      </c>
      <c r="K1991">
        <v>182.8</v>
      </c>
      <c r="L1991">
        <v>42.39</v>
      </c>
      <c r="M1991" t="s">
        <v>20</v>
      </c>
    </row>
    <row r="1992" spans="1:13" x14ac:dyDescent="0.3">
      <c r="A1992" t="s">
        <v>3374</v>
      </c>
      <c r="B1992" t="s">
        <v>760</v>
      </c>
      <c r="C1992" t="s">
        <v>1395</v>
      </c>
      <c r="D1992" s="7" t="s">
        <v>1647</v>
      </c>
      <c r="E1992" t="s">
        <v>25</v>
      </c>
      <c r="F1992" t="s">
        <v>33</v>
      </c>
      <c r="G1992" t="s">
        <v>74</v>
      </c>
      <c r="H1992">
        <v>5</v>
      </c>
      <c r="I1992">
        <v>66.44</v>
      </c>
      <c r="J1992">
        <v>0.15</v>
      </c>
      <c r="K1992">
        <v>282.37</v>
      </c>
      <c r="L1992">
        <v>74.88</v>
      </c>
      <c r="M1992" t="s">
        <v>40</v>
      </c>
    </row>
    <row r="1993" spans="1:13" x14ac:dyDescent="0.3">
      <c r="A1993" t="s">
        <v>3375</v>
      </c>
      <c r="B1993" t="s">
        <v>1190</v>
      </c>
      <c r="C1993" t="s">
        <v>1329</v>
      </c>
      <c r="D1993" s="7" t="s">
        <v>135</v>
      </c>
      <c r="E1993" t="s">
        <v>64</v>
      </c>
      <c r="F1993" t="s">
        <v>18</v>
      </c>
      <c r="G1993" t="s">
        <v>45</v>
      </c>
      <c r="H1993">
        <v>5</v>
      </c>
      <c r="I1993">
        <v>206.08</v>
      </c>
      <c r="J1993">
        <v>0.1</v>
      </c>
      <c r="K1993">
        <v>927.36</v>
      </c>
      <c r="L1993">
        <v>213.97</v>
      </c>
      <c r="M1993" t="s">
        <v>40</v>
      </c>
    </row>
    <row r="1994" spans="1:13" x14ac:dyDescent="0.3">
      <c r="A1994" t="s">
        <v>3376</v>
      </c>
      <c r="B1994" t="s">
        <v>671</v>
      </c>
      <c r="C1994" t="s">
        <v>465</v>
      </c>
      <c r="D1994" s="7" t="s">
        <v>1689</v>
      </c>
      <c r="E1994" t="s">
        <v>25</v>
      </c>
      <c r="F1994" t="s">
        <v>18</v>
      </c>
      <c r="G1994" t="s">
        <v>19</v>
      </c>
      <c r="H1994">
        <v>3</v>
      </c>
      <c r="I1994">
        <v>180.71</v>
      </c>
      <c r="J1994">
        <v>0.05</v>
      </c>
      <c r="K1994">
        <v>515.02</v>
      </c>
      <c r="L1994">
        <v>109.19</v>
      </c>
      <c r="M1994" t="s">
        <v>40</v>
      </c>
    </row>
    <row r="1995" spans="1:13" x14ac:dyDescent="0.3">
      <c r="A1995" t="s">
        <v>3377</v>
      </c>
      <c r="B1995" t="s">
        <v>163</v>
      </c>
      <c r="C1995" t="s">
        <v>953</v>
      </c>
      <c r="D1995" s="7" t="s">
        <v>1027</v>
      </c>
      <c r="E1995" t="s">
        <v>17</v>
      </c>
      <c r="F1995" t="s">
        <v>26</v>
      </c>
      <c r="G1995" t="s">
        <v>27</v>
      </c>
      <c r="H1995">
        <v>5</v>
      </c>
      <c r="I1995">
        <v>89.17</v>
      </c>
      <c r="J1995">
        <v>0.15</v>
      </c>
      <c r="K1995">
        <v>378.97</v>
      </c>
      <c r="L1995">
        <v>78.97</v>
      </c>
      <c r="M1995" t="s">
        <v>20</v>
      </c>
    </row>
    <row r="1996" spans="1:13" x14ac:dyDescent="0.3">
      <c r="A1996" t="s">
        <v>3378</v>
      </c>
      <c r="B1996" t="s">
        <v>450</v>
      </c>
      <c r="C1996" t="s">
        <v>3288</v>
      </c>
      <c r="D1996" s="7" t="s">
        <v>1560</v>
      </c>
      <c r="E1996" t="s">
        <v>32</v>
      </c>
      <c r="F1996" t="s">
        <v>33</v>
      </c>
      <c r="G1996" t="s">
        <v>69</v>
      </c>
      <c r="H1996">
        <v>8</v>
      </c>
      <c r="I1996">
        <v>246.11</v>
      </c>
      <c r="J1996">
        <v>0.15</v>
      </c>
      <c r="K1996">
        <v>1673.55</v>
      </c>
      <c r="L1996">
        <v>318.3</v>
      </c>
      <c r="M1996" t="s">
        <v>20</v>
      </c>
    </row>
    <row r="1997" spans="1:13" x14ac:dyDescent="0.3">
      <c r="A1997" t="s">
        <v>3379</v>
      </c>
      <c r="B1997" t="s">
        <v>432</v>
      </c>
      <c r="C1997" t="s">
        <v>1926</v>
      </c>
      <c r="D1997" s="7" t="s">
        <v>528</v>
      </c>
      <c r="E1997" t="s">
        <v>25</v>
      </c>
      <c r="F1997" t="s">
        <v>26</v>
      </c>
      <c r="G1997" t="s">
        <v>118</v>
      </c>
      <c r="H1997">
        <v>1</v>
      </c>
      <c r="I1997">
        <v>230.71</v>
      </c>
      <c r="J1997">
        <v>0.15</v>
      </c>
      <c r="K1997">
        <v>196.1</v>
      </c>
      <c r="L1997">
        <v>38.33</v>
      </c>
      <c r="M1997" t="s">
        <v>20</v>
      </c>
    </row>
    <row r="1998" spans="1:13" x14ac:dyDescent="0.3">
      <c r="A1998" t="s">
        <v>3380</v>
      </c>
      <c r="B1998" t="s">
        <v>1557</v>
      </c>
      <c r="C1998" t="s">
        <v>1515</v>
      </c>
      <c r="D1998" s="7" t="s">
        <v>394</v>
      </c>
      <c r="E1998" t="s">
        <v>17</v>
      </c>
      <c r="F1998" t="s">
        <v>18</v>
      </c>
      <c r="G1998" t="s">
        <v>79</v>
      </c>
      <c r="H1998">
        <v>8</v>
      </c>
      <c r="I1998">
        <v>43.02</v>
      </c>
      <c r="J1998">
        <v>0.15</v>
      </c>
      <c r="K1998">
        <v>292.54000000000002</v>
      </c>
      <c r="L1998">
        <v>83.27</v>
      </c>
      <c r="M1998" t="s">
        <v>35</v>
      </c>
    </row>
    <row r="1999" spans="1:13" x14ac:dyDescent="0.3">
      <c r="A1999" t="s">
        <v>3381</v>
      </c>
      <c r="B1999" t="s">
        <v>1896</v>
      </c>
      <c r="C1999" t="s">
        <v>314</v>
      </c>
      <c r="D1999" s="7" t="s">
        <v>848</v>
      </c>
      <c r="E1999" t="s">
        <v>64</v>
      </c>
      <c r="F1999" t="s">
        <v>89</v>
      </c>
      <c r="G1999" t="s">
        <v>90</v>
      </c>
      <c r="H1999">
        <v>6</v>
      </c>
      <c r="I1999">
        <v>243.12</v>
      </c>
      <c r="J1999">
        <v>0.1</v>
      </c>
      <c r="K1999">
        <v>1312.85</v>
      </c>
      <c r="L1999">
        <v>260.13</v>
      </c>
      <c r="M1999" t="s">
        <v>40</v>
      </c>
    </row>
    <row r="2000" spans="1:13" x14ac:dyDescent="0.3">
      <c r="A2000" t="s">
        <v>3382</v>
      </c>
      <c r="B2000" t="s">
        <v>1108</v>
      </c>
      <c r="C2000" t="s">
        <v>1635</v>
      </c>
      <c r="D2000" s="7" t="s">
        <v>1884</v>
      </c>
      <c r="E2000" t="s">
        <v>25</v>
      </c>
      <c r="F2000" t="s">
        <v>26</v>
      </c>
      <c r="G2000" t="s">
        <v>84</v>
      </c>
      <c r="H2000">
        <v>5</v>
      </c>
      <c r="I2000">
        <v>209.82</v>
      </c>
      <c r="J2000">
        <v>0.05</v>
      </c>
      <c r="K2000">
        <v>996.64</v>
      </c>
      <c r="L2000">
        <v>216.37</v>
      </c>
      <c r="M2000" t="s">
        <v>40</v>
      </c>
    </row>
    <row r="2001" spans="1:13" x14ac:dyDescent="0.3">
      <c r="A2001" t="s">
        <v>3383</v>
      </c>
      <c r="B2001" t="s">
        <v>220</v>
      </c>
      <c r="C2001" t="s">
        <v>1188</v>
      </c>
      <c r="D2001" s="7" t="s">
        <v>658</v>
      </c>
      <c r="E2001" t="s">
        <v>17</v>
      </c>
      <c r="F2001" t="s">
        <v>89</v>
      </c>
      <c r="G2001" t="s">
        <v>150</v>
      </c>
      <c r="H2001">
        <v>3</v>
      </c>
      <c r="I2001">
        <v>163.93</v>
      </c>
      <c r="J2001">
        <v>0.15</v>
      </c>
      <c r="K2001">
        <v>418.02</v>
      </c>
      <c r="L2001">
        <v>65.709999999999994</v>
      </c>
      <c r="M2001" t="s">
        <v>35</v>
      </c>
    </row>
  </sheetData>
  <autoFilter ref="A1:M200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30"/>
  <sheetViews>
    <sheetView topLeftCell="A4" zoomScale="90" zoomScaleNormal="90" zoomScaleSheetLayoutView="90" workbookViewId="0">
      <selection activeCell="C25" sqref="C25"/>
    </sheetView>
  </sheetViews>
  <sheetFormatPr defaultRowHeight="16.5" x14ac:dyDescent="0.3"/>
  <cols>
    <col min="1" max="1" width="13.875" customWidth="1"/>
    <col min="2" max="2" width="12.875" customWidth="1"/>
    <col min="3" max="3" width="12.625" customWidth="1"/>
    <col min="4" max="4" width="16.625" customWidth="1"/>
    <col min="5" max="6" width="22.25" customWidth="1"/>
    <col min="7" max="7" width="23.25" customWidth="1"/>
    <col min="8" max="10" width="12.5" customWidth="1"/>
    <col min="11" max="11" width="13.5" customWidth="1"/>
    <col min="12" max="12" width="18.625" customWidth="1"/>
    <col min="13" max="13" width="16.625" customWidth="1"/>
  </cols>
  <sheetData>
    <row r="3" spans="1:12" x14ac:dyDescent="0.3">
      <c r="A3" t="s">
        <v>3397</v>
      </c>
      <c r="C3" t="s">
        <v>3398</v>
      </c>
      <c r="E3" t="s">
        <v>3402</v>
      </c>
      <c r="G3" s="13" t="s">
        <v>3404</v>
      </c>
    </row>
    <row r="4" spans="1:12" x14ac:dyDescent="0.3">
      <c r="A4" s="12">
        <v>1063485.69</v>
      </c>
      <c r="C4" s="12">
        <v>204915.97000000035</v>
      </c>
      <c r="E4" s="5">
        <v>2000</v>
      </c>
      <c r="G4" s="15">
        <v>531.74284499999999</v>
      </c>
    </row>
    <row r="5" spans="1:12" x14ac:dyDescent="0.3">
      <c r="C5" s="3">
        <f>GETPIVOTDATA("Profit",$C$3)</f>
        <v>204915.97000000035</v>
      </c>
      <c r="E5">
        <f>GETPIVOTDATA("Customer ID",$E$3)</f>
        <v>2000</v>
      </c>
      <c r="G5" s="3">
        <f>GETPIVOTDATA("aov",$G$3)</f>
        <v>531.74284499999999</v>
      </c>
    </row>
    <row r="6" spans="1:12" x14ac:dyDescent="0.3">
      <c r="B6" s="8" t="s">
        <v>5</v>
      </c>
      <c r="C6" s="13" t="s">
        <v>3405</v>
      </c>
      <c r="E6" s="8" t="s">
        <v>3395</v>
      </c>
      <c r="F6" s="13" t="s">
        <v>3405</v>
      </c>
      <c r="H6" s="13" t="s">
        <v>3405</v>
      </c>
      <c r="K6" s="8" t="s">
        <v>12</v>
      </c>
      <c r="L6" s="13" t="s">
        <v>3400</v>
      </c>
    </row>
    <row r="7" spans="1:12" x14ac:dyDescent="0.3">
      <c r="B7" s="14" t="s">
        <v>26</v>
      </c>
      <c r="C7" s="12">
        <v>286687.5199999999</v>
      </c>
      <c r="E7" s="14" t="s">
        <v>3406</v>
      </c>
      <c r="F7" s="17">
        <v>8.1140480602047399E-2</v>
      </c>
      <c r="H7" s="12">
        <v>1063485.69</v>
      </c>
      <c r="K7" s="14" t="s">
        <v>35</v>
      </c>
      <c r="L7" s="17">
        <v>0.34300000000000003</v>
      </c>
    </row>
    <row r="8" spans="1:12" x14ac:dyDescent="0.3">
      <c r="B8" s="14" t="s">
        <v>33</v>
      </c>
      <c r="C8" s="12">
        <v>275026.58999999997</v>
      </c>
      <c r="E8" s="14" t="s">
        <v>3407</v>
      </c>
      <c r="F8" s="17">
        <v>7.2164845020152552E-2</v>
      </c>
      <c r="H8" s="21" t="str">
        <f>TEXT(GETPIVOTDATA("Sales",$H$6)/1000000,"$0.00")&amp;"M"</f>
        <v>$1.06M</v>
      </c>
      <c r="K8" s="14" t="s">
        <v>20</v>
      </c>
      <c r="L8" s="17">
        <v>0.33300000000000002</v>
      </c>
    </row>
    <row r="9" spans="1:12" x14ac:dyDescent="0.3">
      <c r="B9" s="14" t="s">
        <v>89</v>
      </c>
      <c r="C9" s="12">
        <v>255617.61000000028</v>
      </c>
      <c r="E9" s="14" t="s">
        <v>3408</v>
      </c>
      <c r="F9" s="17">
        <v>9.0084014200510806E-2</v>
      </c>
      <c r="K9" s="14" t="s">
        <v>40</v>
      </c>
      <c r="L9" s="17">
        <v>0.32400000000000001</v>
      </c>
    </row>
    <row r="10" spans="1:12" x14ac:dyDescent="0.3">
      <c r="B10" s="14" t="s">
        <v>18</v>
      </c>
      <c r="C10" s="12">
        <v>246153.9699999998</v>
      </c>
      <c r="E10" s="14" t="s">
        <v>3409</v>
      </c>
      <c r="F10" s="17">
        <v>8.8578173534239121E-2</v>
      </c>
      <c r="K10" s="14" t="s">
        <v>3399</v>
      </c>
      <c r="L10" s="17">
        <v>1</v>
      </c>
    </row>
    <row r="11" spans="1:12" x14ac:dyDescent="0.3">
      <c r="B11" s="14" t="s">
        <v>3399</v>
      </c>
      <c r="C11" s="12">
        <v>1063485.69</v>
      </c>
      <c r="E11" s="14" t="s">
        <v>3396</v>
      </c>
      <c r="F11" s="17">
        <v>9.020032041992028E-2</v>
      </c>
    </row>
    <row r="12" spans="1:12" x14ac:dyDescent="0.3">
      <c r="E12" s="14" t="s">
        <v>3410</v>
      </c>
      <c r="F12" s="17">
        <v>8.801769584694645E-2</v>
      </c>
      <c r="G12" s="21"/>
    </row>
    <row r="13" spans="1:12" x14ac:dyDescent="0.3">
      <c r="E13" s="14" t="s">
        <v>3411</v>
      </c>
      <c r="F13" s="17">
        <v>7.2016154726068801E-2</v>
      </c>
      <c r="K13" s="13" t="s">
        <v>3405</v>
      </c>
    </row>
    <row r="14" spans="1:12" x14ac:dyDescent="0.3">
      <c r="B14" s="13" t="s">
        <v>3405</v>
      </c>
      <c r="E14" s="14" t="s">
        <v>3412</v>
      </c>
      <c r="F14" s="17">
        <v>9.3921019285177182E-2</v>
      </c>
      <c r="K14" s="12">
        <v>1063485.69</v>
      </c>
    </row>
    <row r="15" spans="1:12" x14ac:dyDescent="0.3">
      <c r="B15" s="12">
        <v>1063485.69</v>
      </c>
      <c r="E15" s="14" t="s">
        <v>3413</v>
      </c>
      <c r="F15" s="17">
        <v>7.8476382695849875E-2</v>
      </c>
      <c r="K15" s="3">
        <f>GETPIVOTDATA("Sales",$K$13)</f>
        <v>1063485.69</v>
      </c>
    </row>
    <row r="16" spans="1:12" x14ac:dyDescent="0.3">
      <c r="E16" s="14" t="s">
        <v>3414</v>
      </c>
      <c r="F16" s="17">
        <v>8.7305274413236336E-2</v>
      </c>
      <c r="K16" s="13" t="s">
        <v>3404</v>
      </c>
    </row>
    <row r="17" spans="2:11" x14ac:dyDescent="0.3">
      <c r="E17" s="14" t="s">
        <v>3416</v>
      </c>
      <c r="F17" s="17">
        <v>7.4892319425567441E-2</v>
      </c>
      <c r="K17" s="15">
        <v>531.74284499999999</v>
      </c>
    </row>
    <row r="18" spans="2:11" x14ac:dyDescent="0.3">
      <c r="E18" s="14" t="s">
        <v>3415</v>
      </c>
      <c r="F18" s="17">
        <v>8.3203319830283784E-2</v>
      </c>
    </row>
    <row r="19" spans="2:11" x14ac:dyDescent="0.3">
      <c r="B19" s="8" t="s">
        <v>4</v>
      </c>
      <c r="C19" s="13" t="s">
        <v>3405</v>
      </c>
      <c r="E19" s="14" t="s">
        <v>3399</v>
      </c>
      <c r="F19" s="17">
        <v>1</v>
      </c>
      <c r="H19" s="18" t="s">
        <v>4</v>
      </c>
      <c r="I19" s="13" t="s">
        <v>3405</v>
      </c>
      <c r="K19" s="13" t="s">
        <v>3398</v>
      </c>
    </row>
    <row r="20" spans="2:11" x14ac:dyDescent="0.3">
      <c r="B20" s="14" t="s">
        <v>79</v>
      </c>
      <c r="C20" s="15">
        <v>76082.609999999986</v>
      </c>
      <c r="H20" s="14" t="s">
        <v>64</v>
      </c>
      <c r="I20" s="12">
        <v>227289.12000000011</v>
      </c>
      <c r="K20" s="12">
        <v>204915.97000000035</v>
      </c>
    </row>
    <row r="21" spans="2:11" x14ac:dyDescent="0.3">
      <c r="B21" s="14" t="s">
        <v>131</v>
      </c>
      <c r="C21" s="15">
        <v>78028.580000000031</v>
      </c>
      <c r="E21" s="13" t="s">
        <v>3402</v>
      </c>
      <c r="H21" s="14" t="s">
        <v>17</v>
      </c>
      <c r="I21" s="12">
        <v>220750.78000000003</v>
      </c>
      <c r="K21" t="str">
        <f>TEXT(GETPIVOTDATA("Profit",$K$19)/1000, "$0")&amp;"K"</f>
        <v>$205K</v>
      </c>
    </row>
    <row r="22" spans="2:11" x14ac:dyDescent="0.3">
      <c r="B22" s="14" t="s">
        <v>50</v>
      </c>
      <c r="C22" s="15">
        <v>78041.25999999998</v>
      </c>
      <c r="E22" s="12">
        <v>2000</v>
      </c>
      <c r="H22" s="14" t="s">
        <v>59</v>
      </c>
      <c r="I22" s="12">
        <v>212676.13</v>
      </c>
      <c r="K22" s="13" t="s">
        <v>3401</v>
      </c>
    </row>
    <row r="23" spans="2:11" x14ac:dyDescent="0.3">
      <c r="B23" s="14" t="s">
        <v>19</v>
      </c>
      <c r="C23" s="15">
        <v>80099.379999999932</v>
      </c>
      <c r="H23" s="14" t="s">
        <v>25</v>
      </c>
      <c r="I23" s="12">
        <v>210433.77999999988</v>
      </c>
      <c r="K23" s="15">
        <v>2000</v>
      </c>
    </row>
    <row r="24" spans="2:11" x14ac:dyDescent="0.3">
      <c r="B24" s="14" t="s">
        <v>118</v>
      </c>
      <c r="C24" s="15">
        <v>85361.640000000029</v>
      </c>
      <c r="H24" s="14" t="s">
        <v>32</v>
      </c>
      <c r="I24" s="12">
        <v>192335.88000000006</v>
      </c>
      <c r="K24" s="19">
        <f>GETPIVOTDATA("Order ID",$K$22)</f>
        <v>2000</v>
      </c>
    </row>
    <row r="25" spans="2:11" x14ac:dyDescent="0.3">
      <c r="B25" s="14" t="s">
        <v>150</v>
      </c>
      <c r="C25" s="15">
        <v>86611.449999999968</v>
      </c>
      <c r="H25" s="16" t="s">
        <v>3399</v>
      </c>
      <c r="I25" s="12">
        <v>1063485.6900000002</v>
      </c>
    </row>
    <row r="26" spans="2:11" x14ac:dyDescent="0.3">
      <c r="B26" s="14" t="s">
        <v>45</v>
      </c>
      <c r="C26" s="15">
        <v>89971.979999999967</v>
      </c>
    </row>
    <row r="27" spans="2:11" x14ac:dyDescent="0.3">
      <c r="B27" s="14" t="s">
        <v>90</v>
      </c>
      <c r="C27" s="15">
        <v>90977.580000000016</v>
      </c>
    </row>
    <row r="28" spans="2:11" x14ac:dyDescent="0.3">
      <c r="B28" s="14" t="s">
        <v>84</v>
      </c>
      <c r="C28" s="15">
        <v>97532.420000000027</v>
      </c>
    </row>
    <row r="29" spans="2:11" x14ac:dyDescent="0.3">
      <c r="B29" s="14" t="s">
        <v>27</v>
      </c>
      <c r="C29" s="15">
        <v>103793.46000000004</v>
      </c>
    </row>
    <row r="30" spans="2:11" x14ac:dyDescent="0.3">
      <c r="B30" s="16" t="s">
        <v>3399</v>
      </c>
      <c r="C30" s="12">
        <v>866500.36</v>
      </c>
    </row>
  </sheetData>
  <pageMargins left="0.7" right="0.7" top="0.75" bottom="0.75" header="0.3" footer="0.3"/>
  <pageSetup orientation="portrait" r:id="rId17"/>
  <drawing r:id="rId18"/>
  <extLst>
    <ext xmlns:x14="http://schemas.microsoft.com/office/spreadsheetml/2009/9/main" uri="{05C60535-1F16-4fd2-B633-F4F36F0B64E0}">
      <x14:sparklineGroups xmlns:xm="http://schemas.microsoft.com/office/excel/2006/main">
        <x14:sparklineGroup type="column" displayEmptyCellsAs="gap" high="1">
          <x14:colorSeries rgb="FF376092"/>
          <x14:colorNegative rgb="FFD00000"/>
          <x14:colorAxis rgb="FF000000"/>
          <x14:colorMarkers rgb="FFD00000"/>
          <x14:colorFirst rgb="FFD00000"/>
          <x14:colorLast rgb="FFD00000"/>
          <x14:colorHigh rgb="FFD00000"/>
          <x14:colorLow rgb="FFD00000"/>
          <x14:sparklines>
            <x14:sparkline>
              <xm:f>'PIVOT TABLE'!C20:C32</xm:f>
              <xm:sqref>C34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opLeftCell="A2" zoomScale="80" zoomScaleNormal="80" zoomScaleSheetLayoutView="70" workbookViewId="0">
      <selection activeCell="T22" sqref="T22"/>
    </sheetView>
  </sheetViews>
  <sheetFormatPr defaultRowHeight="16.5" x14ac:dyDescent="0.3"/>
  <cols>
    <col min="1" max="16384" width="9" style="2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01"/>
  <sheetViews>
    <sheetView tabSelected="1" topLeftCell="A2" zoomScale="80" zoomScaleNormal="80" workbookViewId="0">
      <selection activeCell="P2" sqref="P2"/>
    </sheetView>
  </sheetViews>
  <sheetFormatPr defaultRowHeight="16.5" x14ac:dyDescent="0.3"/>
  <cols>
    <col min="1" max="1" width="10.625" customWidth="1"/>
    <col min="2" max="2" width="12.875" style="9" customWidth="1"/>
    <col min="3" max="3" width="14" customWidth="1"/>
    <col min="4" max="4" width="17.625" style="7" customWidth="1"/>
    <col min="5" max="5" width="12.625" customWidth="1"/>
    <col min="6" max="6" width="18.5" customWidth="1"/>
    <col min="7" max="7" width="12" customWidth="1"/>
    <col min="8" max="8" width="10.875" customWidth="1"/>
    <col min="9" max="9" width="11.75" style="6" customWidth="1"/>
    <col min="10" max="10" width="10.875" style="2" customWidth="1"/>
    <col min="11" max="11" width="7.75" style="6" customWidth="1"/>
    <col min="12" max="12" width="10.5" style="6" customWidth="1"/>
    <col min="13" max="13" width="18.625" customWidth="1"/>
    <col min="15" max="15" width="11" customWidth="1"/>
  </cols>
  <sheetData>
    <row r="1" spans="1:16" x14ac:dyDescent="0.3">
      <c r="A1" t="s">
        <v>0</v>
      </c>
      <c r="B1" s="9" t="s">
        <v>1</v>
      </c>
      <c r="C1" s="20" t="s">
        <v>3395</v>
      </c>
      <c r="D1" t="s">
        <v>2</v>
      </c>
      <c r="E1" s="7" t="s">
        <v>3</v>
      </c>
      <c r="F1" s="4" t="s">
        <v>4</v>
      </c>
      <c r="G1" s="4" t="s">
        <v>5</v>
      </c>
      <c r="H1" s="4" t="s">
        <v>6</v>
      </c>
      <c r="I1" s="5" t="s">
        <v>7</v>
      </c>
      <c r="J1" s="6" t="s">
        <v>8</v>
      </c>
      <c r="K1" s="2" t="s">
        <v>9</v>
      </c>
      <c r="L1" s="6" t="s">
        <v>10</v>
      </c>
      <c r="M1" s="6" t="s">
        <v>11</v>
      </c>
      <c r="N1" s="4" t="s">
        <v>12</v>
      </c>
      <c r="O1" s="6" t="s">
        <v>3417</v>
      </c>
      <c r="P1" s="6" t="s">
        <v>3403</v>
      </c>
    </row>
    <row r="2" spans="1:16" x14ac:dyDescent="0.3">
      <c r="A2" t="s">
        <v>13</v>
      </c>
      <c r="B2" s="9" t="s">
        <v>14</v>
      </c>
      <c r="C2" s="20" t="str">
        <f t="shared" ref="C2:C65" si="0">TEXT(B:B, "mmm")</f>
        <v>Aug</v>
      </c>
      <c r="D2" t="s">
        <v>15</v>
      </c>
      <c r="E2" s="10" t="s">
        <v>16</v>
      </c>
      <c r="F2" t="s">
        <v>17</v>
      </c>
      <c r="G2" t="s">
        <v>18</v>
      </c>
      <c r="H2" t="s">
        <v>19</v>
      </c>
      <c r="I2">
        <v>2</v>
      </c>
      <c r="J2" s="3">
        <v>179.1</v>
      </c>
      <c r="K2" s="2">
        <v>0</v>
      </c>
      <c r="L2" s="3">
        <v>358.2</v>
      </c>
      <c r="M2" s="3">
        <v>90.26</v>
      </c>
      <c r="N2" t="s">
        <v>20</v>
      </c>
      <c r="O2" s="3">
        <f>SUM(L:L)/COUNTA(Table1[Order ID])</f>
        <v>531.74284499999999</v>
      </c>
      <c r="P2" s="3">
        <f ca="1">COUNTA(UNIQUE(D:D))</f>
        <v>1</v>
      </c>
    </row>
    <row r="3" spans="1:16" x14ac:dyDescent="0.3">
      <c r="A3" t="s">
        <v>21</v>
      </c>
      <c r="B3" s="9" t="s">
        <v>22</v>
      </c>
      <c r="C3" s="20" t="str">
        <f t="shared" si="0"/>
        <v>Sep</v>
      </c>
      <c r="D3" t="s">
        <v>23</v>
      </c>
      <c r="E3" s="10" t="s">
        <v>24</v>
      </c>
      <c r="F3" t="s">
        <v>25</v>
      </c>
      <c r="G3" t="s">
        <v>26</v>
      </c>
      <c r="H3" t="s">
        <v>27</v>
      </c>
      <c r="I3">
        <v>4</v>
      </c>
      <c r="J3" s="3">
        <v>57.98</v>
      </c>
      <c r="K3" s="2">
        <v>0.15</v>
      </c>
      <c r="L3" s="3">
        <v>197.13</v>
      </c>
      <c r="M3" s="3">
        <v>23.5</v>
      </c>
      <c r="N3" t="s">
        <v>20</v>
      </c>
      <c r="O3" s="3"/>
      <c r="P3" s="3"/>
    </row>
    <row r="4" spans="1:16" x14ac:dyDescent="0.3">
      <c r="A4" t="s">
        <v>28</v>
      </c>
      <c r="B4" s="9" t="s">
        <v>29</v>
      </c>
      <c r="C4" s="20" t="str">
        <f t="shared" si="0"/>
        <v>Jun</v>
      </c>
      <c r="D4" t="s">
        <v>30</v>
      </c>
      <c r="E4" s="10" t="s">
        <v>31</v>
      </c>
      <c r="F4" t="s">
        <v>32</v>
      </c>
      <c r="G4" t="s">
        <v>33</v>
      </c>
      <c r="H4" t="s">
        <v>34</v>
      </c>
      <c r="I4">
        <v>3</v>
      </c>
      <c r="J4" s="3">
        <v>24.56</v>
      </c>
      <c r="K4" s="2">
        <v>0.1</v>
      </c>
      <c r="L4" s="3">
        <v>66.31</v>
      </c>
      <c r="M4" s="3">
        <v>9.91</v>
      </c>
      <c r="N4" t="s">
        <v>35</v>
      </c>
      <c r="O4" s="3"/>
      <c r="P4" s="3"/>
    </row>
    <row r="5" spans="1:16" x14ac:dyDescent="0.3">
      <c r="A5" t="s">
        <v>36</v>
      </c>
      <c r="B5" s="9" t="s">
        <v>37</v>
      </c>
      <c r="C5" s="20" t="str">
        <f t="shared" si="0"/>
        <v>Dec</v>
      </c>
      <c r="D5" t="s">
        <v>38</v>
      </c>
      <c r="E5" s="10" t="s">
        <v>39</v>
      </c>
      <c r="F5" t="s">
        <v>25</v>
      </c>
      <c r="G5" t="s">
        <v>33</v>
      </c>
      <c r="H5" t="s">
        <v>34</v>
      </c>
      <c r="I5">
        <v>4</v>
      </c>
      <c r="J5" s="3">
        <v>146.09</v>
      </c>
      <c r="K5" s="2">
        <v>0.05</v>
      </c>
      <c r="L5" s="3">
        <v>555.14</v>
      </c>
      <c r="M5" s="3">
        <v>147.1</v>
      </c>
      <c r="N5" t="s">
        <v>40</v>
      </c>
      <c r="O5" s="3"/>
      <c r="P5" s="3"/>
    </row>
    <row r="6" spans="1:16" x14ac:dyDescent="0.3">
      <c r="A6" t="s">
        <v>41</v>
      </c>
      <c r="B6" s="9" t="s">
        <v>42</v>
      </c>
      <c r="C6" s="20" t="str">
        <f t="shared" si="0"/>
        <v>Jul</v>
      </c>
      <c r="D6" t="s">
        <v>43</v>
      </c>
      <c r="E6" s="10" t="s">
        <v>44</v>
      </c>
      <c r="F6" t="s">
        <v>25</v>
      </c>
      <c r="G6" t="s">
        <v>18</v>
      </c>
      <c r="H6" t="s">
        <v>45</v>
      </c>
      <c r="I6">
        <v>3</v>
      </c>
      <c r="J6" s="3">
        <v>28.35</v>
      </c>
      <c r="K6" s="2">
        <v>0</v>
      </c>
      <c r="L6" s="3">
        <v>85.05</v>
      </c>
      <c r="M6" s="3">
        <v>18.14</v>
      </c>
      <c r="N6" t="s">
        <v>20</v>
      </c>
      <c r="O6" s="3"/>
      <c r="P6" s="3"/>
    </row>
    <row r="7" spans="1:16" x14ac:dyDescent="0.3">
      <c r="A7" t="s">
        <v>46</v>
      </c>
      <c r="B7" s="9" t="s">
        <v>47</v>
      </c>
      <c r="C7" s="20" t="str">
        <f t="shared" si="0"/>
        <v>Dec</v>
      </c>
      <c r="D7" t="s">
        <v>48</v>
      </c>
      <c r="E7" s="10" t="s">
        <v>49</v>
      </c>
      <c r="F7" t="s">
        <v>25</v>
      </c>
      <c r="G7" t="s">
        <v>33</v>
      </c>
      <c r="H7" t="s">
        <v>50</v>
      </c>
      <c r="I7">
        <v>3</v>
      </c>
      <c r="J7" s="3">
        <v>53.22</v>
      </c>
      <c r="K7" s="2">
        <v>0.15</v>
      </c>
      <c r="L7" s="3">
        <v>135.71</v>
      </c>
      <c r="M7" s="3">
        <v>12.27</v>
      </c>
      <c r="N7" t="s">
        <v>35</v>
      </c>
      <c r="O7" s="3"/>
      <c r="P7" s="3"/>
    </row>
    <row r="8" spans="1:16" x14ac:dyDescent="0.3">
      <c r="A8" t="s">
        <v>51</v>
      </c>
      <c r="B8" s="9" t="s">
        <v>52</v>
      </c>
      <c r="C8" s="20" t="str">
        <f t="shared" si="0"/>
        <v>Jan</v>
      </c>
      <c r="D8" t="s">
        <v>53</v>
      </c>
      <c r="E8" s="10" t="s">
        <v>54</v>
      </c>
      <c r="F8" t="s">
        <v>32</v>
      </c>
      <c r="G8" t="s">
        <v>33</v>
      </c>
      <c r="H8" t="s">
        <v>34</v>
      </c>
      <c r="I8">
        <v>5</v>
      </c>
      <c r="J8" s="3">
        <v>234.97</v>
      </c>
      <c r="K8" s="2">
        <v>0.1</v>
      </c>
      <c r="L8" s="3">
        <v>1057.3699999999999</v>
      </c>
      <c r="M8" s="3">
        <v>124.57</v>
      </c>
      <c r="N8" t="s">
        <v>20</v>
      </c>
      <c r="O8" s="3"/>
      <c r="P8" s="3"/>
    </row>
    <row r="9" spans="1:16" x14ac:dyDescent="0.3">
      <c r="A9" t="s">
        <v>55</v>
      </c>
      <c r="B9" s="9" t="s">
        <v>56</v>
      </c>
      <c r="C9" s="20" t="str">
        <f t="shared" si="0"/>
        <v>Dec</v>
      </c>
      <c r="D9" t="s">
        <v>57</v>
      </c>
      <c r="E9" s="10" t="s">
        <v>58</v>
      </c>
      <c r="F9" t="s">
        <v>59</v>
      </c>
      <c r="G9" t="s">
        <v>26</v>
      </c>
      <c r="H9" t="s">
        <v>27</v>
      </c>
      <c r="I9">
        <v>1</v>
      </c>
      <c r="J9" s="3">
        <v>193.84</v>
      </c>
      <c r="K9" s="2">
        <v>0.15</v>
      </c>
      <c r="L9" s="3">
        <v>164.76</v>
      </c>
      <c r="M9" s="3">
        <v>15.28</v>
      </c>
      <c r="N9" t="s">
        <v>35</v>
      </c>
      <c r="O9" s="3"/>
      <c r="P9" s="3"/>
    </row>
    <row r="10" spans="1:16" x14ac:dyDescent="0.3">
      <c r="A10" t="s">
        <v>60</v>
      </c>
      <c r="B10" s="9" t="s">
        <v>61</v>
      </c>
      <c r="C10" s="20" t="str">
        <f t="shared" si="0"/>
        <v>Oct</v>
      </c>
      <c r="D10" t="s">
        <v>62</v>
      </c>
      <c r="E10" s="10" t="s">
        <v>63</v>
      </c>
      <c r="F10" t="s">
        <v>64</v>
      </c>
      <c r="G10" t="s">
        <v>26</v>
      </c>
      <c r="H10" t="s">
        <v>27</v>
      </c>
      <c r="I10">
        <v>3</v>
      </c>
      <c r="J10" s="3">
        <v>222.33</v>
      </c>
      <c r="K10" s="2">
        <v>0.15</v>
      </c>
      <c r="L10" s="3">
        <v>566.94000000000005</v>
      </c>
      <c r="M10" s="3">
        <v>150.03</v>
      </c>
      <c r="N10" t="s">
        <v>40</v>
      </c>
      <c r="O10" s="3"/>
      <c r="P10" s="3"/>
    </row>
    <row r="11" spans="1:16" x14ac:dyDescent="0.3">
      <c r="A11" t="s">
        <v>65</v>
      </c>
      <c r="B11" s="9" t="s">
        <v>66</v>
      </c>
      <c r="C11" s="20" t="str">
        <f t="shared" si="0"/>
        <v>Mar</v>
      </c>
      <c r="D11" t="s">
        <v>67</v>
      </c>
      <c r="E11" s="10" t="s">
        <v>68</v>
      </c>
      <c r="F11" t="s">
        <v>59</v>
      </c>
      <c r="G11" t="s">
        <v>33</v>
      </c>
      <c r="H11" t="s">
        <v>69</v>
      </c>
      <c r="I11">
        <v>2</v>
      </c>
      <c r="J11" s="3">
        <v>115.97</v>
      </c>
      <c r="K11" s="2">
        <v>0</v>
      </c>
      <c r="L11" s="3">
        <v>231.94</v>
      </c>
      <c r="M11" s="3">
        <v>56.97</v>
      </c>
      <c r="N11" t="s">
        <v>40</v>
      </c>
      <c r="O11" s="3"/>
      <c r="P11" s="3"/>
    </row>
    <row r="12" spans="1:16" x14ac:dyDescent="0.3">
      <c r="A12" t="s">
        <v>70</v>
      </c>
      <c r="B12" s="9" t="s">
        <v>71</v>
      </c>
      <c r="C12" s="20" t="str">
        <f t="shared" si="0"/>
        <v>Feb</v>
      </c>
      <c r="D12" t="s">
        <v>72</v>
      </c>
      <c r="E12" s="11" t="s">
        <v>73</v>
      </c>
      <c r="F12" t="s">
        <v>32</v>
      </c>
      <c r="G12" t="s">
        <v>33</v>
      </c>
      <c r="H12" t="s">
        <v>74</v>
      </c>
      <c r="I12">
        <v>3</v>
      </c>
      <c r="J12" s="3">
        <v>56.65</v>
      </c>
      <c r="K12" s="2">
        <v>0.05</v>
      </c>
      <c r="L12" s="3">
        <v>161.44999999999999</v>
      </c>
      <c r="M12" s="3">
        <v>33.6</v>
      </c>
      <c r="N12" t="s">
        <v>35</v>
      </c>
      <c r="O12" s="3"/>
      <c r="P12" s="3"/>
    </row>
    <row r="13" spans="1:16" x14ac:dyDescent="0.3">
      <c r="A13" t="s">
        <v>75</v>
      </c>
      <c r="B13" s="9" t="s">
        <v>76</v>
      </c>
      <c r="C13" s="20" t="str">
        <f t="shared" si="0"/>
        <v>Apr</v>
      </c>
      <c r="D13" t="s">
        <v>77</v>
      </c>
      <c r="E13" s="10" t="s">
        <v>78</v>
      </c>
      <c r="F13" t="s">
        <v>17</v>
      </c>
      <c r="G13" t="s">
        <v>18</v>
      </c>
      <c r="H13" t="s">
        <v>79</v>
      </c>
      <c r="I13">
        <v>6</v>
      </c>
      <c r="J13" s="3">
        <v>221.81</v>
      </c>
      <c r="K13" s="2">
        <v>0.1</v>
      </c>
      <c r="L13" s="3">
        <v>1197.77</v>
      </c>
      <c r="M13" s="3">
        <v>223.99</v>
      </c>
      <c r="N13" t="s">
        <v>40</v>
      </c>
      <c r="O13" s="3"/>
      <c r="P13" s="3"/>
    </row>
    <row r="14" spans="1:16" x14ac:dyDescent="0.3">
      <c r="A14" t="s">
        <v>80</v>
      </c>
      <c r="B14" s="9" t="s">
        <v>81</v>
      </c>
      <c r="C14" s="20" t="str">
        <f t="shared" si="0"/>
        <v>Feb</v>
      </c>
      <c r="D14" t="s">
        <v>82</v>
      </c>
      <c r="E14" s="10" t="s">
        <v>83</v>
      </c>
      <c r="F14" t="s">
        <v>17</v>
      </c>
      <c r="G14" t="s">
        <v>26</v>
      </c>
      <c r="H14" t="s">
        <v>84</v>
      </c>
      <c r="I14">
        <v>1</v>
      </c>
      <c r="J14" s="3">
        <v>181.43</v>
      </c>
      <c r="K14" s="2">
        <v>0.15</v>
      </c>
      <c r="L14" s="3">
        <v>154.22</v>
      </c>
      <c r="M14" s="3">
        <v>18.920000000000002</v>
      </c>
      <c r="N14" t="s">
        <v>20</v>
      </c>
      <c r="O14" s="3"/>
      <c r="P14" s="3"/>
    </row>
    <row r="15" spans="1:16" x14ac:dyDescent="0.3">
      <c r="A15" t="s">
        <v>85</v>
      </c>
      <c r="B15" s="9" t="s">
        <v>86</v>
      </c>
      <c r="C15" s="20" t="str">
        <f t="shared" si="0"/>
        <v>Feb</v>
      </c>
      <c r="D15" t="s">
        <v>87</v>
      </c>
      <c r="E15" s="10" t="s">
        <v>88</v>
      </c>
      <c r="F15" t="s">
        <v>25</v>
      </c>
      <c r="G15" t="s">
        <v>89</v>
      </c>
      <c r="H15" t="s">
        <v>90</v>
      </c>
      <c r="I15">
        <v>1</v>
      </c>
      <c r="J15" s="3">
        <v>60.04</v>
      </c>
      <c r="K15" s="2">
        <v>0.05</v>
      </c>
      <c r="L15" s="3">
        <v>57.04</v>
      </c>
      <c r="M15" s="3">
        <v>6.84</v>
      </c>
      <c r="N15" t="s">
        <v>40</v>
      </c>
      <c r="O15" s="3"/>
      <c r="P15" s="3"/>
    </row>
    <row r="16" spans="1:16" x14ac:dyDescent="0.3">
      <c r="A16" t="s">
        <v>91</v>
      </c>
      <c r="B16" s="9" t="s">
        <v>92</v>
      </c>
      <c r="C16" s="20" t="str">
        <f t="shared" si="0"/>
        <v>Nov</v>
      </c>
      <c r="D16" t="s">
        <v>93</v>
      </c>
      <c r="E16" s="10" t="s">
        <v>94</v>
      </c>
      <c r="F16" t="s">
        <v>59</v>
      </c>
      <c r="G16" t="s">
        <v>33</v>
      </c>
      <c r="H16" t="s">
        <v>74</v>
      </c>
      <c r="I16">
        <v>7</v>
      </c>
      <c r="J16" s="3">
        <v>46.35</v>
      </c>
      <c r="K16" s="2">
        <v>0</v>
      </c>
      <c r="L16" s="3">
        <v>324.45</v>
      </c>
      <c r="M16" s="3">
        <v>90.56</v>
      </c>
      <c r="N16" t="s">
        <v>20</v>
      </c>
      <c r="O16" s="3"/>
      <c r="P16" s="3"/>
    </row>
    <row r="17" spans="1:16" x14ac:dyDescent="0.3">
      <c r="A17" t="s">
        <v>95</v>
      </c>
      <c r="B17" s="9" t="s">
        <v>96</v>
      </c>
      <c r="C17" s="20" t="str">
        <f t="shared" si="0"/>
        <v>Aug</v>
      </c>
      <c r="D17" t="s">
        <v>97</v>
      </c>
      <c r="E17" s="10" t="s">
        <v>98</v>
      </c>
      <c r="F17" t="s">
        <v>17</v>
      </c>
      <c r="G17" t="s">
        <v>18</v>
      </c>
      <c r="H17" t="s">
        <v>79</v>
      </c>
      <c r="I17">
        <v>6</v>
      </c>
      <c r="J17" s="3">
        <v>248.81</v>
      </c>
      <c r="K17" s="2">
        <v>0</v>
      </c>
      <c r="L17" s="3">
        <v>1492.86</v>
      </c>
      <c r="M17" s="3">
        <v>416.19</v>
      </c>
      <c r="N17" t="s">
        <v>40</v>
      </c>
      <c r="O17" s="3"/>
      <c r="P17" s="3"/>
    </row>
    <row r="18" spans="1:16" x14ac:dyDescent="0.3">
      <c r="A18" t="s">
        <v>99</v>
      </c>
      <c r="B18" s="9" t="s">
        <v>100</v>
      </c>
      <c r="C18" s="20" t="str">
        <f t="shared" si="0"/>
        <v>Jul</v>
      </c>
      <c r="D18" t="s">
        <v>101</v>
      </c>
      <c r="E18" s="10" t="s">
        <v>102</v>
      </c>
      <c r="F18" t="s">
        <v>25</v>
      </c>
      <c r="G18" t="s">
        <v>33</v>
      </c>
      <c r="H18" t="s">
        <v>69</v>
      </c>
      <c r="I18">
        <v>1</v>
      </c>
      <c r="J18" s="3">
        <v>104.01</v>
      </c>
      <c r="K18" s="2">
        <v>0.15</v>
      </c>
      <c r="L18" s="3">
        <v>88.41</v>
      </c>
      <c r="M18" s="3">
        <v>22.37</v>
      </c>
      <c r="N18" t="s">
        <v>35</v>
      </c>
      <c r="O18" s="3"/>
      <c r="P18" s="3"/>
    </row>
    <row r="19" spans="1:16" x14ac:dyDescent="0.3">
      <c r="A19" t="s">
        <v>103</v>
      </c>
      <c r="B19" s="9" t="s">
        <v>104</v>
      </c>
      <c r="C19" s="20" t="str">
        <f t="shared" si="0"/>
        <v>May</v>
      </c>
      <c r="D19" t="s">
        <v>105</v>
      </c>
      <c r="E19" s="10" t="s">
        <v>106</v>
      </c>
      <c r="F19" t="s">
        <v>25</v>
      </c>
      <c r="G19" t="s">
        <v>18</v>
      </c>
      <c r="H19" t="s">
        <v>45</v>
      </c>
      <c r="I19">
        <v>2</v>
      </c>
      <c r="J19" s="3">
        <v>15.13</v>
      </c>
      <c r="K19" s="2">
        <v>0.15</v>
      </c>
      <c r="L19" s="3">
        <v>25.72</v>
      </c>
      <c r="M19" s="3">
        <v>3.81</v>
      </c>
      <c r="N19" t="s">
        <v>35</v>
      </c>
      <c r="O19" s="3"/>
      <c r="P19" s="3"/>
    </row>
    <row r="20" spans="1:16" x14ac:dyDescent="0.3">
      <c r="A20" t="s">
        <v>107</v>
      </c>
      <c r="B20" s="9" t="s">
        <v>108</v>
      </c>
      <c r="C20" s="20" t="str">
        <f t="shared" si="0"/>
        <v>May</v>
      </c>
      <c r="D20" t="s">
        <v>23</v>
      </c>
      <c r="E20" s="10" t="s">
        <v>109</v>
      </c>
      <c r="F20" t="s">
        <v>32</v>
      </c>
      <c r="G20" t="s">
        <v>18</v>
      </c>
      <c r="H20" t="s">
        <v>19</v>
      </c>
      <c r="I20">
        <v>5</v>
      </c>
      <c r="J20" s="3">
        <v>127.79</v>
      </c>
      <c r="K20" s="2">
        <v>0.05</v>
      </c>
      <c r="L20" s="3">
        <v>607</v>
      </c>
      <c r="M20" s="3">
        <v>120.02</v>
      </c>
      <c r="N20" t="s">
        <v>20</v>
      </c>
      <c r="O20" s="3"/>
      <c r="P20" s="3"/>
    </row>
    <row r="21" spans="1:16" x14ac:dyDescent="0.3">
      <c r="A21" t="s">
        <v>110</v>
      </c>
      <c r="B21" s="9" t="s">
        <v>111</v>
      </c>
      <c r="C21" s="20" t="str">
        <f t="shared" si="0"/>
        <v>Apr</v>
      </c>
      <c r="D21" t="s">
        <v>112</v>
      </c>
      <c r="E21" s="10" t="s">
        <v>113</v>
      </c>
      <c r="F21" t="s">
        <v>59</v>
      </c>
      <c r="G21" t="s">
        <v>33</v>
      </c>
      <c r="H21" t="s">
        <v>50</v>
      </c>
      <c r="I21">
        <v>2</v>
      </c>
      <c r="J21" s="3">
        <v>149.47999999999999</v>
      </c>
      <c r="K21" s="2">
        <v>0.15</v>
      </c>
      <c r="L21" s="3">
        <v>254.12</v>
      </c>
      <c r="M21" s="3">
        <v>46.64</v>
      </c>
      <c r="N21" t="s">
        <v>20</v>
      </c>
      <c r="O21" s="3"/>
      <c r="P21" s="3"/>
    </row>
    <row r="22" spans="1:16" x14ac:dyDescent="0.3">
      <c r="A22" t="s">
        <v>114</v>
      </c>
      <c r="B22" s="9" t="s">
        <v>115</v>
      </c>
      <c r="C22" s="20" t="str">
        <f t="shared" si="0"/>
        <v>Jan</v>
      </c>
      <c r="D22" t="s">
        <v>116</v>
      </c>
      <c r="E22" s="10" t="s">
        <v>117</v>
      </c>
      <c r="F22" t="s">
        <v>32</v>
      </c>
      <c r="G22" t="s">
        <v>26</v>
      </c>
      <c r="H22" t="s">
        <v>118</v>
      </c>
      <c r="I22">
        <v>6</v>
      </c>
      <c r="J22" s="3">
        <v>223.28</v>
      </c>
      <c r="K22" s="2">
        <v>0</v>
      </c>
      <c r="L22" s="3">
        <v>1339.68</v>
      </c>
      <c r="M22" s="3">
        <v>399.88</v>
      </c>
      <c r="N22" t="s">
        <v>40</v>
      </c>
      <c r="O22" s="3"/>
      <c r="P22" s="3"/>
    </row>
    <row r="23" spans="1:16" x14ac:dyDescent="0.3">
      <c r="A23" t="s">
        <v>119</v>
      </c>
      <c r="B23" s="9" t="s">
        <v>120</v>
      </c>
      <c r="C23" s="20" t="str">
        <f t="shared" si="0"/>
        <v>Aug</v>
      </c>
      <c r="D23" t="s">
        <v>121</v>
      </c>
      <c r="E23" s="10" t="s">
        <v>122</v>
      </c>
      <c r="F23" t="s">
        <v>17</v>
      </c>
      <c r="G23" t="s">
        <v>18</v>
      </c>
      <c r="H23" t="s">
        <v>45</v>
      </c>
      <c r="I23">
        <v>6</v>
      </c>
      <c r="J23" s="3">
        <v>249.12</v>
      </c>
      <c r="K23" s="2">
        <v>0.15</v>
      </c>
      <c r="L23" s="3">
        <v>1270.51</v>
      </c>
      <c r="M23" s="3">
        <v>289.19</v>
      </c>
      <c r="N23" t="s">
        <v>40</v>
      </c>
      <c r="O23" s="3"/>
      <c r="P23" s="3"/>
    </row>
    <row r="24" spans="1:16" x14ac:dyDescent="0.3">
      <c r="A24" t="s">
        <v>123</v>
      </c>
      <c r="B24" s="9" t="s">
        <v>124</v>
      </c>
      <c r="C24" s="20" t="str">
        <f t="shared" si="0"/>
        <v>Jun</v>
      </c>
      <c r="D24" t="s">
        <v>125</v>
      </c>
      <c r="E24" s="10" t="s">
        <v>126</v>
      </c>
      <c r="F24" t="s">
        <v>64</v>
      </c>
      <c r="G24" t="s">
        <v>33</v>
      </c>
      <c r="H24" t="s">
        <v>34</v>
      </c>
      <c r="I24">
        <v>6</v>
      </c>
      <c r="J24" s="3">
        <v>145.85</v>
      </c>
      <c r="K24" s="2">
        <v>0.05</v>
      </c>
      <c r="L24" s="3">
        <v>831.34</v>
      </c>
      <c r="M24" s="3">
        <v>230.5</v>
      </c>
      <c r="N24" t="s">
        <v>40</v>
      </c>
      <c r="O24" s="3"/>
      <c r="P24" s="3"/>
    </row>
    <row r="25" spans="1:16" x14ac:dyDescent="0.3">
      <c r="A25" t="s">
        <v>127</v>
      </c>
      <c r="B25" s="9" t="s">
        <v>128</v>
      </c>
      <c r="C25" s="20" t="str">
        <f t="shared" si="0"/>
        <v>Jul</v>
      </c>
      <c r="D25" t="s">
        <v>129</v>
      </c>
      <c r="E25" s="10" t="s">
        <v>130</v>
      </c>
      <c r="F25" t="s">
        <v>64</v>
      </c>
      <c r="G25" t="s">
        <v>89</v>
      </c>
      <c r="H25" t="s">
        <v>131</v>
      </c>
      <c r="I25">
        <v>1</v>
      </c>
      <c r="J25" s="3">
        <v>172.56</v>
      </c>
      <c r="K25" s="2">
        <v>0.1</v>
      </c>
      <c r="L25" s="3">
        <v>155.30000000000001</v>
      </c>
      <c r="M25" s="3">
        <v>45.6</v>
      </c>
      <c r="N25" t="s">
        <v>40</v>
      </c>
      <c r="O25" s="3"/>
      <c r="P25" s="3"/>
    </row>
    <row r="26" spans="1:16" x14ac:dyDescent="0.3">
      <c r="A26" t="s">
        <v>132</v>
      </c>
      <c r="B26" s="9" t="s">
        <v>133</v>
      </c>
      <c r="C26" s="20" t="str">
        <f t="shared" si="0"/>
        <v>Apr</v>
      </c>
      <c r="D26" t="s">
        <v>134</v>
      </c>
      <c r="E26" s="10" t="s">
        <v>135</v>
      </c>
      <c r="F26" t="s">
        <v>25</v>
      </c>
      <c r="G26" t="s">
        <v>33</v>
      </c>
      <c r="H26" t="s">
        <v>50</v>
      </c>
      <c r="I26">
        <v>6</v>
      </c>
      <c r="J26" s="3">
        <v>163.81</v>
      </c>
      <c r="K26" s="2">
        <v>0</v>
      </c>
      <c r="L26" s="3">
        <v>982.86</v>
      </c>
      <c r="M26" s="3">
        <v>92.51</v>
      </c>
      <c r="N26" t="s">
        <v>35</v>
      </c>
      <c r="O26" s="3"/>
      <c r="P26" s="3"/>
    </row>
    <row r="27" spans="1:16" x14ac:dyDescent="0.3">
      <c r="A27" t="s">
        <v>136</v>
      </c>
      <c r="B27" s="9" t="s">
        <v>137</v>
      </c>
      <c r="C27" s="20" t="str">
        <f t="shared" si="0"/>
        <v>Mar</v>
      </c>
      <c r="D27" t="s">
        <v>62</v>
      </c>
      <c r="E27" s="10" t="s">
        <v>138</v>
      </c>
      <c r="F27" t="s">
        <v>59</v>
      </c>
      <c r="G27" t="s">
        <v>26</v>
      </c>
      <c r="H27" t="s">
        <v>27</v>
      </c>
      <c r="I27">
        <v>2</v>
      </c>
      <c r="J27" s="3">
        <v>221.26</v>
      </c>
      <c r="K27" s="2">
        <v>0</v>
      </c>
      <c r="L27" s="3">
        <v>442.52</v>
      </c>
      <c r="M27" s="3">
        <v>123.78</v>
      </c>
      <c r="N27" t="s">
        <v>20</v>
      </c>
      <c r="O27" s="3"/>
      <c r="P27" s="3"/>
    </row>
    <row r="28" spans="1:16" x14ac:dyDescent="0.3">
      <c r="A28" t="s">
        <v>139</v>
      </c>
      <c r="B28" s="9" t="s">
        <v>140</v>
      </c>
      <c r="C28" s="20" t="str">
        <f t="shared" si="0"/>
        <v>May</v>
      </c>
      <c r="D28" t="s">
        <v>112</v>
      </c>
      <c r="E28" s="10" t="s">
        <v>141</v>
      </c>
      <c r="F28" t="s">
        <v>59</v>
      </c>
      <c r="G28" t="s">
        <v>18</v>
      </c>
      <c r="H28" t="s">
        <v>45</v>
      </c>
      <c r="I28">
        <v>3</v>
      </c>
      <c r="J28" s="3">
        <v>117.76</v>
      </c>
      <c r="K28" s="2">
        <v>0</v>
      </c>
      <c r="L28" s="3">
        <v>353.28</v>
      </c>
      <c r="M28" s="3">
        <v>46.7</v>
      </c>
      <c r="N28" t="s">
        <v>40</v>
      </c>
      <c r="O28" s="3"/>
      <c r="P28" s="3"/>
    </row>
    <row r="29" spans="1:16" x14ac:dyDescent="0.3">
      <c r="A29" t="s">
        <v>142</v>
      </c>
      <c r="B29" s="9" t="s">
        <v>143</v>
      </c>
      <c r="C29" s="20" t="str">
        <f t="shared" si="0"/>
        <v>Jan</v>
      </c>
      <c r="D29" t="s">
        <v>144</v>
      </c>
      <c r="E29" s="10" t="s">
        <v>145</v>
      </c>
      <c r="F29" t="s">
        <v>25</v>
      </c>
      <c r="G29" t="s">
        <v>26</v>
      </c>
      <c r="H29" t="s">
        <v>84</v>
      </c>
      <c r="I29">
        <v>7</v>
      </c>
      <c r="J29" s="3">
        <v>204.07</v>
      </c>
      <c r="K29" s="2">
        <v>0</v>
      </c>
      <c r="L29" s="3">
        <v>1428.49</v>
      </c>
      <c r="M29" s="3">
        <v>305.74</v>
      </c>
      <c r="N29" t="s">
        <v>20</v>
      </c>
      <c r="O29" s="3"/>
      <c r="P29" s="3"/>
    </row>
    <row r="30" spans="1:16" x14ac:dyDescent="0.3">
      <c r="A30" t="s">
        <v>146</v>
      </c>
      <c r="B30" s="9" t="s">
        <v>147</v>
      </c>
      <c r="C30" s="20" t="str">
        <f t="shared" si="0"/>
        <v>Nov</v>
      </c>
      <c r="D30" t="s">
        <v>148</v>
      </c>
      <c r="E30" s="10" t="s">
        <v>149</v>
      </c>
      <c r="F30" t="s">
        <v>32</v>
      </c>
      <c r="G30" t="s">
        <v>89</v>
      </c>
      <c r="H30" t="s">
        <v>150</v>
      </c>
      <c r="I30">
        <v>4</v>
      </c>
      <c r="J30" s="3">
        <v>168.44</v>
      </c>
      <c r="K30" s="2">
        <v>0</v>
      </c>
      <c r="L30" s="3">
        <v>673.76</v>
      </c>
      <c r="M30" s="3">
        <v>192.11</v>
      </c>
      <c r="N30" t="s">
        <v>20</v>
      </c>
      <c r="O30" s="3"/>
      <c r="P30" s="3"/>
    </row>
    <row r="31" spans="1:16" x14ac:dyDescent="0.3">
      <c r="A31" t="s">
        <v>151</v>
      </c>
      <c r="B31" s="9" t="s">
        <v>42</v>
      </c>
      <c r="C31" s="20" t="str">
        <f t="shared" si="0"/>
        <v>Jul</v>
      </c>
      <c r="D31" t="s">
        <v>152</v>
      </c>
      <c r="E31" s="10" t="s">
        <v>153</v>
      </c>
      <c r="F31" t="s">
        <v>64</v>
      </c>
      <c r="G31" t="s">
        <v>18</v>
      </c>
      <c r="H31" t="s">
        <v>19</v>
      </c>
      <c r="I31">
        <v>2</v>
      </c>
      <c r="J31" s="3">
        <v>28.33</v>
      </c>
      <c r="K31" s="2">
        <v>0.1</v>
      </c>
      <c r="L31" s="3">
        <v>50.99</v>
      </c>
      <c r="M31" s="3">
        <v>11.37</v>
      </c>
      <c r="N31" t="s">
        <v>20</v>
      </c>
      <c r="O31" s="3"/>
      <c r="P31" s="3"/>
    </row>
    <row r="32" spans="1:16" x14ac:dyDescent="0.3">
      <c r="A32" t="s">
        <v>154</v>
      </c>
      <c r="B32" s="9" t="s">
        <v>155</v>
      </c>
      <c r="C32" s="20" t="str">
        <f t="shared" si="0"/>
        <v>Sep</v>
      </c>
      <c r="D32" t="s">
        <v>156</v>
      </c>
      <c r="E32" s="10" t="s">
        <v>157</v>
      </c>
      <c r="F32" t="s">
        <v>25</v>
      </c>
      <c r="G32" t="s">
        <v>26</v>
      </c>
      <c r="H32" t="s">
        <v>84</v>
      </c>
      <c r="I32">
        <v>3</v>
      </c>
      <c r="J32" s="3">
        <v>228.25</v>
      </c>
      <c r="K32" s="2">
        <v>0.05</v>
      </c>
      <c r="L32" s="3">
        <v>650.51</v>
      </c>
      <c r="M32" s="3">
        <v>178.07</v>
      </c>
      <c r="N32" t="s">
        <v>40</v>
      </c>
      <c r="O32" s="3"/>
      <c r="P32" s="3"/>
    </row>
    <row r="33" spans="1:16" x14ac:dyDescent="0.3">
      <c r="A33" t="s">
        <v>158</v>
      </c>
      <c r="B33" s="9" t="s">
        <v>159</v>
      </c>
      <c r="C33" s="20" t="str">
        <f t="shared" si="0"/>
        <v>May</v>
      </c>
      <c r="D33" t="s">
        <v>160</v>
      </c>
      <c r="E33" s="10" t="s">
        <v>161</v>
      </c>
      <c r="F33" t="s">
        <v>59</v>
      </c>
      <c r="G33" t="s">
        <v>18</v>
      </c>
      <c r="H33" t="s">
        <v>19</v>
      </c>
      <c r="I33">
        <v>8</v>
      </c>
      <c r="J33" s="3">
        <v>194.6</v>
      </c>
      <c r="K33" s="2">
        <v>0</v>
      </c>
      <c r="L33" s="3">
        <v>1556.8</v>
      </c>
      <c r="M33" s="3">
        <v>361.23</v>
      </c>
      <c r="N33" t="s">
        <v>40</v>
      </c>
      <c r="O33" s="3"/>
      <c r="P33" s="3"/>
    </row>
    <row r="34" spans="1:16" x14ac:dyDescent="0.3">
      <c r="A34" t="s">
        <v>162</v>
      </c>
      <c r="B34" s="9" t="s">
        <v>163</v>
      </c>
      <c r="C34" s="20" t="str">
        <f t="shared" si="0"/>
        <v>Nov</v>
      </c>
      <c r="D34" t="s">
        <v>164</v>
      </c>
      <c r="E34" s="10" t="s">
        <v>165</v>
      </c>
      <c r="F34" t="s">
        <v>32</v>
      </c>
      <c r="G34" t="s">
        <v>89</v>
      </c>
      <c r="H34" t="s">
        <v>150</v>
      </c>
      <c r="I34">
        <v>2</v>
      </c>
      <c r="J34" s="3">
        <v>155.97</v>
      </c>
      <c r="K34" s="2">
        <v>0.15</v>
      </c>
      <c r="L34" s="3">
        <v>265.14999999999998</v>
      </c>
      <c r="M34" s="3">
        <v>62.77</v>
      </c>
      <c r="N34" t="s">
        <v>35</v>
      </c>
      <c r="O34" s="3"/>
      <c r="P34" s="3"/>
    </row>
    <row r="35" spans="1:16" x14ac:dyDescent="0.3">
      <c r="A35" t="s">
        <v>166</v>
      </c>
      <c r="B35" s="9" t="s">
        <v>167</v>
      </c>
      <c r="C35" s="20" t="str">
        <f t="shared" si="0"/>
        <v>Apr</v>
      </c>
      <c r="D35" t="s">
        <v>168</v>
      </c>
      <c r="E35" s="10" t="s">
        <v>117</v>
      </c>
      <c r="F35" t="s">
        <v>59</v>
      </c>
      <c r="G35" t="s">
        <v>33</v>
      </c>
      <c r="H35" t="s">
        <v>34</v>
      </c>
      <c r="I35">
        <v>5</v>
      </c>
      <c r="J35" s="3">
        <v>62.85</v>
      </c>
      <c r="K35" s="2">
        <v>0.1</v>
      </c>
      <c r="L35" s="3">
        <v>282.82</v>
      </c>
      <c r="M35" s="3">
        <v>76.67</v>
      </c>
      <c r="N35" t="s">
        <v>35</v>
      </c>
      <c r="O35" s="3"/>
      <c r="P35" s="3"/>
    </row>
    <row r="36" spans="1:16" x14ac:dyDescent="0.3">
      <c r="A36" t="s">
        <v>169</v>
      </c>
      <c r="B36" s="9" t="s">
        <v>170</v>
      </c>
      <c r="C36" s="20" t="str">
        <f t="shared" si="0"/>
        <v>Mar</v>
      </c>
      <c r="D36" t="s">
        <v>171</v>
      </c>
      <c r="E36" s="10" t="s">
        <v>172</v>
      </c>
      <c r="F36" t="s">
        <v>59</v>
      </c>
      <c r="G36" t="s">
        <v>26</v>
      </c>
      <c r="H36" t="s">
        <v>27</v>
      </c>
      <c r="I36">
        <v>5</v>
      </c>
      <c r="J36" s="3">
        <v>77.8</v>
      </c>
      <c r="K36" s="2">
        <v>0</v>
      </c>
      <c r="L36" s="3">
        <v>389</v>
      </c>
      <c r="M36" s="3">
        <v>71.069999999999993</v>
      </c>
      <c r="N36" t="s">
        <v>40</v>
      </c>
      <c r="O36" s="3"/>
      <c r="P36" s="3"/>
    </row>
    <row r="37" spans="1:16" x14ac:dyDescent="0.3">
      <c r="A37" t="s">
        <v>173</v>
      </c>
      <c r="B37" s="9" t="s">
        <v>128</v>
      </c>
      <c r="C37" s="20" t="str">
        <f t="shared" si="0"/>
        <v>Jul</v>
      </c>
      <c r="D37" t="s">
        <v>174</v>
      </c>
      <c r="E37" s="10" t="s">
        <v>175</v>
      </c>
      <c r="F37" t="s">
        <v>59</v>
      </c>
      <c r="G37" t="s">
        <v>89</v>
      </c>
      <c r="H37" t="s">
        <v>90</v>
      </c>
      <c r="I37">
        <v>2</v>
      </c>
      <c r="J37" s="3">
        <v>29.63</v>
      </c>
      <c r="K37" s="2">
        <v>0</v>
      </c>
      <c r="L37" s="3">
        <v>59.26</v>
      </c>
      <c r="M37" s="3">
        <v>16.34</v>
      </c>
      <c r="N37" t="s">
        <v>40</v>
      </c>
      <c r="O37" s="3"/>
      <c r="P37" s="3"/>
    </row>
    <row r="38" spans="1:16" x14ac:dyDescent="0.3">
      <c r="A38" t="s">
        <v>176</v>
      </c>
      <c r="B38" s="9" t="s">
        <v>92</v>
      </c>
      <c r="C38" s="20" t="str">
        <f t="shared" si="0"/>
        <v>Nov</v>
      </c>
      <c r="D38" t="s">
        <v>177</v>
      </c>
      <c r="E38" s="10" t="s">
        <v>178</v>
      </c>
      <c r="F38" t="s">
        <v>32</v>
      </c>
      <c r="G38" t="s">
        <v>26</v>
      </c>
      <c r="H38" t="s">
        <v>27</v>
      </c>
      <c r="I38">
        <v>5</v>
      </c>
      <c r="J38" s="3">
        <v>122.98</v>
      </c>
      <c r="K38" s="2">
        <v>0.05</v>
      </c>
      <c r="L38" s="3">
        <v>584.15</v>
      </c>
      <c r="M38" s="3">
        <v>88.95</v>
      </c>
      <c r="N38" t="s">
        <v>40</v>
      </c>
      <c r="O38" s="3"/>
      <c r="P38" s="3"/>
    </row>
    <row r="39" spans="1:16" x14ac:dyDescent="0.3">
      <c r="A39" t="s">
        <v>179</v>
      </c>
      <c r="B39" s="9" t="s">
        <v>180</v>
      </c>
      <c r="C39" s="20" t="str">
        <f t="shared" si="0"/>
        <v>Feb</v>
      </c>
      <c r="D39" t="s">
        <v>181</v>
      </c>
      <c r="E39" s="10" t="s">
        <v>182</v>
      </c>
      <c r="F39" t="s">
        <v>17</v>
      </c>
      <c r="G39" t="s">
        <v>33</v>
      </c>
      <c r="H39" t="s">
        <v>34</v>
      </c>
      <c r="I39">
        <v>2</v>
      </c>
      <c r="J39" s="3">
        <v>84.49</v>
      </c>
      <c r="K39" s="2">
        <v>0.05</v>
      </c>
      <c r="L39" s="3">
        <v>160.53</v>
      </c>
      <c r="M39" s="3">
        <v>32.72</v>
      </c>
      <c r="N39" t="s">
        <v>20</v>
      </c>
      <c r="O39" s="3"/>
      <c r="P39" s="3"/>
    </row>
    <row r="40" spans="1:16" x14ac:dyDescent="0.3">
      <c r="A40" t="s">
        <v>183</v>
      </c>
      <c r="B40" s="9" t="s">
        <v>184</v>
      </c>
      <c r="C40" s="20" t="str">
        <f t="shared" si="0"/>
        <v>Aug</v>
      </c>
      <c r="D40" t="s">
        <v>185</v>
      </c>
      <c r="E40" s="10" t="s">
        <v>186</v>
      </c>
      <c r="F40" t="s">
        <v>17</v>
      </c>
      <c r="G40" t="s">
        <v>89</v>
      </c>
      <c r="H40" t="s">
        <v>131</v>
      </c>
      <c r="I40">
        <v>3</v>
      </c>
      <c r="J40" s="3">
        <v>100.94</v>
      </c>
      <c r="K40" s="2">
        <v>0.15</v>
      </c>
      <c r="L40" s="3">
        <v>257.39999999999998</v>
      </c>
      <c r="M40" s="3">
        <v>64.67</v>
      </c>
      <c r="N40" t="s">
        <v>20</v>
      </c>
      <c r="O40" s="3"/>
      <c r="P40" s="3"/>
    </row>
    <row r="41" spans="1:16" x14ac:dyDescent="0.3">
      <c r="A41" t="s">
        <v>187</v>
      </c>
      <c r="B41" s="9" t="s">
        <v>188</v>
      </c>
      <c r="C41" s="20" t="str">
        <f t="shared" si="0"/>
        <v>Feb</v>
      </c>
      <c r="D41" t="s">
        <v>97</v>
      </c>
      <c r="E41" s="10" t="s">
        <v>189</v>
      </c>
      <c r="F41" t="s">
        <v>25</v>
      </c>
      <c r="G41" t="s">
        <v>26</v>
      </c>
      <c r="H41" t="s">
        <v>118</v>
      </c>
      <c r="I41">
        <v>2</v>
      </c>
      <c r="J41" s="3">
        <v>154.88999999999999</v>
      </c>
      <c r="K41" s="2">
        <v>0</v>
      </c>
      <c r="L41" s="3">
        <v>309.77999999999997</v>
      </c>
      <c r="M41" s="3">
        <v>76.95</v>
      </c>
      <c r="N41" t="s">
        <v>35</v>
      </c>
      <c r="O41" s="3"/>
      <c r="P41" s="3"/>
    </row>
    <row r="42" spans="1:16" x14ac:dyDescent="0.3">
      <c r="A42" t="s">
        <v>190</v>
      </c>
      <c r="B42" s="9" t="s">
        <v>191</v>
      </c>
      <c r="C42" s="20" t="str">
        <f t="shared" si="0"/>
        <v>Apr</v>
      </c>
      <c r="D42" t="s">
        <v>192</v>
      </c>
      <c r="E42" s="10" t="s">
        <v>193</v>
      </c>
      <c r="F42" t="s">
        <v>64</v>
      </c>
      <c r="G42" t="s">
        <v>33</v>
      </c>
      <c r="H42" t="s">
        <v>74</v>
      </c>
      <c r="I42">
        <v>5</v>
      </c>
      <c r="J42" s="3">
        <v>65.67</v>
      </c>
      <c r="K42" s="2">
        <v>0</v>
      </c>
      <c r="L42" s="3">
        <v>328.35</v>
      </c>
      <c r="M42" s="3">
        <v>82.58</v>
      </c>
      <c r="N42" t="s">
        <v>40</v>
      </c>
      <c r="O42" s="3"/>
      <c r="P42" s="3"/>
    </row>
    <row r="43" spans="1:16" x14ac:dyDescent="0.3">
      <c r="A43" t="s">
        <v>194</v>
      </c>
      <c r="B43" s="9" t="s">
        <v>195</v>
      </c>
      <c r="C43" s="20" t="str">
        <f t="shared" si="0"/>
        <v>Nov</v>
      </c>
      <c r="D43" t="s">
        <v>196</v>
      </c>
      <c r="E43" s="10" t="s">
        <v>197</v>
      </c>
      <c r="F43" t="s">
        <v>64</v>
      </c>
      <c r="G43" t="s">
        <v>26</v>
      </c>
      <c r="H43" t="s">
        <v>118</v>
      </c>
      <c r="I43">
        <v>7</v>
      </c>
      <c r="J43" s="3">
        <v>91.14</v>
      </c>
      <c r="K43" s="2">
        <v>0.05</v>
      </c>
      <c r="L43" s="3">
        <v>606.08000000000004</v>
      </c>
      <c r="M43" s="3">
        <v>149.83000000000001</v>
      </c>
      <c r="N43" t="s">
        <v>40</v>
      </c>
      <c r="O43" s="3"/>
      <c r="P43" s="3"/>
    </row>
    <row r="44" spans="1:16" x14ac:dyDescent="0.3">
      <c r="A44" t="s">
        <v>198</v>
      </c>
      <c r="B44" s="9" t="s">
        <v>199</v>
      </c>
      <c r="C44" s="20" t="str">
        <f t="shared" si="0"/>
        <v>Mar</v>
      </c>
      <c r="D44" t="s">
        <v>200</v>
      </c>
      <c r="E44" s="10" t="s">
        <v>201</v>
      </c>
      <c r="F44" t="s">
        <v>59</v>
      </c>
      <c r="G44" t="s">
        <v>89</v>
      </c>
      <c r="H44" t="s">
        <v>150</v>
      </c>
      <c r="I44">
        <v>8</v>
      </c>
      <c r="J44" s="3">
        <v>237.06</v>
      </c>
      <c r="K44" s="2">
        <v>0.05</v>
      </c>
      <c r="L44" s="3">
        <v>1801.66</v>
      </c>
      <c r="M44" s="3">
        <v>462.22</v>
      </c>
      <c r="N44" t="s">
        <v>20</v>
      </c>
      <c r="O44" s="3"/>
      <c r="P44" s="3"/>
    </row>
    <row r="45" spans="1:16" x14ac:dyDescent="0.3">
      <c r="A45" t="s">
        <v>202</v>
      </c>
      <c r="B45" s="9" t="s">
        <v>203</v>
      </c>
      <c r="C45" s="20" t="str">
        <f t="shared" si="0"/>
        <v>Sep</v>
      </c>
      <c r="D45" t="s">
        <v>204</v>
      </c>
      <c r="E45" s="10" t="s">
        <v>205</v>
      </c>
      <c r="F45" t="s">
        <v>25</v>
      </c>
      <c r="G45" t="s">
        <v>89</v>
      </c>
      <c r="H45" t="s">
        <v>131</v>
      </c>
      <c r="I45">
        <v>6</v>
      </c>
      <c r="J45" s="3">
        <v>110.59</v>
      </c>
      <c r="K45" s="2">
        <v>0.15</v>
      </c>
      <c r="L45" s="3">
        <v>564.01</v>
      </c>
      <c r="M45" s="3">
        <v>57.87</v>
      </c>
      <c r="N45" t="s">
        <v>35</v>
      </c>
      <c r="O45" s="3"/>
      <c r="P45" s="3"/>
    </row>
    <row r="46" spans="1:16" x14ac:dyDescent="0.3">
      <c r="A46" t="s">
        <v>206</v>
      </c>
      <c r="B46" s="9" t="s">
        <v>207</v>
      </c>
      <c r="C46" s="20" t="str">
        <f t="shared" si="0"/>
        <v>Mar</v>
      </c>
      <c r="D46" t="s">
        <v>48</v>
      </c>
      <c r="E46" s="10" t="s">
        <v>208</v>
      </c>
      <c r="F46" t="s">
        <v>59</v>
      </c>
      <c r="G46" t="s">
        <v>33</v>
      </c>
      <c r="H46" t="s">
        <v>50</v>
      </c>
      <c r="I46">
        <v>5</v>
      </c>
      <c r="J46" s="3">
        <v>238.94</v>
      </c>
      <c r="K46" s="2">
        <v>0</v>
      </c>
      <c r="L46" s="3">
        <v>1194.7</v>
      </c>
      <c r="M46" s="3">
        <v>283.75</v>
      </c>
      <c r="N46" t="s">
        <v>40</v>
      </c>
      <c r="O46" s="3"/>
      <c r="P46" s="3"/>
    </row>
    <row r="47" spans="1:16" x14ac:dyDescent="0.3">
      <c r="A47" t="s">
        <v>209</v>
      </c>
      <c r="B47" s="9" t="s">
        <v>210</v>
      </c>
      <c r="C47" s="20" t="str">
        <f t="shared" si="0"/>
        <v>Mar</v>
      </c>
      <c r="D47" t="s">
        <v>211</v>
      </c>
      <c r="E47" s="10" t="s">
        <v>212</v>
      </c>
      <c r="F47" t="s">
        <v>64</v>
      </c>
      <c r="G47" t="s">
        <v>18</v>
      </c>
      <c r="H47" t="s">
        <v>79</v>
      </c>
      <c r="I47">
        <v>3</v>
      </c>
      <c r="J47" s="3">
        <v>84.39</v>
      </c>
      <c r="K47" s="2">
        <v>0.05</v>
      </c>
      <c r="L47" s="3">
        <v>240.51</v>
      </c>
      <c r="M47" s="3">
        <v>22.05</v>
      </c>
      <c r="N47" t="s">
        <v>40</v>
      </c>
      <c r="O47" s="3"/>
      <c r="P47" s="3"/>
    </row>
    <row r="48" spans="1:16" x14ac:dyDescent="0.3">
      <c r="A48" t="s">
        <v>213</v>
      </c>
      <c r="B48" s="9" t="s">
        <v>214</v>
      </c>
      <c r="C48" s="20" t="str">
        <f t="shared" si="0"/>
        <v>Jun</v>
      </c>
      <c r="D48" t="s">
        <v>215</v>
      </c>
      <c r="E48" s="10" t="s">
        <v>145</v>
      </c>
      <c r="F48" t="s">
        <v>17</v>
      </c>
      <c r="G48" t="s">
        <v>33</v>
      </c>
      <c r="H48" t="s">
        <v>50</v>
      </c>
      <c r="I48">
        <v>1</v>
      </c>
      <c r="J48" s="3">
        <v>212.04</v>
      </c>
      <c r="K48" s="2">
        <v>0.05</v>
      </c>
      <c r="L48" s="3">
        <v>201.44</v>
      </c>
      <c r="M48" s="3">
        <v>39.69</v>
      </c>
      <c r="N48" t="s">
        <v>35</v>
      </c>
      <c r="O48" s="3"/>
      <c r="P48" s="3"/>
    </row>
    <row r="49" spans="1:16" x14ac:dyDescent="0.3">
      <c r="A49" t="s">
        <v>216</v>
      </c>
      <c r="B49" s="9" t="s">
        <v>217</v>
      </c>
      <c r="C49" s="20" t="str">
        <f t="shared" si="0"/>
        <v>Dec</v>
      </c>
      <c r="D49" t="s">
        <v>218</v>
      </c>
      <c r="E49" s="10" t="s">
        <v>117</v>
      </c>
      <c r="F49" t="s">
        <v>17</v>
      </c>
      <c r="G49" t="s">
        <v>33</v>
      </c>
      <c r="H49" t="s">
        <v>50</v>
      </c>
      <c r="I49">
        <v>6</v>
      </c>
      <c r="J49" s="3">
        <v>78.91</v>
      </c>
      <c r="K49" s="2">
        <v>0.1</v>
      </c>
      <c r="L49" s="3">
        <v>426.11</v>
      </c>
      <c r="M49" s="3">
        <v>93.54</v>
      </c>
      <c r="N49" t="s">
        <v>40</v>
      </c>
      <c r="O49" s="3"/>
      <c r="P49" s="3"/>
    </row>
    <row r="50" spans="1:16" x14ac:dyDescent="0.3">
      <c r="A50" t="s">
        <v>219</v>
      </c>
      <c r="B50" s="9" t="s">
        <v>220</v>
      </c>
      <c r="C50" s="20" t="str">
        <f t="shared" si="0"/>
        <v>Feb</v>
      </c>
      <c r="D50" t="s">
        <v>221</v>
      </c>
      <c r="E50" s="10" t="s">
        <v>212</v>
      </c>
      <c r="F50" t="s">
        <v>17</v>
      </c>
      <c r="G50" t="s">
        <v>89</v>
      </c>
      <c r="H50" t="s">
        <v>90</v>
      </c>
      <c r="I50">
        <v>3</v>
      </c>
      <c r="J50" s="3">
        <v>93.64</v>
      </c>
      <c r="K50" s="2">
        <v>0</v>
      </c>
      <c r="L50" s="3">
        <v>280.92</v>
      </c>
      <c r="M50" s="3">
        <v>39.700000000000003</v>
      </c>
      <c r="N50" t="s">
        <v>20</v>
      </c>
      <c r="O50" s="3"/>
      <c r="P50" s="3"/>
    </row>
    <row r="51" spans="1:16" x14ac:dyDescent="0.3">
      <c r="A51" t="s">
        <v>222</v>
      </c>
      <c r="B51" s="9" t="s">
        <v>223</v>
      </c>
      <c r="C51" s="20" t="str">
        <f t="shared" si="0"/>
        <v>Jun</v>
      </c>
      <c r="D51" t="s">
        <v>224</v>
      </c>
      <c r="E51" s="10" t="s">
        <v>102</v>
      </c>
      <c r="F51" t="s">
        <v>32</v>
      </c>
      <c r="G51" t="s">
        <v>26</v>
      </c>
      <c r="H51" t="s">
        <v>118</v>
      </c>
      <c r="I51">
        <v>1</v>
      </c>
      <c r="J51" s="3">
        <v>203.29</v>
      </c>
      <c r="K51" s="2">
        <v>0.05</v>
      </c>
      <c r="L51" s="3">
        <v>193.13</v>
      </c>
      <c r="M51" s="3">
        <v>46.31</v>
      </c>
      <c r="N51" t="s">
        <v>35</v>
      </c>
      <c r="O51" s="3"/>
      <c r="P51" s="3"/>
    </row>
    <row r="52" spans="1:16" x14ac:dyDescent="0.3">
      <c r="A52" t="s">
        <v>225</v>
      </c>
      <c r="B52" s="9" t="s">
        <v>42</v>
      </c>
      <c r="C52" s="20" t="str">
        <f t="shared" si="0"/>
        <v>Jul</v>
      </c>
      <c r="D52" t="s">
        <v>226</v>
      </c>
      <c r="E52" s="10" t="s">
        <v>227</v>
      </c>
      <c r="F52" t="s">
        <v>64</v>
      </c>
      <c r="G52" t="s">
        <v>89</v>
      </c>
      <c r="H52" t="s">
        <v>90</v>
      </c>
      <c r="I52">
        <v>5</v>
      </c>
      <c r="J52" s="3">
        <v>49.81</v>
      </c>
      <c r="K52" s="2">
        <v>0.1</v>
      </c>
      <c r="L52" s="3">
        <v>224.15</v>
      </c>
      <c r="M52" s="3">
        <v>63.52</v>
      </c>
      <c r="N52" t="s">
        <v>20</v>
      </c>
      <c r="O52" s="3"/>
      <c r="P52" s="3"/>
    </row>
    <row r="53" spans="1:16" x14ac:dyDescent="0.3">
      <c r="A53" t="s">
        <v>228</v>
      </c>
      <c r="B53" s="9" t="s">
        <v>229</v>
      </c>
      <c r="C53" s="20" t="str">
        <f t="shared" si="0"/>
        <v>Jul</v>
      </c>
      <c r="D53" t="s">
        <v>230</v>
      </c>
      <c r="E53" s="10" t="s">
        <v>231</v>
      </c>
      <c r="F53" t="s">
        <v>64</v>
      </c>
      <c r="G53" t="s">
        <v>26</v>
      </c>
      <c r="H53" t="s">
        <v>27</v>
      </c>
      <c r="I53">
        <v>1</v>
      </c>
      <c r="J53" s="3">
        <v>239.95</v>
      </c>
      <c r="K53" s="2">
        <v>0</v>
      </c>
      <c r="L53" s="3">
        <v>239.95</v>
      </c>
      <c r="M53" s="3">
        <v>27.78</v>
      </c>
      <c r="N53" t="s">
        <v>35</v>
      </c>
      <c r="O53" s="3"/>
      <c r="P53" s="3"/>
    </row>
    <row r="54" spans="1:16" x14ac:dyDescent="0.3">
      <c r="A54" t="s">
        <v>232</v>
      </c>
      <c r="B54" s="9" t="s">
        <v>86</v>
      </c>
      <c r="C54" s="20" t="str">
        <f t="shared" si="0"/>
        <v>Feb</v>
      </c>
      <c r="D54" t="s">
        <v>192</v>
      </c>
      <c r="E54" s="10" t="s">
        <v>233</v>
      </c>
      <c r="F54" t="s">
        <v>59</v>
      </c>
      <c r="G54" t="s">
        <v>89</v>
      </c>
      <c r="H54" t="s">
        <v>90</v>
      </c>
      <c r="I54">
        <v>3</v>
      </c>
      <c r="J54" s="3">
        <v>13.14</v>
      </c>
      <c r="K54" s="2">
        <v>0.1</v>
      </c>
      <c r="L54" s="3">
        <v>35.479999999999997</v>
      </c>
      <c r="M54" s="3">
        <v>10.39</v>
      </c>
      <c r="N54" t="s">
        <v>35</v>
      </c>
      <c r="O54" s="3"/>
      <c r="P54" s="3"/>
    </row>
    <row r="55" spans="1:16" x14ac:dyDescent="0.3">
      <c r="A55" t="s">
        <v>234</v>
      </c>
      <c r="B55" s="9" t="s">
        <v>235</v>
      </c>
      <c r="C55" s="20" t="str">
        <f t="shared" si="0"/>
        <v>Jul</v>
      </c>
      <c r="D55" t="s">
        <v>236</v>
      </c>
      <c r="E55" s="10" t="s">
        <v>237</v>
      </c>
      <c r="F55" t="s">
        <v>25</v>
      </c>
      <c r="G55" t="s">
        <v>26</v>
      </c>
      <c r="H55" t="s">
        <v>27</v>
      </c>
      <c r="I55">
        <v>8</v>
      </c>
      <c r="J55" s="3">
        <v>43.21</v>
      </c>
      <c r="K55" s="2">
        <v>0.15</v>
      </c>
      <c r="L55" s="3">
        <v>293.83</v>
      </c>
      <c r="M55" s="3">
        <v>49.53</v>
      </c>
      <c r="N55" t="s">
        <v>35</v>
      </c>
      <c r="O55" s="3"/>
      <c r="P55" s="3"/>
    </row>
    <row r="56" spans="1:16" x14ac:dyDescent="0.3">
      <c r="A56" t="s">
        <v>238</v>
      </c>
      <c r="B56" s="9" t="s">
        <v>239</v>
      </c>
      <c r="C56" s="20" t="str">
        <f t="shared" si="0"/>
        <v>Nov</v>
      </c>
      <c r="D56" t="s">
        <v>218</v>
      </c>
      <c r="E56" s="10" t="s">
        <v>240</v>
      </c>
      <c r="F56" t="s">
        <v>64</v>
      </c>
      <c r="G56" t="s">
        <v>33</v>
      </c>
      <c r="H56" t="s">
        <v>34</v>
      </c>
      <c r="I56">
        <v>5</v>
      </c>
      <c r="J56" s="3">
        <v>220.51</v>
      </c>
      <c r="K56" s="2">
        <v>0</v>
      </c>
      <c r="L56" s="3">
        <v>1102.55</v>
      </c>
      <c r="M56" s="3">
        <v>137.44999999999999</v>
      </c>
      <c r="N56" t="s">
        <v>35</v>
      </c>
      <c r="O56" s="3"/>
      <c r="P56" s="3"/>
    </row>
    <row r="57" spans="1:16" x14ac:dyDescent="0.3">
      <c r="A57" t="s">
        <v>241</v>
      </c>
      <c r="B57" s="9" t="s">
        <v>242</v>
      </c>
      <c r="C57" s="20" t="str">
        <f t="shared" si="0"/>
        <v>Jun</v>
      </c>
      <c r="D57" t="s">
        <v>243</v>
      </c>
      <c r="E57" s="10" t="s">
        <v>244</v>
      </c>
      <c r="F57" t="s">
        <v>64</v>
      </c>
      <c r="G57" t="s">
        <v>26</v>
      </c>
      <c r="H57" t="s">
        <v>84</v>
      </c>
      <c r="I57">
        <v>1</v>
      </c>
      <c r="J57" s="3">
        <v>161.28</v>
      </c>
      <c r="K57" s="2">
        <v>0.05</v>
      </c>
      <c r="L57" s="3">
        <v>153.22</v>
      </c>
      <c r="M57" s="3">
        <v>26.85</v>
      </c>
      <c r="N57" t="s">
        <v>35</v>
      </c>
      <c r="O57" s="3"/>
      <c r="P57" s="3"/>
    </row>
    <row r="58" spans="1:16" x14ac:dyDescent="0.3">
      <c r="A58" t="s">
        <v>245</v>
      </c>
      <c r="B58" s="9" t="s">
        <v>246</v>
      </c>
      <c r="C58" s="20" t="str">
        <f t="shared" si="0"/>
        <v>Aug</v>
      </c>
      <c r="D58" t="s">
        <v>125</v>
      </c>
      <c r="E58" s="10" t="s">
        <v>88</v>
      </c>
      <c r="F58" t="s">
        <v>59</v>
      </c>
      <c r="G58" t="s">
        <v>33</v>
      </c>
      <c r="H58" t="s">
        <v>69</v>
      </c>
      <c r="I58">
        <v>7</v>
      </c>
      <c r="J58" s="3">
        <v>164.38</v>
      </c>
      <c r="K58" s="2">
        <v>0</v>
      </c>
      <c r="L58" s="3">
        <v>1150.6600000000001</v>
      </c>
      <c r="M58" s="3">
        <v>247.24</v>
      </c>
      <c r="N58" t="s">
        <v>40</v>
      </c>
      <c r="O58" s="3"/>
      <c r="P58" s="3"/>
    </row>
    <row r="59" spans="1:16" x14ac:dyDescent="0.3">
      <c r="A59" t="s">
        <v>251</v>
      </c>
      <c r="B59" s="9" t="s">
        <v>252</v>
      </c>
      <c r="C59" s="20" t="str">
        <f t="shared" si="0"/>
        <v>Mar</v>
      </c>
      <c r="D59" t="s">
        <v>253</v>
      </c>
      <c r="E59" s="10" t="s">
        <v>254</v>
      </c>
      <c r="F59" t="s">
        <v>32</v>
      </c>
      <c r="G59" t="s">
        <v>26</v>
      </c>
      <c r="H59" t="s">
        <v>118</v>
      </c>
      <c r="I59">
        <v>2</v>
      </c>
      <c r="J59" s="3">
        <v>202.54</v>
      </c>
      <c r="K59" s="2">
        <v>0.05</v>
      </c>
      <c r="L59" s="3">
        <v>384.83</v>
      </c>
      <c r="M59" s="3">
        <v>54.57</v>
      </c>
      <c r="N59" t="s">
        <v>20</v>
      </c>
      <c r="O59" s="3"/>
      <c r="P59" s="3"/>
    </row>
    <row r="60" spans="1:16" x14ac:dyDescent="0.3">
      <c r="A60" t="s">
        <v>255</v>
      </c>
      <c r="B60" s="9" t="s">
        <v>256</v>
      </c>
      <c r="C60" s="20" t="str">
        <f t="shared" si="0"/>
        <v>Mar</v>
      </c>
      <c r="D60" t="s">
        <v>257</v>
      </c>
      <c r="E60" s="10" t="s">
        <v>258</v>
      </c>
      <c r="F60" t="s">
        <v>17</v>
      </c>
      <c r="G60" t="s">
        <v>26</v>
      </c>
      <c r="H60" t="s">
        <v>84</v>
      </c>
      <c r="I60">
        <v>7</v>
      </c>
      <c r="J60" s="3">
        <v>164.46</v>
      </c>
      <c r="K60" s="2">
        <v>0</v>
      </c>
      <c r="L60" s="3">
        <v>1151.22</v>
      </c>
      <c r="M60" s="3">
        <v>267.23</v>
      </c>
      <c r="N60" t="s">
        <v>35</v>
      </c>
      <c r="O60" s="3"/>
      <c r="P60" s="3"/>
    </row>
    <row r="61" spans="1:16" x14ac:dyDescent="0.3">
      <c r="A61" t="s">
        <v>259</v>
      </c>
      <c r="B61" s="9" t="s">
        <v>260</v>
      </c>
      <c r="C61" s="20" t="str">
        <f t="shared" si="0"/>
        <v>Sep</v>
      </c>
      <c r="D61" t="s">
        <v>261</v>
      </c>
      <c r="E61" s="10" t="s">
        <v>262</v>
      </c>
      <c r="F61" t="s">
        <v>25</v>
      </c>
      <c r="G61" t="s">
        <v>89</v>
      </c>
      <c r="H61" t="s">
        <v>90</v>
      </c>
      <c r="I61">
        <v>7</v>
      </c>
      <c r="J61" s="3">
        <v>86.84</v>
      </c>
      <c r="K61" s="2">
        <v>0.15</v>
      </c>
      <c r="L61" s="3">
        <v>516.70000000000005</v>
      </c>
      <c r="M61" s="3">
        <v>71.48</v>
      </c>
      <c r="N61" t="s">
        <v>35</v>
      </c>
      <c r="O61" s="3"/>
      <c r="P61" s="3"/>
    </row>
    <row r="62" spans="1:16" x14ac:dyDescent="0.3">
      <c r="A62" t="s">
        <v>263</v>
      </c>
      <c r="B62" s="9" t="s">
        <v>264</v>
      </c>
      <c r="C62" s="20" t="str">
        <f t="shared" si="0"/>
        <v>Jan</v>
      </c>
      <c r="D62" t="s">
        <v>265</v>
      </c>
      <c r="E62" s="10" t="s">
        <v>266</v>
      </c>
      <c r="F62" t="s">
        <v>32</v>
      </c>
      <c r="G62" t="s">
        <v>33</v>
      </c>
      <c r="H62" t="s">
        <v>34</v>
      </c>
      <c r="I62">
        <v>1</v>
      </c>
      <c r="J62" s="3">
        <v>179.41</v>
      </c>
      <c r="K62" s="2">
        <v>0</v>
      </c>
      <c r="L62" s="3">
        <v>179.41</v>
      </c>
      <c r="M62" s="3">
        <v>20.58</v>
      </c>
      <c r="N62" t="s">
        <v>40</v>
      </c>
      <c r="O62" s="3"/>
      <c r="P62" s="3"/>
    </row>
    <row r="63" spans="1:16" x14ac:dyDescent="0.3">
      <c r="A63" t="s">
        <v>267</v>
      </c>
      <c r="B63" s="9" t="s">
        <v>268</v>
      </c>
      <c r="C63" s="20" t="str">
        <f t="shared" si="0"/>
        <v>Jun</v>
      </c>
      <c r="D63" t="s">
        <v>77</v>
      </c>
      <c r="E63" s="10" t="s">
        <v>269</v>
      </c>
      <c r="F63" t="s">
        <v>59</v>
      </c>
      <c r="G63" t="s">
        <v>18</v>
      </c>
      <c r="H63" t="s">
        <v>79</v>
      </c>
      <c r="I63">
        <v>8</v>
      </c>
      <c r="J63" s="3">
        <v>38.58</v>
      </c>
      <c r="K63" s="2">
        <v>0.1</v>
      </c>
      <c r="L63" s="3">
        <v>277.77999999999997</v>
      </c>
      <c r="M63" s="3">
        <v>59.74</v>
      </c>
      <c r="N63" t="s">
        <v>35</v>
      </c>
      <c r="O63" s="3"/>
      <c r="P63" s="3"/>
    </row>
    <row r="64" spans="1:16" x14ac:dyDescent="0.3">
      <c r="A64" t="s">
        <v>270</v>
      </c>
      <c r="B64" s="9" t="s">
        <v>271</v>
      </c>
      <c r="C64" s="20" t="str">
        <f t="shared" si="0"/>
        <v>Nov</v>
      </c>
      <c r="D64" t="s">
        <v>272</v>
      </c>
      <c r="E64" s="10" t="s">
        <v>273</v>
      </c>
      <c r="F64" t="s">
        <v>17</v>
      </c>
      <c r="G64" t="s">
        <v>33</v>
      </c>
      <c r="H64" t="s">
        <v>69</v>
      </c>
      <c r="I64">
        <v>4</v>
      </c>
      <c r="J64" s="3">
        <v>54.88</v>
      </c>
      <c r="K64" s="2">
        <v>0.15</v>
      </c>
      <c r="L64" s="3">
        <v>186.59</v>
      </c>
      <c r="M64" s="3">
        <v>17.04</v>
      </c>
      <c r="N64" t="s">
        <v>40</v>
      </c>
      <c r="O64" s="3"/>
      <c r="P64" s="3"/>
    </row>
    <row r="65" spans="1:16" x14ac:dyDescent="0.3">
      <c r="A65" t="s">
        <v>274</v>
      </c>
      <c r="B65" s="9" t="s">
        <v>275</v>
      </c>
      <c r="C65" s="20" t="str">
        <f t="shared" si="0"/>
        <v>Oct</v>
      </c>
      <c r="D65" t="s">
        <v>276</v>
      </c>
      <c r="E65" s="10" t="s">
        <v>145</v>
      </c>
      <c r="F65" t="s">
        <v>64</v>
      </c>
      <c r="G65" t="s">
        <v>33</v>
      </c>
      <c r="H65" t="s">
        <v>74</v>
      </c>
      <c r="I65">
        <v>2</v>
      </c>
      <c r="J65" s="3">
        <v>51.13</v>
      </c>
      <c r="K65" s="2">
        <v>0.05</v>
      </c>
      <c r="L65" s="3">
        <v>97.15</v>
      </c>
      <c r="M65" s="3">
        <v>10.1</v>
      </c>
      <c r="N65" t="s">
        <v>20</v>
      </c>
      <c r="O65" s="3"/>
      <c r="P65" s="3"/>
    </row>
    <row r="66" spans="1:16" x14ac:dyDescent="0.3">
      <c r="A66" t="s">
        <v>277</v>
      </c>
      <c r="B66" s="9" t="s">
        <v>278</v>
      </c>
      <c r="C66" s="20" t="str">
        <f t="shared" ref="C66:C129" si="1">TEXT(B:B, "mmm")</f>
        <v>Jul</v>
      </c>
      <c r="D66" t="s">
        <v>279</v>
      </c>
      <c r="E66" s="10" t="s">
        <v>280</v>
      </c>
      <c r="F66" t="s">
        <v>17</v>
      </c>
      <c r="G66" t="s">
        <v>89</v>
      </c>
      <c r="H66" t="s">
        <v>131</v>
      </c>
      <c r="I66">
        <v>5</v>
      </c>
      <c r="J66" s="3">
        <v>149.56</v>
      </c>
      <c r="K66" s="2">
        <v>0.05</v>
      </c>
      <c r="L66" s="3">
        <v>710.41</v>
      </c>
      <c r="M66" s="3">
        <v>157.75</v>
      </c>
      <c r="N66" t="s">
        <v>40</v>
      </c>
      <c r="O66" s="3"/>
      <c r="P66" s="3"/>
    </row>
    <row r="67" spans="1:16" x14ac:dyDescent="0.3">
      <c r="A67" t="s">
        <v>281</v>
      </c>
      <c r="B67" s="9" t="s">
        <v>282</v>
      </c>
      <c r="C67" s="20" t="str">
        <f t="shared" si="1"/>
        <v>Mar</v>
      </c>
      <c r="D67" t="s">
        <v>283</v>
      </c>
      <c r="E67" s="10" t="s">
        <v>284</v>
      </c>
      <c r="F67" t="s">
        <v>59</v>
      </c>
      <c r="G67" t="s">
        <v>33</v>
      </c>
      <c r="H67" t="s">
        <v>74</v>
      </c>
      <c r="I67">
        <v>5</v>
      </c>
      <c r="J67" s="3">
        <v>103.49</v>
      </c>
      <c r="K67" s="2">
        <v>0.15</v>
      </c>
      <c r="L67" s="3">
        <v>439.83</v>
      </c>
      <c r="M67" s="3">
        <v>53.17</v>
      </c>
      <c r="N67" t="s">
        <v>40</v>
      </c>
      <c r="O67" s="3"/>
      <c r="P67" s="3"/>
    </row>
    <row r="68" spans="1:16" x14ac:dyDescent="0.3">
      <c r="A68" t="s">
        <v>285</v>
      </c>
      <c r="B68" s="9" t="s">
        <v>286</v>
      </c>
      <c r="C68" s="20" t="str">
        <f t="shared" si="1"/>
        <v>Mar</v>
      </c>
      <c r="D68" t="s">
        <v>287</v>
      </c>
      <c r="E68" s="10" t="s">
        <v>288</v>
      </c>
      <c r="F68" t="s">
        <v>32</v>
      </c>
      <c r="G68" t="s">
        <v>89</v>
      </c>
      <c r="H68" t="s">
        <v>150</v>
      </c>
      <c r="I68">
        <v>7</v>
      </c>
      <c r="J68" s="3">
        <v>176.01</v>
      </c>
      <c r="K68" s="2">
        <v>0.15</v>
      </c>
      <c r="L68" s="3">
        <v>1047.26</v>
      </c>
      <c r="M68" s="3">
        <v>181.57</v>
      </c>
      <c r="N68" t="s">
        <v>40</v>
      </c>
      <c r="O68" s="3"/>
      <c r="P68" s="3"/>
    </row>
    <row r="69" spans="1:16" x14ac:dyDescent="0.3">
      <c r="A69" t="s">
        <v>289</v>
      </c>
      <c r="B69" s="9" t="s">
        <v>290</v>
      </c>
      <c r="C69" s="20" t="str">
        <f t="shared" si="1"/>
        <v>Jul</v>
      </c>
      <c r="D69" t="s">
        <v>291</v>
      </c>
      <c r="E69" s="10" t="s">
        <v>292</v>
      </c>
      <c r="F69" t="s">
        <v>17</v>
      </c>
      <c r="G69" t="s">
        <v>33</v>
      </c>
      <c r="H69" t="s">
        <v>74</v>
      </c>
      <c r="I69">
        <v>8</v>
      </c>
      <c r="J69" s="3">
        <v>122.47</v>
      </c>
      <c r="K69" s="2">
        <v>0.05</v>
      </c>
      <c r="L69" s="3">
        <v>930.77</v>
      </c>
      <c r="M69" s="3">
        <v>172.42</v>
      </c>
      <c r="N69" t="s">
        <v>20</v>
      </c>
      <c r="O69" s="3"/>
      <c r="P69" s="3"/>
    </row>
    <row r="70" spans="1:16" x14ac:dyDescent="0.3">
      <c r="A70" t="s">
        <v>293</v>
      </c>
      <c r="B70" s="9" t="s">
        <v>294</v>
      </c>
      <c r="C70" s="20" t="str">
        <f t="shared" si="1"/>
        <v>Sep</v>
      </c>
      <c r="D70" t="s">
        <v>295</v>
      </c>
      <c r="E70" s="10" t="s">
        <v>296</v>
      </c>
      <c r="F70" t="s">
        <v>25</v>
      </c>
      <c r="G70" t="s">
        <v>33</v>
      </c>
      <c r="H70" t="s">
        <v>74</v>
      </c>
      <c r="I70">
        <v>2</v>
      </c>
      <c r="J70" s="3">
        <v>145.34</v>
      </c>
      <c r="K70" s="2">
        <v>0.05</v>
      </c>
      <c r="L70" s="3">
        <v>276.14999999999998</v>
      </c>
      <c r="M70" s="3">
        <v>49.8</v>
      </c>
      <c r="N70" t="s">
        <v>40</v>
      </c>
      <c r="O70" s="3"/>
      <c r="P70" s="3"/>
    </row>
    <row r="71" spans="1:16" x14ac:dyDescent="0.3">
      <c r="A71" t="s">
        <v>297</v>
      </c>
      <c r="B71" s="9" t="s">
        <v>298</v>
      </c>
      <c r="C71" s="20" t="str">
        <f t="shared" si="1"/>
        <v>Jul</v>
      </c>
      <c r="D71" t="s">
        <v>299</v>
      </c>
      <c r="E71" s="10" t="s">
        <v>300</v>
      </c>
      <c r="F71" t="s">
        <v>32</v>
      </c>
      <c r="G71" t="s">
        <v>33</v>
      </c>
      <c r="H71" t="s">
        <v>74</v>
      </c>
      <c r="I71">
        <v>5</v>
      </c>
      <c r="J71" s="3">
        <v>198.92</v>
      </c>
      <c r="K71" s="2">
        <v>0.1</v>
      </c>
      <c r="L71" s="3">
        <v>895.14</v>
      </c>
      <c r="M71" s="3">
        <v>169.64</v>
      </c>
      <c r="N71" t="s">
        <v>40</v>
      </c>
      <c r="O71" s="3"/>
      <c r="P71" s="3"/>
    </row>
    <row r="72" spans="1:16" x14ac:dyDescent="0.3">
      <c r="A72" t="s">
        <v>301</v>
      </c>
      <c r="B72" s="9" t="s">
        <v>302</v>
      </c>
      <c r="C72" s="20" t="str">
        <f t="shared" si="1"/>
        <v>Oct</v>
      </c>
      <c r="D72" t="s">
        <v>303</v>
      </c>
      <c r="E72" s="10" t="s">
        <v>304</v>
      </c>
      <c r="F72" t="s">
        <v>32</v>
      </c>
      <c r="G72" t="s">
        <v>26</v>
      </c>
      <c r="H72" t="s">
        <v>118</v>
      </c>
      <c r="I72">
        <v>8</v>
      </c>
      <c r="J72" s="3">
        <v>233.12</v>
      </c>
      <c r="K72" s="2">
        <v>0.15</v>
      </c>
      <c r="L72" s="3">
        <v>1585.22</v>
      </c>
      <c r="M72" s="3">
        <v>466.67</v>
      </c>
      <c r="N72" t="s">
        <v>35</v>
      </c>
      <c r="O72" s="3"/>
      <c r="P72" s="3"/>
    </row>
    <row r="73" spans="1:16" x14ac:dyDescent="0.3">
      <c r="A73" t="s">
        <v>305</v>
      </c>
      <c r="B73" s="9" t="s">
        <v>306</v>
      </c>
      <c r="C73" s="20" t="str">
        <f t="shared" si="1"/>
        <v>Jul</v>
      </c>
      <c r="D73" t="s">
        <v>307</v>
      </c>
      <c r="E73" s="10" t="s">
        <v>244</v>
      </c>
      <c r="F73" t="s">
        <v>32</v>
      </c>
      <c r="G73" t="s">
        <v>33</v>
      </c>
      <c r="H73" t="s">
        <v>74</v>
      </c>
      <c r="I73">
        <v>2</v>
      </c>
      <c r="J73" s="3">
        <v>101.49</v>
      </c>
      <c r="K73" s="2">
        <v>0.05</v>
      </c>
      <c r="L73" s="3">
        <v>192.83</v>
      </c>
      <c r="M73" s="3">
        <v>30.7</v>
      </c>
      <c r="N73" t="s">
        <v>35</v>
      </c>
      <c r="O73" s="3"/>
      <c r="P73" s="3"/>
    </row>
    <row r="74" spans="1:16" x14ac:dyDescent="0.3">
      <c r="A74" t="s">
        <v>312</v>
      </c>
      <c r="B74" s="9" t="s">
        <v>313</v>
      </c>
      <c r="C74" s="20" t="str">
        <f t="shared" si="1"/>
        <v>Aug</v>
      </c>
      <c r="D74" t="s">
        <v>314</v>
      </c>
      <c r="E74" s="10" t="s">
        <v>315</v>
      </c>
      <c r="F74" t="s">
        <v>64</v>
      </c>
      <c r="G74" t="s">
        <v>89</v>
      </c>
      <c r="H74" t="s">
        <v>90</v>
      </c>
      <c r="I74">
        <v>8</v>
      </c>
      <c r="J74" s="3">
        <v>121.12</v>
      </c>
      <c r="K74" s="2">
        <v>0.05</v>
      </c>
      <c r="L74" s="3">
        <v>920.51</v>
      </c>
      <c r="M74" s="3">
        <v>257</v>
      </c>
      <c r="N74" t="s">
        <v>40</v>
      </c>
      <c r="O74" s="3"/>
      <c r="P74" s="3"/>
    </row>
    <row r="75" spans="1:16" x14ac:dyDescent="0.3">
      <c r="A75" t="s">
        <v>316</v>
      </c>
      <c r="B75" s="9" t="s">
        <v>317</v>
      </c>
      <c r="C75" s="20" t="str">
        <f t="shared" si="1"/>
        <v>May</v>
      </c>
      <c r="D75" t="s">
        <v>318</v>
      </c>
      <c r="E75" s="10" t="s">
        <v>254</v>
      </c>
      <c r="F75" t="s">
        <v>17</v>
      </c>
      <c r="G75" t="s">
        <v>26</v>
      </c>
      <c r="H75" t="s">
        <v>27</v>
      </c>
      <c r="I75">
        <v>1</v>
      </c>
      <c r="J75" s="3">
        <v>150.55000000000001</v>
      </c>
      <c r="K75" s="2">
        <v>0.1</v>
      </c>
      <c r="L75" s="3">
        <v>135.5</v>
      </c>
      <c r="M75" s="3">
        <v>21.02</v>
      </c>
      <c r="N75" t="s">
        <v>20</v>
      </c>
      <c r="O75" s="3"/>
      <c r="P75" s="3"/>
    </row>
    <row r="76" spans="1:16" x14ac:dyDescent="0.3">
      <c r="A76" t="s">
        <v>319</v>
      </c>
      <c r="B76" s="9" t="s">
        <v>320</v>
      </c>
      <c r="C76" s="20" t="str">
        <f t="shared" si="1"/>
        <v>Jun</v>
      </c>
      <c r="D76" t="s">
        <v>321</v>
      </c>
      <c r="E76" s="10" t="s">
        <v>322</v>
      </c>
      <c r="F76" t="s">
        <v>64</v>
      </c>
      <c r="G76" t="s">
        <v>26</v>
      </c>
      <c r="H76" t="s">
        <v>118</v>
      </c>
      <c r="I76">
        <v>4</v>
      </c>
      <c r="J76" s="3">
        <v>117.05</v>
      </c>
      <c r="K76" s="2">
        <v>0.1</v>
      </c>
      <c r="L76" s="3">
        <v>421.38</v>
      </c>
      <c r="M76" s="3">
        <v>125.57</v>
      </c>
      <c r="N76" t="s">
        <v>20</v>
      </c>
      <c r="O76" s="3"/>
      <c r="P76" s="3"/>
    </row>
    <row r="77" spans="1:16" x14ac:dyDescent="0.3">
      <c r="A77" t="s">
        <v>323</v>
      </c>
      <c r="B77" s="9" t="s">
        <v>324</v>
      </c>
      <c r="C77" s="20" t="str">
        <f t="shared" si="1"/>
        <v>Jan</v>
      </c>
      <c r="D77" t="s">
        <v>57</v>
      </c>
      <c r="E77" s="10" t="s">
        <v>325</v>
      </c>
      <c r="F77" t="s">
        <v>25</v>
      </c>
      <c r="G77" t="s">
        <v>89</v>
      </c>
      <c r="H77" t="s">
        <v>131</v>
      </c>
      <c r="I77">
        <v>6</v>
      </c>
      <c r="J77" s="3">
        <v>211.62</v>
      </c>
      <c r="K77" s="2">
        <v>0.15</v>
      </c>
      <c r="L77" s="3">
        <v>1079.26</v>
      </c>
      <c r="M77" s="3">
        <v>268.85000000000002</v>
      </c>
      <c r="N77" t="s">
        <v>20</v>
      </c>
      <c r="O77" s="3"/>
      <c r="P77" s="3"/>
    </row>
    <row r="78" spans="1:16" x14ac:dyDescent="0.3">
      <c r="A78" t="s">
        <v>326</v>
      </c>
      <c r="B78" s="9" t="s">
        <v>327</v>
      </c>
      <c r="C78" s="20" t="str">
        <f t="shared" si="1"/>
        <v>Sep</v>
      </c>
      <c r="D78" t="s">
        <v>328</v>
      </c>
      <c r="E78" s="10" t="s">
        <v>329</v>
      </c>
      <c r="F78" t="s">
        <v>25</v>
      </c>
      <c r="G78" t="s">
        <v>26</v>
      </c>
      <c r="H78" t="s">
        <v>27</v>
      </c>
      <c r="I78">
        <v>7</v>
      </c>
      <c r="J78" s="3">
        <v>24.54</v>
      </c>
      <c r="K78" s="2">
        <v>0.05</v>
      </c>
      <c r="L78" s="3">
        <v>163.19</v>
      </c>
      <c r="M78" s="3">
        <v>22.12</v>
      </c>
      <c r="N78" t="s">
        <v>35</v>
      </c>
      <c r="O78" s="3"/>
      <c r="P78" s="3"/>
    </row>
    <row r="79" spans="1:16" x14ac:dyDescent="0.3">
      <c r="A79" t="s">
        <v>330</v>
      </c>
      <c r="B79" s="9" t="s">
        <v>331</v>
      </c>
      <c r="C79" s="20" t="str">
        <f t="shared" si="1"/>
        <v>Nov</v>
      </c>
      <c r="D79" t="s">
        <v>332</v>
      </c>
      <c r="E79" s="10" t="s">
        <v>333</v>
      </c>
      <c r="F79" t="s">
        <v>64</v>
      </c>
      <c r="G79" t="s">
        <v>89</v>
      </c>
      <c r="H79" t="s">
        <v>150</v>
      </c>
      <c r="I79">
        <v>2</v>
      </c>
      <c r="J79" s="3">
        <v>11</v>
      </c>
      <c r="K79" s="2">
        <v>0.1</v>
      </c>
      <c r="L79" s="3">
        <v>19.8</v>
      </c>
      <c r="M79" s="3">
        <v>3.03</v>
      </c>
      <c r="N79" t="s">
        <v>20</v>
      </c>
      <c r="O79" s="3"/>
      <c r="P79" s="3"/>
    </row>
    <row r="80" spans="1:16" x14ac:dyDescent="0.3">
      <c r="A80" t="s">
        <v>334</v>
      </c>
      <c r="B80" s="9" t="s">
        <v>335</v>
      </c>
      <c r="C80" s="20" t="str">
        <f t="shared" si="1"/>
        <v>Oct</v>
      </c>
      <c r="D80" t="s">
        <v>43</v>
      </c>
      <c r="E80" s="10" t="s">
        <v>336</v>
      </c>
      <c r="F80" t="s">
        <v>59</v>
      </c>
      <c r="G80" t="s">
        <v>33</v>
      </c>
      <c r="H80" t="s">
        <v>50</v>
      </c>
      <c r="I80">
        <v>6</v>
      </c>
      <c r="J80" s="3">
        <v>104.45</v>
      </c>
      <c r="K80" s="2">
        <v>0.1</v>
      </c>
      <c r="L80" s="3">
        <v>564.03</v>
      </c>
      <c r="M80" s="3">
        <v>55.76</v>
      </c>
      <c r="N80" t="s">
        <v>40</v>
      </c>
      <c r="O80" s="3"/>
      <c r="P80" s="3"/>
    </row>
    <row r="81" spans="1:16" x14ac:dyDescent="0.3">
      <c r="A81" t="s">
        <v>337</v>
      </c>
      <c r="B81" s="9" t="s">
        <v>338</v>
      </c>
      <c r="C81" s="20" t="str">
        <f t="shared" si="1"/>
        <v>Dec</v>
      </c>
      <c r="D81" t="s">
        <v>339</v>
      </c>
      <c r="E81" s="10" t="s">
        <v>102</v>
      </c>
      <c r="F81" t="s">
        <v>59</v>
      </c>
      <c r="G81" t="s">
        <v>33</v>
      </c>
      <c r="H81" t="s">
        <v>34</v>
      </c>
      <c r="I81">
        <v>8</v>
      </c>
      <c r="J81" s="3">
        <v>177.4</v>
      </c>
      <c r="K81" s="2">
        <v>0.1</v>
      </c>
      <c r="L81" s="3">
        <v>1277.28</v>
      </c>
      <c r="M81" s="3">
        <v>286.76</v>
      </c>
      <c r="N81" t="s">
        <v>40</v>
      </c>
      <c r="O81" s="3"/>
      <c r="P81" s="3"/>
    </row>
    <row r="82" spans="1:16" x14ac:dyDescent="0.3">
      <c r="A82" t="s">
        <v>340</v>
      </c>
      <c r="B82" s="9" t="s">
        <v>341</v>
      </c>
      <c r="C82" s="20" t="str">
        <f t="shared" si="1"/>
        <v>Jul</v>
      </c>
      <c r="D82" t="s">
        <v>342</v>
      </c>
      <c r="E82" s="10" t="s">
        <v>343</v>
      </c>
      <c r="F82" t="s">
        <v>17</v>
      </c>
      <c r="G82" t="s">
        <v>26</v>
      </c>
      <c r="H82" t="s">
        <v>27</v>
      </c>
      <c r="I82">
        <v>7</v>
      </c>
      <c r="J82" s="3">
        <v>216.31</v>
      </c>
      <c r="K82" s="2">
        <v>0.1</v>
      </c>
      <c r="L82" s="3">
        <v>1362.75</v>
      </c>
      <c r="M82" s="3">
        <v>186.9</v>
      </c>
      <c r="N82" t="s">
        <v>40</v>
      </c>
      <c r="O82" s="3"/>
      <c r="P82" s="3"/>
    </row>
    <row r="83" spans="1:16" x14ac:dyDescent="0.3">
      <c r="A83" t="s">
        <v>344</v>
      </c>
      <c r="B83" s="9" t="s">
        <v>345</v>
      </c>
      <c r="C83" s="20" t="str">
        <f t="shared" si="1"/>
        <v>Apr</v>
      </c>
      <c r="D83" t="s">
        <v>346</v>
      </c>
      <c r="E83" s="10" t="s">
        <v>347</v>
      </c>
      <c r="F83" t="s">
        <v>59</v>
      </c>
      <c r="G83" t="s">
        <v>18</v>
      </c>
      <c r="H83" t="s">
        <v>19</v>
      </c>
      <c r="I83">
        <v>3</v>
      </c>
      <c r="J83" s="3">
        <v>12.21</v>
      </c>
      <c r="K83" s="2">
        <v>0.05</v>
      </c>
      <c r="L83" s="3">
        <v>34.799999999999997</v>
      </c>
      <c r="M83" s="3">
        <v>4.46</v>
      </c>
      <c r="N83" t="s">
        <v>20</v>
      </c>
      <c r="O83" s="3"/>
      <c r="P83" s="3"/>
    </row>
    <row r="84" spans="1:16" x14ac:dyDescent="0.3">
      <c r="A84" t="s">
        <v>352</v>
      </c>
      <c r="B84" s="9" t="s">
        <v>298</v>
      </c>
      <c r="C84" s="20" t="str">
        <f t="shared" si="1"/>
        <v>Jul</v>
      </c>
      <c r="D84" t="s">
        <v>353</v>
      </c>
      <c r="E84" s="10" t="s">
        <v>153</v>
      </c>
      <c r="F84" t="s">
        <v>32</v>
      </c>
      <c r="G84" t="s">
        <v>26</v>
      </c>
      <c r="H84" t="s">
        <v>118</v>
      </c>
      <c r="I84">
        <v>2</v>
      </c>
      <c r="J84" s="3">
        <v>228.82</v>
      </c>
      <c r="K84" s="2">
        <v>0.1</v>
      </c>
      <c r="L84" s="3">
        <v>411.88</v>
      </c>
      <c r="M84" s="3">
        <v>74.62</v>
      </c>
      <c r="N84" t="s">
        <v>20</v>
      </c>
      <c r="O84" s="3"/>
      <c r="P84" s="3"/>
    </row>
    <row r="85" spans="1:16" x14ac:dyDescent="0.3">
      <c r="A85" t="s">
        <v>354</v>
      </c>
      <c r="B85" s="9" t="s">
        <v>355</v>
      </c>
      <c r="C85" s="20" t="str">
        <f t="shared" si="1"/>
        <v>Jan</v>
      </c>
      <c r="D85" t="s">
        <v>356</v>
      </c>
      <c r="E85" s="10" t="s">
        <v>357</v>
      </c>
      <c r="F85" t="s">
        <v>32</v>
      </c>
      <c r="G85" t="s">
        <v>26</v>
      </c>
      <c r="H85" t="s">
        <v>27</v>
      </c>
      <c r="I85">
        <v>4</v>
      </c>
      <c r="J85" s="3">
        <v>151.41999999999999</v>
      </c>
      <c r="K85" s="2">
        <v>0.15</v>
      </c>
      <c r="L85" s="3">
        <v>514.83000000000004</v>
      </c>
      <c r="M85" s="3">
        <v>114.62</v>
      </c>
      <c r="N85" t="s">
        <v>35</v>
      </c>
      <c r="O85" s="3"/>
      <c r="P85" s="3"/>
    </row>
    <row r="86" spans="1:16" x14ac:dyDescent="0.3">
      <c r="A86" t="s">
        <v>358</v>
      </c>
      <c r="B86" s="9" t="s">
        <v>359</v>
      </c>
      <c r="C86" s="20" t="str">
        <f t="shared" si="1"/>
        <v>Aug</v>
      </c>
      <c r="D86" t="s">
        <v>125</v>
      </c>
      <c r="E86" s="10" t="s">
        <v>360</v>
      </c>
      <c r="F86" t="s">
        <v>25</v>
      </c>
      <c r="G86" t="s">
        <v>26</v>
      </c>
      <c r="H86" t="s">
        <v>84</v>
      </c>
      <c r="I86">
        <v>2</v>
      </c>
      <c r="J86" s="3">
        <v>146.01</v>
      </c>
      <c r="K86" s="2">
        <v>0</v>
      </c>
      <c r="L86" s="3">
        <v>292.02</v>
      </c>
      <c r="M86" s="3">
        <v>42.13</v>
      </c>
      <c r="N86" t="s">
        <v>40</v>
      </c>
      <c r="O86" s="3"/>
      <c r="P86" s="3"/>
    </row>
    <row r="87" spans="1:16" x14ac:dyDescent="0.3">
      <c r="A87" t="s">
        <v>361</v>
      </c>
      <c r="B87" s="9" t="s">
        <v>362</v>
      </c>
      <c r="C87" s="20" t="str">
        <f t="shared" si="1"/>
        <v>Jun</v>
      </c>
      <c r="D87" t="s">
        <v>164</v>
      </c>
      <c r="E87" s="10" t="s">
        <v>363</v>
      </c>
      <c r="F87" t="s">
        <v>25</v>
      </c>
      <c r="G87" t="s">
        <v>89</v>
      </c>
      <c r="H87" t="s">
        <v>90</v>
      </c>
      <c r="I87">
        <v>1</v>
      </c>
      <c r="J87" s="3">
        <v>77.010000000000005</v>
      </c>
      <c r="K87" s="2">
        <v>0.15</v>
      </c>
      <c r="L87" s="3">
        <v>65.459999999999994</v>
      </c>
      <c r="M87" s="3">
        <v>17.170000000000002</v>
      </c>
      <c r="N87" t="s">
        <v>40</v>
      </c>
      <c r="O87" s="3"/>
      <c r="P87" s="3"/>
    </row>
    <row r="88" spans="1:16" x14ac:dyDescent="0.3">
      <c r="A88" t="s">
        <v>364</v>
      </c>
      <c r="B88" s="9" t="s">
        <v>365</v>
      </c>
      <c r="C88" s="20" t="str">
        <f t="shared" si="1"/>
        <v>Nov</v>
      </c>
      <c r="D88" t="s">
        <v>366</v>
      </c>
      <c r="E88" s="10" t="s">
        <v>172</v>
      </c>
      <c r="F88" t="s">
        <v>25</v>
      </c>
      <c r="G88" t="s">
        <v>89</v>
      </c>
      <c r="H88" t="s">
        <v>90</v>
      </c>
      <c r="I88">
        <v>8</v>
      </c>
      <c r="J88" s="3">
        <v>123.65</v>
      </c>
      <c r="K88" s="2">
        <v>0.05</v>
      </c>
      <c r="L88" s="3">
        <v>939.74</v>
      </c>
      <c r="M88" s="3">
        <v>114.77</v>
      </c>
      <c r="N88" t="s">
        <v>20</v>
      </c>
      <c r="O88" s="3"/>
      <c r="P88" s="3"/>
    </row>
    <row r="89" spans="1:16" x14ac:dyDescent="0.3">
      <c r="A89" t="s">
        <v>367</v>
      </c>
      <c r="B89" s="9" t="s">
        <v>368</v>
      </c>
      <c r="C89" s="20" t="str">
        <f t="shared" si="1"/>
        <v>Jul</v>
      </c>
      <c r="D89" t="s">
        <v>369</v>
      </c>
      <c r="E89" s="10" t="s">
        <v>83</v>
      </c>
      <c r="F89" t="s">
        <v>64</v>
      </c>
      <c r="G89" t="s">
        <v>26</v>
      </c>
      <c r="H89" t="s">
        <v>84</v>
      </c>
      <c r="I89">
        <v>2</v>
      </c>
      <c r="J89" s="3">
        <v>73.59</v>
      </c>
      <c r="K89" s="2">
        <v>0.15</v>
      </c>
      <c r="L89" s="3">
        <v>125.1</v>
      </c>
      <c r="M89" s="3">
        <v>23.01</v>
      </c>
      <c r="N89" t="s">
        <v>35</v>
      </c>
      <c r="O89" s="3"/>
      <c r="P89" s="3"/>
    </row>
    <row r="90" spans="1:16" x14ac:dyDescent="0.3">
      <c r="A90" t="s">
        <v>370</v>
      </c>
      <c r="B90" s="9" t="s">
        <v>371</v>
      </c>
      <c r="C90" s="20" t="str">
        <f t="shared" si="1"/>
        <v>Aug</v>
      </c>
      <c r="D90" t="s">
        <v>372</v>
      </c>
      <c r="E90" s="10" t="s">
        <v>373</v>
      </c>
      <c r="F90" t="s">
        <v>17</v>
      </c>
      <c r="G90" t="s">
        <v>18</v>
      </c>
      <c r="H90" t="s">
        <v>79</v>
      </c>
      <c r="I90">
        <v>8</v>
      </c>
      <c r="J90" s="3">
        <v>55.18</v>
      </c>
      <c r="K90" s="2">
        <v>0.05</v>
      </c>
      <c r="L90" s="3">
        <v>419.37</v>
      </c>
      <c r="M90" s="3">
        <v>78.2</v>
      </c>
      <c r="N90" t="s">
        <v>40</v>
      </c>
      <c r="O90" s="3"/>
      <c r="P90" s="3"/>
    </row>
    <row r="91" spans="1:16" x14ac:dyDescent="0.3">
      <c r="A91" t="s">
        <v>374</v>
      </c>
      <c r="B91" s="9" t="s">
        <v>278</v>
      </c>
      <c r="C91" s="20" t="str">
        <f t="shared" si="1"/>
        <v>Jul</v>
      </c>
      <c r="D91" t="s">
        <v>375</v>
      </c>
      <c r="E91" s="10" t="s">
        <v>376</v>
      </c>
      <c r="F91" t="s">
        <v>17</v>
      </c>
      <c r="G91" t="s">
        <v>18</v>
      </c>
      <c r="H91" t="s">
        <v>79</v>
      </c>
      <c r="I91">
        <v>1</v>
      </c>
      <c r="J91" s="3">
        <v>97.76</v>
      </c>
      <c r="K91" s="2">
        <v>0.15</v>
      </c>
      <c r="L91" s="3">
        <v>83.1</v>
      </c>
      <c r="M91" s="3">
        <v>21.82</v>
      </c>
      <c r="N91" t="s">
        <v>35</v>
      </c>
      <c r="O91" s="3"/>
      <c r="P91" s="3"/>
    </row>
    <row r="92" spans="1:16" x14ac:dyDescent="0.3">
      <c r="A92" t="s">
        <v>377</v>
      </c>
      <c r="B92" s="9" t="s">
        <v>378</v>
      </c>
      <c r="C92" s="20" t="str">
        <f t="shared" si="1"/>
        <v>Mar</v>
      </c>
      <c r="D92" t="s">
        <v>379</v>
      </c>
      <c r="E92" s="10" t="s">
        <v>380</v>
      </c>
      <c r="F92" t="s">
        <v>17</v>
      </c>
      <c r="G92" t="s">
        <v>33</v>
      </c>
      <c r="H92" t="s">
        <v>69</v>
      </c>
      <c r="I92">
        <v>8</v>
      </c>
      <c r="J92" s="3">
        <v>173.25</v>
      </c>
      <c r="K92" s="2">
        <v>0</v>
      </c>
      <c r="L92" s="3">
        <v>1386</v>
      </c>
      <c r="M92" s="3">
        <v>395.31</v>
      </c>
      <c r="N92" t="s">
        <v>40</v>
      </c>
      <c r="O92" s="3"/>
      <c r="P92" s="3"/>
    </row>
    <row r="93" spans="1:16" x14ac:dyDescent="0.3">
      <c r="A93" t="s">
        <v>381</v>
      </c>
      <c r="B93" s="9" t="s">
        <v>86</v>
      </c>
      <c r="C93" s="20" t="str">
        <f t="shared" si="1"/>
        <v>Feb</v>
      </c>
      <c r="D93" t="s">
        <v>382</v>
      </c>
      <c r="E93" s="10" t="s">
        <v>383</v>
      </c>
      <c r="F93" t="s">
        <v>17</v>
      </c>
      <c r="G93" t="s">
        <v>33</v>
      </c>
      <c r="H93" t="s">
        <v>74</v>
      </c>
      <c r="I93">
        <v>2</v>
      </c>
      <c r="J93" s="3">
        <v>166.95</v>
      </c>
      <c r="K93" s="2">
        <v>0.1</v>
      </c>
      <c r="L93" s="3">
        <v>300.51</v>
      </c>
      <c r="M93" s="3">
        <v>80.84</v>
      </c>
      <c r="N93" t="s">
        <v>20</v>
      </c>
      <c r="O93" s="3"/>
      <c r="P93" s="3"/>
    </row>
    <row r="94" spans="1:16" x14ac:dyDescent="0.3">
      <c r="A94" t="s">
        <v>384</v>
      </c>
      <c r="B94" s="9" t="s">
        <v>385</v>
      </c>
      <c r="C94" s="20" t="str">
        <f t="shared" si="1"/>
        <v>Aug</v>
      </c>
      <c r="D94" t="s">
        <v>386</v>
      </c>
      <c r="E94" s="10" t="s">
        <v>186</v>
      </c>
      <c r="F94" t="s">
        <v>25</v>
      </c>
      <c r="G94" t="s">
        <v>89</v>
      </c>
      <c r="H94" t="s">
        <v>90</v>
      </c>
      <c r="I94">
        <v>7</v>
      </c>
      <c r="J94" s="3">
        <v>67.459999999999994</v>
      </c>
      <c r="K94" s="2">
        <v>0</v>
      </c>
      <c r="L94" s="3">
        <v>472.22</v>
      </c>
      <c r="M94" s="3">
        <v>53.28</v>
      </c>
      <c r="N94" t="s">
        <v>35</v>
      </c>
      <c r="O94" s="3"/>
      <c r="P94" s="3"/>
    </row>
    <row r="95" spans="1:16" x14ac:dyDescent="0.3">
      <c r="A95" t="s">
        <v>387</v>
      </c>
      <c r="B95" s="9" t="s">
        <v>388</v>
      </c>
      <c r="C95" s="20" t="str">
        <f t="shared" si="1"/>
        <v>Aug</v>
      </c>
      <c r="D95" t="s">
        <v>389</v>
      </c>
      <c r="E95" s="10" t="s">
        <v>390</v>
      </c>
      <c r="F95" t="s">
        <v>64</v>
      </c>
      <c r="G95" t="s">
        <v>33</v>
      </c>
      <c r="H95" t="s">
        <v>50</v>
      </c>
      <c r="I95">
        <v>5</v>
      </c>
      <c r="J95" s="3">
        <v>87.37</v>
      </c>
      <c r="K95" s="2">
        <v>0</v>
      </c>
      <c r="L95" s="3">
        <v>436.85</v>
      </c>
      <c r="M95" s="3">
        <v>72.94</v>
      </c>
      <c r="N95" t="s">
        <v>40</v>
      </c>
      <c r="O95" s="3"/>
      <c r="P95" s="3"/>
    </row>
    <row r="96" spans="1:16" x14ac:dyDescent="0.3">
      <c r="A96" t="s">
        <v>391</v>
      </c>
      <c r="B96" s="9" t="s">
        <v>392</v>
      </c>
      <c r="C96" s="20" t="str">
        <f t="shared" si="1"/>
        <v>Jan</v>
      </c>
      <c r="D96" t="s">
        <v>393</v>
      </c>
      <c r="E96" s="10" t="s">
        <v>394</v>
      </c>
      <c r="F96" t="s">
        <v>59</v>
      </c>
      <c r="G96" t="s">
        <v>26</v>
      </c>
      <c r="H96" t="s">
        <v>118</v>
      </c>
      <c r="I96">
        <v>6</v>
      </c>
      <c r="J96" s="3">
        <v>14.18</v>
      </c>
      <c r="K96" s="2">
        <v>0</v>
      </c>
      <c r="L96" s="3">
        <v>85.08</v>
      </c>
      <c r="M96" s="3">
        <v>21.28</v>
      </c>
      <c r="N96" t="s">
        <v>35</v>
      </c>
      <c r="O96" s="3"/>
      <c r="P96" s="3"/>
    </row>
    <row r="97" spans="1:16" x14ac:dyDescent="0.3">
      <c r="A97" t="s">
        <v>395</v>
      </c>
      <c r="B97" s="9" t="s">
        <v>396</v>
      </c>
      <c r="C97" s="20" t="str">
        <f t="shared" si="1"/>
        <v>May</v>
      </c>
      <c r="D97" t="s">
        <v>397</v>
      </c>
      <c r="E97" s="10" t="s">
        <v>398</v>
      </c>
      <c r="F97" t="s">
        <v>25</v>
      </c>
      <c r="G97" t="s">
        <v>33</v>
      </c>
      <c r="H97" t="s">
        <v>69</v>
      </c>
      <c r="I97">
        <v>6</v>
      </c>
      <c r="J97" s="3">
        <v>154.32</v>
      </c>
      <c r="K97" s="2">
        <v>0.15</v>
      </c>
      <c r="L97" s="3">
        <v>787.03</v>
      </c>
      <c r="M97" s="3">
        <v>70.14</v>
      </c>
      <c r="N97" t="s">
        <v>40</v>
      </c>
      <c r="O97" s="3"/>
      <c r="P97" s="3"/>
    </row>
    <row r="98" spans="1:16" x14ac:dyDescent="0.3">
      <c r="A98" t="s">
        <v>399</v>
      </c>
      <c r="B98" s="9" t="s">
        <v>400</v>
      </c>
      <c r="C98" s="20" t="str">
        <f t="shared" si="1"/>
        <v>Dec</v>
      </c>
      <c r="D98" t="s">
        <v>401</v>
      </c>
      <c r="E98" s="10" t="s">
        <v>402</v>
      </c>
      <c r="F98" t="s">
        <v>64</v>
      </c>
      <c r="G98" t="s">
        <v>18</v>
      </c>
      <c r="H98" t="s">
        <v>45</v>
      </c>
      <c r="I98">
        <v>6</v>
      </c>
      <c r="J98" s="3">
        <v>147.91999999999999</v>
      </c>
      <c r="K98" s="2">
        <v>0.05</v>
      </c>
      <c r="L98" s="3">
        <v>843.14</v>
      </c>
      <c r="M98" s="3">
        <v>88.94</v>
      </c>
      <c r="N98" t="s">
        <v>20</v>
      </c>
      <c r="O98" s="3"/>
      <c r="P98" s="3"/>
    </row>
    <row r="99" spans="1:16" x14ac:dyDescent="0.3">
      <c r="A99" t="s">
        <v>403</v>
      </c>
      <c r="B99" s="9" t="s">
        <v>404</v>
      </c>
      <c r="C99" s="20" t="str">
        <f t="shared" si="1"/>
        <v>Feb</v>
      </c>
      <c r="D99" t="s">
        <v>405</v>
      </c>
      <c r="E99" s="10" t="s">
        <v>406</v>
      </c>
      <c r="F99" t="s">
        <v>17</v>
      </c>
      <c r="G99" t="s">
        <v>33</v>
      </c>
      <c r="H99" t="s">
        <v>50</v>
      </c>
      <c r="I99">
        <v>1</v>
      </c>
      <c r="J99" s="3">
        <v>151.37</v>
      </c>
      <c r="K99" s="2">
        <v>0.1</v>
      </c>
      <c r="L99" s="3">
        <v>136.22999999999999</v>
      </c>
      <c r="M99" s="3">
        <v>17.47</v>
      </c>
      <c r="N99" t="s">
        <v>35</v>
      </c>
      <c r="O99" s="3"/>
      <c r="P99" s="3"/>
    </row>
    <row r="100" spans="1:16" x14ac:dyDescent="0.3">
      <c r="A100" t="s">
        <v>407</v>
      </c>
      <c r="B100" s="9" t="s">
        <v>408</v>
      </c>
      <c r="C100" s="20" t="str">
        <f t="shared" si="1"/>
        <v>Jun</v>
      </c>
      <c r="D100" t="s">
        <v>409</v>
      </c>
      <c r="E100" s="10" t="s">
        <v>410</v>
      </c>
      <c r="F100" t="s">
        <v>64</v>
      </c>
      <c r="G100" t="s">
        <v>89</v>
      </c>
      <c r="H100" t="s">
        <v>150</v>
      </c>
      <c r="I100">
        <v>8</v>
      </c>
      <c r="J100" s="3">
        <v>126.4</v>
      </c>
      <c r="K100" s="2">
        <v>0</v>
      </c>
      <c r="L100" s="3">
        <v>1011.2</v>
      </c>
      <c r="M100" s="3">
        <v>81.96</v>
      </c>
      <c r="N100" t="s">
        <v>20</v>
      </c>
      <c r="O100" s="3"/>
      <c r="P100" s="3"/>
    </row>
    <row r="101" spans="1:16" x14ac:dyDescent="0.3">
      <c r="A101" t="s">
        <v>411</v>
      </c>
      <c r="B101" s="9" t="s">
        <v>412</v>
      </c>
      <c r="C101" s="20" t="str">
        <f t="shared" si="1"/>
        <v>Feb</v>
      </c>
      <c r="D101" t="s">
        <v>413</v>
      </c>
      <c r="E101" s="10" t="s">
        <v>414</v>
      </c>
      <c r="F101" t="s">
        <v>59</v>
      </c>
      <c r="G101" t="s">
        <v>18</v>
      </c>
      <c r="H101" t="s">
        <v>45</v>
      </c>
      <c r="I101">
        <v>1</v>
      </c>
      <c r="J101" s="3">
        <v>203.83</v>
      </c>
      <c r="K101" s="2">
        <v>0.05</v>
      </c>
      <c r="L101" s="3">
        <v>193.64</v>
      </c>
      <c r="M101" s="3">
        <v>34.369999999999997</v>
      </c>
      <c r="N101" t="s">
        <v>35</v>
      </c>
      <c r="O101" s="3"/>
      <c r="P101" s="3"/>
    </row>
    <row r="102" spans="1:16" x14ac:dyDescent="0.3">
      <c r="A102" t="s">
        <v>415</v>
      </c>
      <c r="B102" s="9" t="s">
        <v>416</v>
      </c>
      <c r="C102" s="20" t="str">
        <f t="shared" si="1"/>
        <v>Nov</v>
      </c>
      <c r="D102" t="s">
        <v>417</v>
      </c>
      <c r="E102" s="10" t="s">
        <v>418</v>
      </c>
      <c r="F102" t="s">
        <v>25</v>
      </c>
      <c r="G102" t="s">
        <v>18</v>
      </c>
      <c r="H102" t="s">
        <v>19</v>
      </c>
      <c r="I102">
        <v>7</v>
      </c>
      <c r="J102" s="3">
        <v>203.37</v>
      </c>
      <c r="K102" s="2">
        <v>0.1</v>
      </c>
      <c r="L102" s="3">
        <v>1281.23</v>
      </c>
      <c r="M102" s="3">
        <v>129.99</v>
      </c>
      <c r="N102" t="s">
        <v>35</v>
      </c>
      <c r="O102" s="3"/>
      <c r="P102" s="3"/>
    </row>
    <row r="103" spans="1:16" x14ac:dyDescent="0.3">
      <c r="A103" t="s">
        <v>419</v>
      </c>
      <c r="B103" s="9" t="s">
        <v>420</v>
      </c>
      <c r="C103" s="20" t="str">
        <f t="shared" si="1"/>
        <v>Aug</v>
      </c>
      <c r="D103" t="s">
        <v>421</v>
      </c>
      <c r="E103" s="10" t="s">
        <v>98</v>
      </c>
      <c r="F103" t="s">
        <v>32</v>
      </c>
      <c r="G103" t="s">
        <v>89</v>
      </c>
      <c r="H103" t="s">
        <v>90</v>
      </c>
      <c r="I103">
        <v>5</v>
      </c>
      <c r="J103" s="3">
        <v>136.71</v>
      </c>
      <c r="K103" s="2">
        <v>0</v>
      </c>
      <c r="L103" s="3">
        <v>683.55</v>
      </c>
      <c r="M103" s="3">
        <v>197.62</v>
      </c>
      <c r="N103" t="s">
        <v>40</v>
      </c>
      <c r="O103" s="3"/>
      <c r="P103" s="3"/>
    </row>
    <row r="104" spans="1:16" x14ac:dyDescent="0.3">
      <c r="A104" t="s">
        <v>422</v>
      </c>
      <c r="B104" s="9" t="s">
        <v>423</v>
      </c>
      <c r="C104" s="20" t="str">
        <f t="shared" si="1"/>
        <v>Oct</v>
      </c>
      <c r="D104" t="s">
        <v>424</v>
      </c>
      <c r="E104" s="10" t="s">
        <v>425</v>
      </c>
      <c r="F104" t="s">
        <v>25</v>
      </c>
      <c r="G104" t="s">
        <v>26</v>
      </c>
      <c r="H104" t="s">
        <v>27</v>
      </c>
      <c r="I104">
        <v>1</v>
      </c>
      <c r="J104" s="3">
        <v>98.68</v>
      </c>
      <c r="K104" s="2">
        <v>0.1</v>
      </c>
      <c r="L104" s="3">
        <v>88.81</v>
      </c>
      <c r="M104" s="3">
        <v>16.66</v>
      </c>
      <c r="N104" t="s">
        <v>40</v>
      </c>
      <c r="O104" s="3"/>
      <c r="P104" s="3"/>
    </row>
    <row r="105" spans="1:16" x14ac:dyDescent="0.3">
      <c r="A105" t="s">
        <v>426</v>
      </c>
      <c r="B105" s="9" t="s">
        <v>278</v>
      </c>
      <c r="C105" s="20" t="str">
        <f t="shared" si="1"/>
        <v>Jul</v>
      </c>
      <c r="D105" t="s">
        <v>43</v>
      </c>
      <c r="E105" s="10" t="s">
        <v>427</v>
      </c>
      <c r="F105" t="s">
        <v>59</v>
      </c>
      <c r="G105" t="s">
        <v>18</v>
      </c>
      <c r="H105" t="s">
        <v>19</v>
      </c>
      <c r="I105">
        <v>2</v>
      </c>
      <c r="J105" s="3">
        <v>57.82</v>
      </c>
      <c r="K105" s="2">
        <v>0.05</v>
      </c>
      <c r="L105" s="3">
        <v>109.86</v>
      </c>
      <c r="M105" s="3">
        <v>17</v>
      </c>
      <c r="N105" t="s">
        <v>20</v>
      </c>
      <c r="O105" s="3"/>
      <c r="P105" s="3"/>
    </row>
    <row r="106" spans="1:16" x14ac:dyDescent="0.3">
      <c r="A106" t="s">
        <v>428</v>
      </c>
      <c r="B106" s="9" t="s">
        <v>335</v>
      </c>
      <c r="C106" s="20" t="str">
        <f t="shared" si="1"/>
        <v>Oct</v>
      </c>
      <c r="D106" t="s">
        <v>429</v>
      </c>
      <c r="E106" s="10" t="s">
        <v>430</v>
      </c>
      <c r="F106" t="s">
        <v>64</v>
      </c>
      <c r="G106" t="s">
        <v>89</v>
      </c>
      <c r="H106" t="s">
        <v>150</v>
      </c>
      <c r="I106">
        <v>5</v>
      </c>
      <c r="J106" s="3">
        <v>18.920000000000002</v>
      </c>
      <c r="K106" s="2">
        <v>0</v>
      </c>
      <c r="L106" s="3">
        <v>94.6</v>
      </c>
      <c r="M106" s="3">
        <v>26.47</v>
      </c>
      <c r="N106" t="s">
        <v>40</v>
      </c>
      <c r="O106" s="3"/>
      <c r="P106" s="3"/>
    </row>
    <row r="107" spans="1:16" x14ac:dyDescent="0.3">
      <c r="A107" t="s">
        <v>431</v>
      </c>
      <c r="B107" s="9" t="s">
        <v>432</v>
      </c>
      <c r="C107" s="20" t="str">
        <f t="shared" si="1"/>
        <v>Jul</v>
      </c>
      <c r="D107" t="s">
        <v>433</v>
      </c>
      <c r="E107" s="10" t="s">
        <v>434</v>
      </c>
      <c r="F107" t="s">
        <v>59</v>
      </c>
      <c r="G107" t="s">
        <v>26</v>
      </c>
      <c r="H107" t="s">
        <v>118</v>
      </c>
      <c r="I107">
        <v>7</v>
      </c>
      <c r="J107" s="3">
        <v>137.53</v>
      </c>
      <c r="K107" s="2">
        <v>0</v>
      </c>
      <c r="L107" s="3">
        <v>962.71</v>
      </c>
      <c r="M107" s="3">
        <v>132.09</v>
      </c>
      <c r="N107" t="s">
        <v>35</v>
      </c>
      <c r="O107" s="3"/>
      <c r="P107" s="3"/>
    </row>
    <row r="108" spans="1:16" x14ac:dyDescent="0.3">
      <c r="A108" t="s">
        <v>438</v>
      </c>
      <c r="B108" s="9" t="s">
        <v>439</v>
      </c>
      <c r="C108" s="20" t="str">
        <f t="shared" si="1"/>
        <v>May</v>
      </c>
      <c r="D108" t="s">
        <v>440</v>
      </c>
      <c r="E108" s="10" t="s">
        <v>441</v>
      </c>
      <c r="F108" t="s">
        <v>17</v>
      </c>
      <c r="G108" t="s">
        <v>33</v>
      </c>
      <c r="H108" t="s">
        <v>50</v>
      </c>
      <c r="I108">
        <v>7</v>
      </c>
      <c r="J108" s="3">
        <v>177.13</v>
      </c>
      <c r="K108" s="2">
        <v>0.15</v>
      </c>
      <c r="L108" s="3">
        <v>1053.92</v>
      </c>
      <c r="M108" s="3">
        <v>100.68</v>
      </c>
      <c r="N108" t="s">
        <v>40</v>
      </c>
      <c r="O108" s="3"/>
      <c r="P108" s="3"/>
    </row>
    <row r="109" spans="1:16" x14ac:dyDescent="0.3">
      <c r="A109" t="s">
        <v>442</v>
      </c>
      <c r="B109" s="9" t="s">
        <v>443</v>
      </c>
      <c r="C109" s="20" t="str">
        <f t="shared" si="1"/>
        <v>Oct</v>
      </c>
      <c r="D109" t="s">
        <v>444</v>
      </c>
      <c r="E109" s="10" t="s">
        <v>445</v>
      </c>
      <c r="F109" t="s">
        <v>17</v>
      </c>
      <c r="G109" t="s">
        <v>26</v>
      </c>
      <c r="H109" t="s">
        <v>27</v>
      </c>
      <c r="I109">
        <v>4</v>
      </c>
      <c r="J109" s="3">
        <v>130.76</v>
      </c>
      <c r="K109" s="2">
        <v>0</v>
      </c>
      <c r="L109" s="3">
        <v>523.04</v>
      </c>
      <c r="M109" s="3">
        <v>104.53</v>
      </c>
      <c r="N109" t="s">
        <v>20</v>
      </c>
      <c r="O109" s="3"/>
      <c r="P109" s="3"/>
    </row>
    <row r="110" spans="1:16" x14ac:dyDescent="0.3">
      <c r="A110" t="s">
        <v>446</v>
      </c>
      <c r="B110" s="9" t="s">
        <v>447</v>
      </c>
      <c r="C110" s="20" t="str">
        <f t="shared" si="1"/>
        <v>Apr</v>
      </c>
      <c r="D110" t="s">
        <v>448</v>
      </c>
      <c r="E110" s="10" t="s">
        <v>322</v>
      </c>
      <c r="F110" t="s">
        <v>25</v>
      </c>
      <c r="G110" t="s">
        <v>18</v>
      </c>
      <c r="H110" t="s">
        <v>45</v>
      </c>
      <c r="I110">
        <v>4</v>
      </c>
      <c r="J110" s="3">
        <v>166.12</v>
      </c>
      <c r="K110" s="2">
        <v>0.1</v>
      </c>
      <c r="L110" s="3">
        <v>598.03</v>
      </c>
      <c r="M110" s="3">
        <v>65.319999999999993</v>
      </c>
      <c r="N110" t="s">
        <v>40</v>
      </c>
      <c r="O110" s="3"/>
      <c r="P110" s="3"/>
    </row>
    <row r="111" spans="1:16" x14ac:dyDescent="0.3">
      <c r="A111" t="s">
        <v>449</v>
      </c>
      <c r="B111" s="9" t="s">
        <v>450</v>
      </c>
      <c r="C111" s="20" t="str">
        <f t="shared" si="1"/>
        <v>Sep</v>
      </c>
      <c r="D111" t="s">
        <v>451</v>
      </c>
      <c r="E111" s="10" t="s">
        <v>452</v>
      </c>
      <c r="F111" t="s">
        <v>64</v>
      </c>
      <c r="G111" t="s">
        <v>89</v>
      </c>
      <c r="H111" t="s">
        <v>150</v>
      </c>
      <c r="I111">
        <v>3</v>
      </c>
      <c r="J111" s="3">
        <v>88.01</v>
      </c>
      <c r="K111" s="2">
        <v>0.1</v>
      </c>
      <c r="L111" s="3">
        <v>237.63</v>
      </c>
      <c r="M111" s="3">
        <v>71.14</v>
      </c>
      <c r="N111" t="s">
        <v>35</v>
      </c>
      <c r="O111" s="3"/>
      <c r="P111" s="3"/>
    </row>
    <row r="112" spans="1:16" x14ac:dyDescent="0.3">
      <c r="A112" t="s">
        <v>453</v>
      </c>
      <c r="B112" s="9" t="s">
        <v>327</v>
      </c>
      <c r="C112" s="20" t="str">
        <f t="shared" si="1"/>
        <v>Sep</v>
      </c>
      <c r="D112" t="s">
        <v>454</v>
      </c>
      <c r="E112" s="10" t="s">
        <v>455</v>
      </c>
      <c r="F112" t="s">
        <v>59</v>
      </c>
      <c r="G112" t="s">
        <v>89</v>
      </c>
      <c r="H112" t="s">
        <v>150</v>
      </c>
      <c r="I112">
        <v>8</v>
      </c>
      <c r="J112" s="3">
        <v>12.6</v>
      </c>
      <c r="K112" s="2">
        <v>0</v>
      </c>
      <c r="L112" s="3">
        <v>100.8</v>
      </c>
      <c r="M112" s="3">
        <v>20.27</v>
      </c>
      <c r="N112" t="s">
        <v>40</v>
      </c>
      <c r="O112" s="3"/>
      <c r="P112" s="3"/>
    </row>
    <row r="113" spans="1:16" x14ac:dyDescent="0.3">
      <c r="A113" t="s">
        <v>456</v>
      </c>
      <c r="B113" s="9" t="s">
        <v>457</v>
      </c>
      <c r="C113" s="20" t="str">
        <f t="shared" si="1"/>
        <v>Jan</v>
      </c>
      <c r="D113" t="s">
        <v>458</v>
      </c>
      <c r="E113" s="10" t="s">
        <v>459</v>
      </c>
      <c r="F113" t="s">
        <v>64</v>
      </c>
      <c r="G113" t="s">
        <v>26</v>
      </c>
      <c r="H113" t="s">
        <v>118</v>
      </c>
      <c r="I113">
        <v>7</v>
      </c>
      <c r="J113" s="3">
        <v>116.18</v>
      </c>
      <c r="K113" s="2">
        <v>0.1</v>
      </c>
      <c r="L113" s="3">
        <v>731.93</v>
      </c>
      <c r="M113" s="3">
        <v>73.47</v>
      </c>
      <c r="N113" t="s">
        <v>40</v>
      </c>
      <c r="O113" s="3"/>
      <c r="P113" s="3"/>
    </row>
    <row r="114" spans="1:16" x14ac:dyDescent="0.3">
      <c r="A114" t="s">
        <v>460</v>
      </c>
      <c r="B114" s="9" t="s">
        <v>461</v>
      </c>
      <c r="C114" s="20" t="str">
        <f t="shared" si="1"/>
        <v>Nov</v>
      </c>
      <c r="D114" t="s">
        <v>291</v>
      </c>
      <c r="E114" s="10" t="s">
        <v>462</v>
      </c>
      <c r="F114" t="s">
        <v>25</v>
      </c>
      <c r="G114" t="s">
        <v>89</v>
      </c>
      <c r="H114" t="s">
        <v>131</v>
      </c>
      <c r="I114">
        <v>3</v>
      </c>
      <c r="J114" s="3">
        <v>170.27</v>
      </c>
      <c r="K114" s="2">
        <v>0.1</v>
      </c>
      <c r="L114" s="3">
        <v>459.73</v>
      </c>
      <c r="M114" s="3">
        <v>44.89</v>
      </c>
      <c r="N114" t="s">
        <v>35</v>
      </c>
      <c r="O114" s="3"/>
      <c r="P114" s="3"/>
    </row>
    <row r="115" spans="1:16" x14ac:dyDescent="0.3">
      <c r="A115" t="s">
        <v>463</v>
      </c>
      <c r="B115" s="9" t="s">
        <v>464</v>
      </c>
      <c r="C115" s="20" t="str">
        <f t="shared" si="1"/>
        <v>Mar</v>
      </c>
      <c r="D115" t="s">
        <v>465</v>
      </c>
      <c r="E115" s="10" t="s">
        <v>466</v>
      </c>
      <c r="F115" t="s">
        <v>59</v>
      </c>
      <c r="G115" t="s">
        <v>18</v>
      </c>
      <c r="H115" t="s">
        <v>45</v>
      </c>
      <c r="I115">
        <v>3</v>
      </c>
      <c r="J115" s="3">
        <v>194.81</v>
      </c>
      <c r="K115" s="2">
        <v>0.15</v>
      </c>
      <c r="L115" s="3">
        <v>496.77</v>
      </c>
      <c r="M115" s="3">
        <v>114.74</v>
      </c>
      <c r="N115" t="s">
        <v>35</v>
      </c>
      <c r="O115" s="3"/>
      <c r="P115" s="3"/>
    </row>
    <row r="116" spans="1:16" x14ac:dyDescent="0.3">
      <c r="A116" t="s">
        <v>467</v>
      </c>
      <c r="B116" s="9" t="s">
        <v>37</v>
      </c>
      <c r="C116" s="20" t="str">
        <f t="shared" si="1"/>
        <v>Dec</v>
      </c>
      <c r="D116" t="s">
        <v>468</v>
      </c>
      <c r="E116" s="10" t="s">
        <v>469</v>
      </c>
      <c r="F116" t="s">
        <v>17</v>
      </c>
      <c r="G116" t="s">
        <v>89</v>
      </c>
      <c r="H116" t="s">
        <v>150</v>
      </c>
      <c r="I116">
        <v>4</v>
      </c>
      <c r="J116" s="3">
        <v>191.95</v>
      </c>
      <c r="K116" s="2">
        <v>0.1</v>
      </c>
      <c r="L116" s="3">
        <v>691.02</v>
      </c>
      <c r="M116" s="3">
        <v>186.6</v>
      </c>
      <c r="N116" t="s">
        <v>20</v>
      </c>
      <c r="O116" s="3"/>
      <c r="P116" s="3"/>
    </row>
    <row r="117" spans="1:16" x14ac:dyDescent="0.3">
      <c r="A117" t="s">
        <v>470</v>
      </c>
      <c r="B117" s="9" t="s">
        <v>439</v>
      </c>
      <c r="C117" s="20" t="str">
        <f t="shared" si="1"/>
        <v>May</v>
      </c>
      <c r="D117" t="s">
        <v>471</v>
      </c>
      <c r="E117" s="10" t="s">
        <v>472</v>
      </c>
      <c r="F117" t="s">
        <v>64</v>
      </c>
      <c r="G117" t="s">
        <v>18</v>
      </c>
      <c r="H117" t="s">
        <v>79</v>
      </c>
      <c r="I117">
        <v>3</v>
      </c>
      <c r="J117" s="3">
        <v>26.94</v>
      </c>
      <c r="K117" s="2">
        <v>0</v>
      </c>
      <c r="L117" s="3">
        <v>80.819999999999993</v>
      </c>
      <c r="M117" s="3">
        <v>22.38</v>
      </c>
      <c r="N117" t="s">
        <v>20</v>
      </c>
      <c r="O117" s="3"/>
      <c r="P117" s="3"/>
    </row>
    <row r="118" spans="1:16" x14ac:dyDescent="0.3">
      <c r="A118" t="s">
        <v>473</v>
      </c>
      <c r="B118" s="9" t="s">
        <v>286</v>
      </c>
      <c r="C118" s="20" t="str">
        <f t="shared" si="1"/>
        <v>Mar</v>
      </c>
      <c r="D118" t="s">
        <v>474</v>
      </c>
      <c r="E118" s="10" t="s">
        <v>475</v>
      </c>
      <c r="F118" t="s">
        <v>32</v>
      </c>
      <c r="G118" t="s">
        <v>26</v>
      </c>
      <c r="H118" t="s">
        <v>118</v>
      </c>
      <c r="I118">
        <v>2</v>
      </c>
      <c r="J118" s="3">
        <v>134.16999999999999</v>
      </c>
      <c r="K118" s="2">
        <v>0.15</v>
      </c>
      <c r="L118" s="3">
        <v>228.09</v>
      </c>
      <c r="M118" s="3">
        <v>42.37</v>
      </c>
      <c r="N118" t="s">
        <v>40</v>
      </c>
      <c r="O118" s="3"/>
      <c r="P118" s="3"/>
    </row>
    <row r="119" spans="1:16" x14ac:dyDescent="0.3">
      <c r="A119" t="s">
        <v>476</v>
      </c>
      <c r="B119" s="9" t="s">
        <v>420</v>
      </c>
      <c r="C119" s="20" t="str">
        <f t="shared" si="1"/>
        <v>Aug</v>
      </c>
      <c r="D119" t="s">
        <v>477</v>
      </c>
      <c r="E119" s="10" t="s">
        <v>478</v>
      </c>
      <c r="F119" t="s">
        <v>64</v>
      </c>
      <c r="G119" t="s">
        <v>26</v>
      </c>
      <c r="H119" t="s">
        <v>84</v>
      </c>
      <c r="I119">
        <v>7</v>
      </c>
      <c r="J119" s="3">
        <v>185.53</v>
      </c>
      <c r="K119" s="2">
        <v>0.15</v>
      </c>
      <c r="L119" s="3">
        <v>1103.9000000000001</v>
      </c>
      <c r="M119" s="3">
        <v>296.54000000000002</v>
      </c>
      <c r="N119" t="s">
        <v>20</v>
      </c>
      <c r="O119" s="3"/>
      <c r="P119" s="3"/>
    </row>
    <row r="120" spans="1:16" x14ac:dyDescent="0.3">
      <c r="A120" t="s">
        <v>479</v>
      </c>
      <c r="B120" s="9" t="s">
        <v>104</v>
      </c>
      <c r="C120" s="20" t="str">
        <f t="shared" si="1"/>
        <v>May</v>
      </c>
      <c r="D120" t="s">
        <v>480</v>
      </c>
      <c r="E120" s="10" t="s">
        <v>481</v>
      </c>
      <c r="F120" t="s">
        <v>64</v>
      </c>
      <c r="G120" t="s">
        <v>18</v>
      </c>
      <c r="H120" t="s">
        <v>19</v>
      </c>
      <c r="I120">
        <v>1</v>
      </c>
      <c r="J120" s="3">
        <v>236.78</v>
      </c>
      <c r="K120" s="2">
        <v>0.1</v>
      </c>
      <c r="L120" s="3">
        <v>213.1</v>
      </c>
      <c r="M120" s="3">
        <v>32.869999999999997</v>
      </c>
      <c r="N120" t="s">
        <v>35</v>
      </c>
      <c r="O120" s="3"/>
      <c r="P120" s="3"/>
    </row>
    <row r="121" spans="1:16" x14ac:dyDescent="0.3">
      <c r="A121" t="s">
        <v>482</v>
      </c>
      <c r="B121" s="9" t="s">
        <v>483</v>
      </c>
      <c r="C121" s="20" t="str">
        <f t="shared" si="1"/>
        <v>Feb</v>
      </c>
      <c r="D121" t="s">
        <v>484</v>
      </c>
      <c r="E121" s="10" t="s">
        <v>466</v>
      </c>
      <c r="F121" t="s">
        <v>25</v>
      </c>
      <c r="G121" t="s">
        <v>89</v>
      </c>
      <c r="H121" t="s">
        <v>131</v>
      </c>
      <c r="I121">
        <v>7</v>
      </c>
      <c r="J121" s="3">
        <v>83.97</v>
      </c>
      <c r="K121" s="2">
        <v>0.15</v>
      </c>
      <c r="L121" s="3">
        <v>499.62</v>
      </c>
      <c r="M121" s="3">
        <v>121.17</v>
      </c>
      <c r="N121" t="s">
        <v>40</v>
      </c>
      <c r="O121" s="3"/>
      <c r="P121" s="3"/>
    </row>
    <row r="122" spans="1:16" x14ac:dyDescent="0.3">
      <c r="A122" t="s">
        <v>485</v>
      </c>
      <c r="B122" s="9" t="s">
        <v>396</v>
      </c>
      <c r="C122" s="20" t="str">
        <f t="shared" si="1"/>
        <v>May</v>
      </c>
      <c r="D122" t="s">
        <v>486</v>
      </c>
      <c r="E122" s="10" t="s">
        <v>487</v>
      </c>
      <c r="F122" t="s">
        <v>25</v>
      </c>
      <c r="G122" t="s">
        <v>33</v>
      </c>
      <c r="H122" t="s">
        <v>74</v>
      </c>
      <c r="I122">
        <v>7</v>
      </c>
      <c r="J122" s="3">
        <v>24.81</v>
      </c>
      <c r="K122" s="2">
        <v>0</v>
      </c>
      <c r="L122" s="3">
        <v>173.67</v>
      </c>
      <c r="M122" s="3">
        <v>45.77</v>
      </c>
      <c r="N122" t="s">
        <v>20</v>
      </c>
      <c r="O122" s="3"/>
      <c r="P122" s="3"/>
    </row>
    <row r="123" spans="1:16" x14ac:dyDescent="0.3">
      <c r="A123" t="s">
        <v>488</v>
      </c>
      <c r="B123" s="9" t="s">
        <v>489</v>
      </c>
      <c r="C123" s="20" t="str">
        <f t="shared" si="1"/>
        <v>Mar</v>
      </c>
      <c r="D123" t="s">
        <v>490</v>
      </c>
      <c r="E123" s="10" t="s">
        <v>491</v>
      </c>
      <c r="F123" t="s">
        <v>59</v>
      </c>
      <c r="G123" t="s">
        <v>26</v>
      </c>
      <c r="H123" t="s">
        <v>118</v>
      </c>
      <c r="I123">
        <v>2</v>
      </c>
      <c r="J123" s="3">
        <v>123.71</v>
      </c>
      <c r="K123" s="2">
        <v>0</v>
      </c>
      <c r="L123" s="3">
        <v>247.42</v>
      </c>
      <c r="M123" s="3">
        <v>22.65</v>
      </c>
      <c r="N123" t="s">
        <v>40</v>
      </c>
      <c r="O123" s="3"/>
      <c r="P123" s="3"/>
    </row>
    <row r="124" spans="1:16" x14ac:dyDescent="0.3">
      <c r="A124" t="s">
        <v>492</v>
      </c>
      <c r="B124" s="9" t="s">
        <v>493</v>
      </c>
      <c r="C124" s="20" t="str">
        <f t="shared" si="1"/>
        <v>Jan</v>
      </c>
      <c r="D124" t="s">
        <v>494</v>
      </c>
      <c r="E124" s="10" t="s">
        <v>495</v>
      </c>
      <c r="F124" t="s">
        <v>59</v>
      </c>
      <c r="G124" t="s">
        <v>26</v>
      </c>
      <c r="H124" t="s">
        <v>27</v>
      </c>
      <c r="I124">
        <v>6</v>
      </c>
      <c r="J124" s="3">
        <v>187.81</v>
      </c>
      <c r="K124" s="2">
        <v>0.1</v>
      </c>
      <c r="L124" s="3">
        <v>1014.17</v>
      </c>
      <c r="M124" s="3">
        <v>275.14</v>
      </c>
      <c r="N124" t="s">
        <v>40</v>
      </c>
      <c r="O124" s="3"/>
      <c r="P124" s="3"/>
    </row>
    <row r="125" spans="1:16" x14ac:dyDescent="0.3">
      <c r="A125" t="s">
        <v>496</v>
      </c>
      <c r="B125" s="9" t="s">
        <v>497</v>
      </c>
      <c r="C125" s="20" t="str">
        <f t="shared" si="1"/>
        <v>Jun</v>
      </c>
      <c r="D125" t="s">
        <v>253</v>
      </c>
      <c r="E125" s="10" t="s">
        <v>498</v>
      </c>
      <c r="F125" t="s">
        <v>32</v>
      </c>
      <c r="G125" t="s">
        <v>26</v>
      </c>
      <c r="H125" t="s">
        <v>84</v>
      </c>
      <c r="I125">
        <v>6</v>
      </c>
      <c r="J125" s="3">
        <v>229.42</v>
      </c>
      <c r="K125" s="2">
        <v>0.15</v>
      </c>
      <c r="L125" s="3">
        <v>1170.04</v>
      </c>
      <c r="M125" s="3">
        <v>300.82</v>
      </c>
      <c r="N125" t="s">
        <v>40</v>
      </c>
      <c r="O125" s="3"/>
      <c r="P125" s="3"/>
    </row>
    <row r="126" spans="1:16" x14ac:dyDescent="0.3">
      <c r="A126" t="s">
        <v>499</v>
      </c>
      <c r="B126" s="9" t="s">
        <v>500</v>
      </c>
      <c r="C126" s="20" t="str">
        <f t="shared" si="1"/>
        <v>Nov</v>
      </c>
      <c r="D126" t="s">
        <v>200</v>
      </c>
      <c r="E126" s="10" t="s">
        <v>501</v>
      </c>
      <c r="F126" t="s">
        <v>32</v>
      </c>
      <c r="G126" t="s">
        <v>89</v>
      </c>
      <c r="H126" t="s">
        <v>90</v>
      </c>
      <c r="I126">
        <v>6</v>
      </c>
      <c r="J126" s="3">
        <v>124.86</v>
      </c>
      <c r="K126" s="2">
        <v>0.05</v>
      </c>
      <c r="L126" s="3">
        <v>711.7</v>
      </c>
      <c r="M126" s="3">
        <v>73.98</v>
      </c>
      <c r="N126" t="s">
        <v>35</v>
      </c>
      <c r="O126" s="3"/>
      <c r="P126" s="3"/>
    </row>
    <row r="127" spans="1:16" x14ac:dyDescent="0.3">
      <c r="A127" t="s">
        <v>502</v>
      </c>
      <c r="B127" s="9" t="s">
        <v>503</v>
      </c>
      <c r="C127" s="20" t="str">
        <f t="shared" si="1"/>
        <v>Mar</v>
      </c>
      <c r="D127" t="s">
        <v>504</v>
      </c>
      <c r="E127" s="10" t="s">
        <v>149</v>
      </c>
      <c r="F127" t="s">
        <v>32</v>
      </c>
      <c r="G127" t="s">
        <v>33</v>
      </c>
      <c r="H127" t="s">
        <v>34</v>
      </c>
      <c r="I127">
        <v>6</v>
      </c>
      <c r="J127" s="3">
        <v>105.69</v>
      </c>
      <c r="K127" s="2">
        <v>0.1</v>
      </c>
      <c r="L127" s="3">
        <v>570.73</v>
      </c>
      <c r="M127" s="3">
        <v>74.8</v>
      </c>
      <c r="N127" t="s">
        <v>35</v>
      </c>
      <c r="O127" s="3"/>
      <c r="P127" s="3"/>
    </row>
    <row r="128" spans="1:16" x14ac:dyDescent="0.3">
      <c r="A128" t="s">
        <v>505</v>
      </c>
      <c r="B128" s="9" t="s">
        <v>506</v>
      </c>
      <c r="C128" s="20" t="str">
        <f t="shared" si="1"/>
        <v>Feb</v>
      </c>
      <c r="D128" t="s">
        <v>507</v>
      </c>
      <c r="E128" s="10" t="s">
        <v>508</v>
      </c>
      <c r="F128" t="s">
        <v>25</v>
      </c>
      <c r="G128" t="s">
        <v>89</v>
      </c>
      <c r="H128" t="s">
        <v>131</v>
      </c>
      <c r="I128">
        <v>4</v>
      </c>
      <c r="J128" s="3">
        <v>68.45</v>
      </c>
      <c r="K128" s="2">
        <v>0.15</v>
      </c>
      <c r="L128" s="3">
        <v>232.73</v>
      </c>
      <c r="M128" s="3">
        <v>59.47</v>
      </c>
      <c r="N128" t="s">
        <v>35</v>
      </c>
      <c r="O128" s="3"/>
      <c r="P128" s="3"/>
    </row>
    <row r="129" spans="1:16" x14ac:dyDescent="0.3">
      <c r="A129" t="s">
        <v>509</v>
      </c>
      <c r="B129" s="9" t="s">
        <v>510</v>
      </c>
      <c r="C129" s="20" t="str">
        <f t="shared" si="1"/>
        <v>Sep</v>
      </c>
      <c r="D129" t="s">
        <v>511</v>
      </c>
      <c r="E129" s="10" t="s">
        <v>512</v>
      </c>
      <c r="F129" t="s">
        <v>59</v>
      </c>
      <c r="G129" t="s">
        <v>33</v>
      </c>
      <c r="H129" t="s">
        <v>74</v>
      </c>
      <c r="I129">
        <v>8</v>
      </c>
      <c r="J129" s="3">
        <v>28.52</v>
      </c>
      <c r="K129" s="2">
        <v>0.05</v>
      </c>
      <c r="L129" s="3">
        <v>216.75</v>
      </c>
      <c r="M129" s="3">
        <v>23.7</v>
      </c>
      <c r="N129" t="s">
        <v>20</v>
      </c>
      <c r="O129" s="3"/>
      <c r="P129" s="3"/>
    </row>
    <row r="130" spans="1:16" x14ac:dyDescent="0.3">
      <c r="A130" t="s">
        <v>513</v>
      </c>
      <c r="B130" s="9" t="s">
        <v>331</v>
      </c>
      <c r="C130" s="20" t="str">
        <f t="shared" ref="C130:C193" si="2">TEXT(B:B, "mmm")</f>
        <v>Nov</v>
      </c>
      <c r="D130" t="s">
        <v>514</v>
      </c>
      <c r="E130" s="10" t="s">
        <v>193</v>
      </c>
      <c r="F130" t="s">
        <v>64</v>
      </c>
      <c r="G130" t="s">
        <v>33</v>
      </c>
      <c r="H130" t="s">
        <v>69</v>
      </c>
      <c r="I130">
        <v>1</v>
      </c>
      <c r="J130" s="3">
        <v>184.76</v>
      </c>
      <c r="K130" s="2">
        <v>0.05</v>
      </c>
      <c r="L130" s="3">
        <v>175.52</v>
      </c>
      <c r="M130" s="3">
        <v>47.73</v>
      </c>
      <c r="N130" t="s">
        <v>40</v>
      </c>
      <c r="O130" s="3"/>
      <c r="P130" s="3"/>
    </row>
    <row r="131" spans="1:16" x14ac:dyDescent="0.3">
      <c r="A131" t="s">
        <v>515</v>
      </c>
      <c r="B131" s="9" t="s">
        <v>516</v>
      </c>
      <c r="C131" s="20" t="str">
        <f t="shared" si="2"/>
        <v>May</v>
      </c>
      <c r="D131" t="s">
        <v>517</v>
      </c>
      <c r="E131" s="10" t="s">
        <v>518</v>
      </c>
      <c r="F131" t="s">
        <v>25</v>
      </c>
      <c r="G131" t="s">
        <v>33</v>
      </c>
      <c r="H131" t="s">
        <v>74</v>
      </c>
      <c r="I131">
        <v>5</v>
      </c>
      <c r="J131" s="3">
        <v>38.01</v>
      </c>
      <c r="K131" s="2">
        <v>0.1</v>
      </c>
      <c r="L131" s="3">
        <v>171.04</v>
      </c>
      <c r="M131" s="3">
        <v>15.64</v>
      </c>
      <c r="N131" t="s">
        <v>20</v>
      </c>
      <c r="O131" s="3"/>
      <c r="P131" s="3"/>
    </row>
    <row r="132" spans="1:16" x14ac:dyDescent="0.3">
      <c r="A132" t="s">
        <v>519</v>
      </c>
      <c r="B132" s="9" t="s">
        <v>271</v>
      </c>
      <c r="C132" s="20" t="str">
        <f t="shared" si="2"/>
        <v>Nov</v>
      </c>
      <c r="D132" t="s">
        <v>520</v>
      </c>
      <c r="E132" s="10" t="s">
        <v>521</v>
      </c>
      <c r="F132" t="s">
        <v>64</v>
      </c>
      <c r="G132" t="s">
        <v>26</v>
      </c>
      <c r="H132" t="s">
        <v>84</v>
      </c>
      <c r="I132">
        <v>3</v>
      </c>
      <c r="J132" s="3">
        <v>229.57</v>
      </c>
      <c r="K132" s="2">
        <v>0</v>
      </c>
      <c r="L132" s="3">
        <v>688.71</v>
      </c>
      <c r="M132" s="3">
        <v>107.32</v>
      </c>
      <c r="N132" t="s">
        <v>20</v>
      </c>
      <c r="O132" s="3"/>
      <c r="P132" s="3"/>
    </row>
    <row r="133" spans="1:16" x14ac:dyDescent="0.3">
      <c r="A133" t="s">
        <v>522</v>
      </c>
      <c r="B133" s="9" t="s">
        <v>523</v>
      </c>
      <c r="C133" s="20" t="str">
        <f t="shared" si="2"/>
        <v>Dec</v>
      </c>
      <c r="D133" t="s">
        <v>424</v>
      </c>
      <c r="E133" s="10" t="s">
        <v>524</v>
      </c>
      <c r="F133" t="s">
        <v>64</v>
      </c>
      <c r="G133" t="s">
        <v>26</v>
      </c>
      <c r="H133" t="s">
        <v>84</v>
      </c>
      <c r="I133">
        <v>3</v>
      </c>
      <c r="J133" s="3">
        <v>37.46</v>
      </c>
      <c r="K133" s="2">
        <v>0.1</v>
      </c>
      <c r="L133" s="3">
        <v>101.14</v>
      </c>
      <c r="M133" s="3">
        <v>17.77</v>
      </c>
      <c r="N133" t="s">
        <v>35</v>
      </c>
      <c r="O133" s="3"/>
      <c r="P133" s="3"/>
    </row>
    <row r="134" spans="1:16" x14ac:dyDescent="0.3">
      <c r="A134" t="s">
        <v>525</v>
      </c>
      <c r="B134" s="9" t="s">
        <v>526</v>
      </c>
      <c r="C134" s="20" t="str">
        <f t="shared" si="2"/>
        <v>May</v>
      </c>
      <c r="D134" t="s">
        <v>527</v>
      </c>
      <c r="E134" s="10" t="s">
        <v>528</v>
      </c>
      <c r="F134" t="s">
        <v>25</v>
      </c>
      <c r="G134" t="s">
        <v>33</v>
      </c>
      <c r="H134" t="s">
        <v>34</v>
      </c>
      <c r="I134">
        <v>2</v>
      </c>
      <c r="J134" s="3">
        <v>107.84</v>
      </c>
      <c r="K134" s="2">
        <v>0.05</v>
      </c>
      <c r="L134" s="3">
        <v>204.9</v>
      </c>
      <c r="M134" s="3">
        <v>54.9</v>
      </c>
      <c r="N134" t="s">
        <v>35</v>
      </c>
      <c r="O134" s="3"/>
      <c r="P134" s="3"/>
    </row>
    <row r="135" spans="1:16" x14ac:dyDescent="0.3">
      <c r="A135" t="s">
        <v>529</v>
      </c>
      <c r="B135" s="9" t="s">
        <v>530</v>
      </c>
      <c r="C135" s="20" t="str">
        <f t="shared" si="2"/>
        <v>Mar</v>
      </c>
      <c r="D135" t="s">
        <v>531</v>
      </c>
      <c r="E135" s="10" t="s">
        <v>532</v>
      </c>
      <c r="F135" t="s">
        <v>32</v>
      </c>
      <c r="G135" t="s">
        <v>18</v>
      </c>
      <c r="H135" t="s">
        <v>79</v>
      </c>
      <c r="I135">
        <v>2</v>
      </c>
      <c r="J135" s="3">
        <v>171.18</v>
      </c>
      <c r="K135" s="2">
        <v>0.15</v>
      </c>
      <c r="L135" s="3">
        <v>291.01</v>
      </c>
      <c r="M135" s="3">
        <v>40.22</v>
      </c>
      <c r="N135" t="s">
        <v>40</v>
      </c>
      <c r="O135" s="3"/>
      <c r="P135" s="3"/>
    </row>
    <row r="136" spans="1:16" x14ac:dyDescent="0.3">
      <c r="A136" t="s">
        <v>533</v>
      </c>
      <c r="B136" s="9" t="s">
        <v>534</v>
      </c>
      <c r="C136" s="20" t="str">
        <f t="shared" si="2"/>
        <v>Mar</v>
      </c>
      <c r="D136" t="s">
        <v>535</v>
      </c>
      <c r="E136" s="10" t="s">
        <v>501</v>
      </c>
      <c r="F136" t="s">
        <v>64</v>
      </c>
      <c r="G136" t="s">
        <v>26</v>
      </c>
      <c r="H136" t="s">
        <v>27</v>
      </c>
      <c r="I136">
        <v>8</v>
      </c>
      <c r="J136" s="3">
        <v>75.209999999999994</v>
      </c>
      <c r="K136" s="2">
        <v>0.1</v>
      </c>
      <c r="L136" s="3">
        <v>541.51</v>
      </c>
      <c r="M136" s="3">
        <v>67.069999999999993</v>
      </c>
      <c r="N136" t="s">
        <v>40</v>
      </c>
      <c r="O136" s="3"/>
      <c r="P136" s="3"/>
    </row>
    <row r="137" spans="1:16" x14ac:dyDescent="0.3">
      <c r="A137" t="s">
        <v>536</v>
      </c>
      <c r="B137" s="9" t="s">
        <v>420</v>
      </c>
      <c r="C137" s="20" t="str">
        <f t="shared" si="2"/>
        <v>Aug</v>
      </c>
      <c r="D137" t="s">
        <v>366</v>
      </c>
      <c r="E137" s="10" t="s">
        <v>537</v>
      </c>
      <c r="F137" t="s">
        <v>17</v>
      </c>
      <c r="G137" t="s">
        <v>89</v>
      </c>
      <c r="H137" t="s">
        <v>150</v>
      </c>
      <c r="I137">
        <v>7</v>
      </c>
      <c r="J137" s="3">
        <v>126.33</v>
      </c>
      <c r="K137" s="2">
        <v>0.15</v>
      </c>
      <c r="L137" s="3">
        <v>751.66</v>
      </c>
      <c r="M137" s="3">
        <v>112.59</v>
      </c>
      <c r="N137" t="s">
        <v>35</v>
      </c>
      <c r="O137" s="3"/>
      <c r="P137" s="3"/>
    </row>
    <row r="138" spans="1:16" x14ac:dyDescent="0.3">
      <c r="A138" t="s">
        <v>538</v>
      </c>
      <c r="B138" s="9" t="s">
        <v>66</v>
      </c>
      <c r="C138" s="20" t="str">
        <f t="shared" si="2"/>
        <v>Mar</v>
      </c>
      <c r="D138" t="s">
        <v>480</v>
      </c>
      <c r="E138" s="10" t="s">
        <v>73</v>
      </c>
      <c r="F138" t="s">
        <v>25</v>
      </c>
      <c r="G138" t="s">
        <v>33</v>
      </c>
      <c r="H138" t="s">
        <v>50</v>
      </c>
      <c r="I138">
        <v>4</v>
      </c>
      <c r="J138" s="3">
        <v>208.44</v>
      </c>
      <c r="K138" s="2">
        <v>0.1</v>
      </c>
      <c r="L138" s="3">
        <v>750.38</v>
      </c>
      <c r="M138" s="3">
        <v>60.62</v>
      </c>
      <c r="N138" t="s">
        <v>35</v>
      </c>
      <c r="O138" s="3"/>
      <c r="P138" s="3"/>
    </row>
    <row r="139" spans="1:16" x14ac:dyDescent="0.3">
      <c r="A139" t="s">
        <v>539</v>
      </c>
      <c r="B139" s="9" t="s">
        <v>540</v>
      </c>
      <c r="C139" s="20" t="str">
        <f t="shared" si="2"/>
        <v>Apr</v>
      </c>
      <c r="D139" t="s">
        <v>541</v>
      </c>
      <c r="E139" s="10" t="s">
        <v>542</v>
      </c>
      <c r="F139" t="s">
        <v>17</v>
      </c>
      <c r="G139" t="s">
        <v>18</v>
      </c>
      <c r="H139" t="s">
        <v>19</v>
      </c>
      <c r="I139">
        <v>2</v>
      </c>
      <c r="J139" s="3">
        <v>152.99</v>
      </c>
      <c r="K139" s="2">
        <v>0.05</v>
      </c>
      <c r="L139" s="3">
        <v>290.68</v>
      </c>
      <c r="M139" s="3">
        <v>77.95</v>
      </c>
      <c r="N139" t="s">
        <v>40</v>
      </c>
      <c r="O139" s="3"/>
      <c r="P139" s="3"/>
    </row>
    <row r="140" spans="1:16" x14ac:dyDescent="0.3">
      <c r="A140" t="s">
        <v>543</v>
      </c>
      <c r="B140" s="9" t="s">
        <v>544</v>
      </c>
      <c r="C140" s="20" t="str">
        <f t="shared" si="2"/>
        <v>Dec</v>
      </c>
      <c r="D140" t="s">
        <v>545</v>
      </c>
      <c r="E140" s="10" t="s">
        <v>546</v>
      </c>
      <c r="F140" t="s">
        <v>17</v>
      </c>
      <c r="G140" t="s">
        <v>18</v>
      </c>
      <c r="H140" t="s">
        <v>79</v>
      </c>
      <c r="I140">
        <v>8</v>
      </c>
      <c r="J140" s="3">
        <v>10.88</v>
      </c>
      <c r="K140" s="2">
        <v>0</v>
      </c>
      <c r="L140" s="3">
        <v>87.04</v>
      </c>
      <c r="M140" s="3">
        <v>14.93</v>
      </c>
      <c r="N140" t="s">
        <v>35</v>
      </c>
      <c r="O140" s="3"/>
      <c r="P140" s="3"/>
    </row>
    <row r="141" spans="1:16" x14ac:dyDescent="0.3">
      <c r="A141" t="s">
        <v>547</v>
      </c>
      <c r="B141" s="9" t="s">
        <v>548</v>
      </c>
      <c r="C141" s="20" t="str">
        <f t="shared" si="2"/>
        <v>Aug</v>
      </c>
      <c r="D141" t="s">
        <v>549</v>
      </c>
      <c r="E141" s="10" t="s">
        <v>550</v>
      </c>
      <c r="F141" t="s">
        <v>59</v>
      </c>
      <c r="G141" t="s">
        <v>89</v>
      </c>
      <c r="H141" t="s">
        <v>131</v>
      </c>
      <c r="I141">
        <v>8</v>
      </c>
      <c r="J141" s="3">
        <v>130.15</v>
      </c>
      <c r="K141" s="2">
        <v>0.15</v>
      </c>
      <c r="L141" s="3">
        <v>885.02</v>
      </c>
      <c r="M141" s="3">
        <v>176.02</v>
      </c>
      <c r="N141" t="s">
        <v>20</v>
      </c>
      <c r="O141" s="3"/>
      <c r="P141" s="3"/>
    </row>
    <row r="142" spans="1:16" x14ac:dyDescent="0.3">
      <c r="A142" t="s">
        <v>551</v>
      </c>
      <c r="B142" s="9" t="s">
        <v>170</v>
      </c>
      <c r="C142" s="20" t="str">
        <f t="shared" si="2"/>
        <v>Mar</v>
      </c>
      <c r="D142" t="s">
        <v>77</v>
      </c>
      <c r="E142" s="10" t="s">
        <v>552</v>
      </c>
      <c r="F142" t="s">
        <v>64</v>
      </c>
      <c r="G142" t="s">
        <v>89</v>
      </c>
      <c r="H142" t="s">
        <v>150</v>
      </c>
      <c r="I142">
        <v>4</v>
      </c>
      <c r="J142" s="3">
        <v>230.76</v>
      </c>
      <c r="K142" s="2">
        <v>0.05</v>
      </c>
      <c r="L142" s="3">
        <v>876.89</v>
      </c>
      <c r="M142" s="3">
        <v>211.82</v>
      </c>
      <c r="N142" t="s">
        <v>40</v>
      </c>
      <c r="O142" s="3"/>
      <c r="P142" s="3"/>
    </row>
    <row r="143" spans="1:16" x14ac:dyDescent="0.3">
      <c r="A143" t="s">
        <v>553</v>
      </c>
      <c r="B143" s="9" t="s">
        <v>554</v>
      </c>
      <c r="C143" s="20" t="str">
        <f t="shared" si="2"/>
        <v>Sep</v>
      </c>
      <c r="D143" t="s">
        <v>555</v>
      </c>
      <c r="E143" s="10" t="s">
        <v>556</v>
      </c>
      <c r="F143" t="s">
        <v>32</v>
      </c>
      <c r="G143" t="s">
        <v>33</v>
      </c>
      <c r="H143" t="s">
        <v>69</v>
      </c>
      <c r="I143">
        <v>8</v>
      </c>
      <c r="J143" s="3">
        <v>226.87</v>
      </c>
      <c r="K143" s="2">
        <v>0.15</v>
      </c>
      <c r="L143" s="3">
        <v>1542.72</v>
      </c>
      <c r="M143" s="3">
        <v>285.45999999999998</v>
      </c>
      <c r="N143" t="s">
        <v>35</v>
      </c>
      <c r="O143" s="3"/>
      <c r="P143" s="3"/>
    </row>
    <row r="144" spans="1:16" x14ac:dyDescent="0.3">
      <c r="A144" t="s">
        <v>557</v>
      </c>
      <c r="B144" s="9" t="s">
        <v>558</v>
      </c>
      <c r="C144" s="20" t="str">
        <f t="shared" si="2"/>
        <v>Sep</v>
      </c>
      <c r="D144" t="s">
        <v>559</v>
      </c>
      <c r="E144" s="10" t="s">
        <v>54</v>
      </c>
      <c r="F144" t="s">
        <v>32</v>
      </c>
      <c r="G144" t="s">
        <v>18</v>
      </c>
      <c r="H144" t="s">
        <v>19</v>
      </c>
      <c r="I144">
        <v>2</v>
      </c>
      <c r="J144" s="3">
        <v>194.62</v>
      </c>
      <c r="K144" s="2">
        <v>0.05</v>
      </c>
      <c r="L144" s="3">
        <v>369.78</v>
      </c>
      <c r="M144" s="3">
        <v>40.68</v>
      </c>
      <c r="N144" t="s">
        <v>35</v>
      </c>
      <c r="O144" s="3"/>
      <c r="P144" s="3"/>
    </row>
    <row r="145" spans="1:16" x14ac:dyDescent="0.3">
      <c r="A145" t="s">
        <v>560</v>
      </c>
      <c r="B145" s="9" t="s">
        <v>561</v>
      </c>
      <c r="C145" s="20" t="str">
        <f t="shared" si="2"/>
        <v>Sep</v>
      </c>
      <c r="D145" t="s">
        <v>562</v>
      </c>
      <c r="E145" s="10" t="s">
        <v>563</v>
      </c>
      <c r="F145" t="s">
        <v>17</v>
      </c>
      <c r="G145" t="s">
        <v>33</v>
      </c>
      <c r="H145" t="s">
        <v>50</v>
      </c>
      <c r="I145">
        <v>3</v>
      </c>
      <c r="J145" s="3">
        <v>138.16999999999999</v>
      </c>
      <c r="K145" s="2">
        <v>0.15</v>
      </c>
      <c r="L145" s="3">
        <v>352.33</v>
      </c>
      <c r="M145" s="3">
        <v>84.41</v>
      </c>
      <c r="N145" t="s">
        <v>35</v>
      </c>
      <c r="O145" s="3"/>
      <c r="P145" s="3"/>
    </row>
    <row r="146" spans="1:16" x14ac:dyDescent="0.3">
      <c r="A146" t="s">
        <v>564</v>
      </c>
      <c r="B146" s="9" t="s">
        <v>124</v>
      </c>
      <c r="C146" s="20" t="str">
        <f t="shared" si="2"/>
        <v>Jun</v>
      </c>
      <c r="D146" t="s">
        <v>565</v>
      </c>
      <c r="E146" s="10" t="s">
        <v>550</v>
      </c>
      <c r="F146" t="s">
        <v>32</v>
      </c>
      <c r="G146" t="s">
        <v>33</v>
      </c>
      <c r="H146" t="s">
        <v>50</v>
      </c>
      <c r="I146">
        <v>3</v>
      </c>
      <c r="J146" s="3">
        <v>249.22</v>
      </c>
      <c r="K146" s="2">
        <v>0</v>
      </c>
      <c r="L146" s="3">
        <v>747.66</v>
      </c>
      <c r="M146" s="3">
        <v>215.29</v>
      </c>
      <c r="N146" t="s">
        <v>35</v>
      </c>
      <c r="O146" s="3"/>
      <c r="P146" s="3"/>
    </row>
    <row r="147" spans="1:16" x14ac:dyDescent="0.3">
      <c r="A147" t="s">
        <v>566</v>
      </c>
      <c r="B147" s="9" t="s">
        <v>530</v>
      </c>
      <c r="C147" s="20" t="str">
        <f t="shared" si="2"/>
        <v>Mar</v>
      </c>
      <c r="D147" t="s">
        <v>567</v>
      </c>
      <c r="E147" s="10" t="s">
        <v>568</v>
      </c>
      <c r="F147" t="s">
        <v>25</v>
      </c>
      <c r="G147" t="s">
        <v>89</v>
      </c>
      <c r="H147" t="s">
        <v>131</v>
      </c>
      <c r="I147">
        <v>5</v>
      </c>
      <c r="J147" s="3">
        <v>215.12</v>
      </c>
      <c r="K147" s="2">
        <v>0.1</v>
      </c>
      <c r="L147" s="3">
        <v>968.04</v>
      </c>
      <c r="M147" s="3">
        <v>141.38</v>
      </c>
      <c r="N147" t="s">
        <v>35</v>
      </c>
      <c r="O147" s="3"/>
      <c r="P147" s="3"/>
    </row>
    <row r="148" spans="1:16" x14ac:dyDescent="0.3">
      <c r="A148" t="s">
        <v>569</v>
      </c>
      <c r="B148" s="9" t="s">
        <v>570</v>
      </c>
      <c r="C148" s="20" t="str">
        <f t="shared" si="2"/>
        <v>Nov</v>
      </c>
      <c r="D148" t="s">
        <v>571</v>
      </c>
      <c r="E148" s="10" t="s">
        <v>572</v>
      </c>
      <c r="F148" t="s">
        <v>59</v>
      </c>
      <c r="G148" t="s">
        <v>33</v>
      </c>
      <c r="H148" t="s">
        <v>69</v>
      </c>
      <c r="I148">
        <v>6</v>
      </c>
      <c r="J148" s="3">
        <v>145.41</v>
      </c>
      <c r="K148" s="2">
        <v>0.05</v>
      </c>
      <c r="L148" s="3">
        <v>828.84</v>
      </c>
      <c r="M148" s="3">
        <v>215.82</v>
      </c>
      <c r="N148" t="s">
        <v>20</v>
      </c>
      <c r="O148" s="3"/>
      <c r="P148" s="3"/>
    </row>
    <row r="149" spans="1:16" x14ac:dyDescent="0.3">
      <c r="A149" t="s">
        <v>573</v>
      </c>
      <c r="B149" s="9" t="s">
        <v>574</v>
      </c>
      <c r="C149" s="20" t="str">
        <f t="shared" si="2"/>
        <v>Oct</v>
      </c>
      <c r="D149" t="s">
        <v>575</v>
      </c>
      <c r="E149" s="10" t="s">
        <v>576</v>
      </c>
      <c r="F149" t="s">
        <v>64</v>
      </c>
      <c r="G149" t="s">
        <v>89</v>
      </c>
      <c r="H149" t="s">
        <v>150</v>
      </c>
      <c r="I149">
        <v>7</v>
      </c>
      <c r="J149" s="3">
        <v>50.37</v>
      </c>
      <c r="K149" s="2">
        <v>0.05</v>
      </c>
      <c r="L149" s="3">
        <v>334.96</v>
      </c>
      <c r="M149" s="3">
        <v>80.739999999999995</v>
      </c>
      <c r="N149" t="s">
        <v>20</v>
      </c>
      <c r="O149" s="3"/>
      <c r="P149" s="3"/>
    </row>
    <row r="150" spans="1:16" x14ac:dyDescent="0.3">
      <c r="A150" t="s">
        <v>577</v>
      </c>
      <c r="B150" s="9" t="s">
        <v>207</v>
      </c>
      <c r="C150" s="20" t="str">
        <f t="shared" si="2"/>
        <v>Mar</v>
      </c>
      <c r="D150" t="s">
        <v>578</v>
      </c>
      <c r="E150" s="10" t="s">
        <v>481</v>
      </c>
      <c r="F150" t="s">
        <v>17</v>
      </c>
      <c r="G150" t="s">
        <v>33</v>
      </c>
      <c r="H150" t="s">
        <v>69</v>
      </c>
      <c r="I150">
        <v>6</v>
      </c>
      <c r="J150" s="3">
        <v>14.93</v>
      </c>
      <c r="K150" s="2">
        <v>0.15</v>
      </c>
      <c r="L150" s="3">
        <v>76.14</v>
      </c>
      <c r="M150" s="3">
        <v>9.42</v>
      </c>
      <c r="N150" t="s">
        <v>40</v>
      </c>
      <c r="O150" s="3"/>
      <c r="P150" s="3"/>
    </row>
    <row r="151" spans="1:16" x14ac:dyDescent="0.3">
      <c r="A151" t="s">
        <v>579</v>
      </c>
      <c r="B151" s="9" t="s">
        <v>385</v>
      </c>
      <c r="C151" s="20" t="str">
        <f t="shared" si="2"/>
        <v>Aug</v>
      </c>
      <c r="D151" t="s">
        <v>580</v>
      </c>
      <c r="E151" s="10" t="s">
        <v>581</v>
      </c>
      <c r="F151" t="s">
        <v>64</v>
      </c>
      <c r="G151" t="s">
        <v>26</v>
      </c>
      <c r="H151" t="s">
        <v>84</v>
      </c>
      <c r="I151">
        <v>7</v>
      </c>
      <c r="J151" s="3">
        <v>91.51</v>
      </c>
      <c r="K151" s="2">
        <v>0.1</v>
      </c>
      <c r="L151" s="3">
        <v>576.51</v>
      </c>
      <c r="M151" s="3">
        <v>115.26</v>
      </c>
      <c r="N151" t="s">
        <v>35</v>
      </c>
      <c r="O151" s="3"/>
      <c r="P151" s="3"/>
    </row>
    <row r="152" spans="1:16" x14ac:dyDescent="0.3">
      <c r="A152" t="s">
        <v>582</v>
      </c>
      <c r="B152" s="9" t="s">
        <v>583</v>
      </c>
      <c r="C152" s="20" t="str">
        <f t="shared" si="2"/>
        <v>Jun</v>
      </c>
      <c r="D152" t="s">
        <v>584</v>
      </c>
      <c r="E152" s="10" t="s">
        <v>376</v>
      </c>
      <c r="F152" t="s">
        <v>25</v>
      </c>
      <c r="G152" t="s">
        <v>26</v>
      </c>
      <c r="H152" t="s">
        <v>118</v>
      </c>
      <c r="I152">
        <v>4</v>
      </c>
      <c r="J152" s="3">
        <v>80.98</v>
      </c>
      <c r="K152" s="2">
        <v>0.15</v>
      </c>
      <c r="L152" s="3">
        <v>275.33</v>
      </c>
      <c r="M152" s="3">
        <v>67.97</v>
      </c>
      <c r="N152" t="s">
        <v>40</v>
      </c>
      <c r="O152" s="3"/>
      <c r="P152" s="3"/>
    </row>
    <row r="153" spans="1:16" x14ac:dyDescent="0.3">
      <c r="A153" t="s">
        <v>585</v>
      </c>
      <c r="B153" s="9" t="s">
        <v>412</v>
      </c>
      <c r="C153" s="20" t="str">
        <f t="shared" si="2"/>
        <v>Feb</v>
      </c>
      <c r="D153" t="s">
        <v>586</v>
      </c>
      <c r="E153" s="10" t="s">
        <v>360</v>
      </c>
      <c r="F153" t="s">
        <v>25</v>
      </c>
      <c r="G153" t="s">
        <v>89</v>
      </c>
      <c r="H153" t="s">
        <v>90</v>
      </c>
      <c r="I153">
        <v>8</v>
      </c>
      <c r="J153" s="3">
        <v>161.6</v>
      </c>
      <c r="K153" s="2">
        <v>0.1</v>
      </c>
      <c r="L153" s="3">
        <v>1163.52</v>
      </c>
      <c r="M153" s="3">
        <v>212.62</v>
      </c>
      <c r="N153" t="s">
        <v>20</v>
      </c>
      <c r="O153" s="3"/>
      <c r="P153" s="3"/>
    </row>
    <row r="154" spans="1:16" x14ac:dyDescent="0.3">
      <c r="A154" t="s">
        <v>587</v>
      </c>
      <c r="B154" s="9" t="s">
        <v>558</v>
      </c>
      <c r="C154" s="20" t="str">
        <f t="shared" si="2"/>
        <v>Sep</v>
      </c>
      <c r="D154" t="s">
        <v>346</v>
      </c>
      <c r="E154" s="10" t="s">
        <v>588</v>
      </c>
      <c r="F154" t="s">
        <v>64</v>
      </c>
      <c r="G154" t="s">
        <v>18</v>
      </c>
      <c r="H154" t="s">
        <v>45</v>
      </c>
      <c r="I154">
        <v>1</v>
      </c>
      <c r="J154" s="3">
        <v>85.25</v>
      </c>
      <c r="K154" s="2">
        <v>0.1</v>
      </c>
      <c r="L154" s="3">
        <v>76.73</v>
      </c>
      <c r="M154" s="3">
        <v>11.56</v>
      </c>
      <c r="N154" t="s">
        <v>35</v>
      </c>
      <c r="O154" s="3"/>
      <c r="P154" s="3"/>
    </row>
    <row r="155" spans="1:16" x14ac:dyDescent="0.3">
      <c r="A155" t="s">
        <v>589</v>
      </c>
      <c r="B155" s="9" t="s">
        <v>143</v>
      </c>
      <c r="C155" s="20" t="str">
        <f t="shared" si="2"/>
        <v>Jan</v>
      </c>
      <c r="D155" t="s">
        <v>590</v>
      </c>
      <c r="E155" s="10" t="s">
        <v>427</v>
      </c>
      <c r="F155" t="s">
        <v>64</v>
      </c>
      <c r="G155" t="s">
        <v>89</v>
      </c>
      <c r="H155" t="s">
        <v>90</v>
      </c>
      <c r="I155">
        <v>6</v>
      </c>
      <c r="J155" s="3">
        <v>54.78</v>
      </c>
      <c r="K155" s="2">
        <v>0</v>
      </c>
      <c r="L155" s="3">
        <v>328.68</v>
      </c>
      <c r="M155" s="3">
        <v>65.709999999999994</v>
      </c>
      <c r="N155" t="s">
        <v>20</v>
      </c>
      <c r="O155" s="3"/>
      <c r="P155" s="3"/>
    </row>
    <row r="156" spans="1:16" x14ac:dyDescent="0.3">
      <c r="A156" t="s">
        <v>591</v>
      </c>
      <c r="B156" s="9" t="s">
        <v>592</v>
      </c>
      <c r="C156" s="20" t="str">
        <f t="shared" si="2"/>
        <v>Aug</v>
      </c>
      <c r="D156" t="s">
        <v>593</v>
      </c>
      <c r="E156" s="10" t="s">
        <v>594</v>
      </c>
      <c r="F156" t="s">
        <v>32</v>
      </c>
      <c r="G156" t="s">
        <v>26</v>
      </c>
      <c r="H156" t="s">
        <v>27</v>
      </c>
      <c r="I156">
        <v>3</v>
      </c>
      <c r="J156" s="3">
        <v>123.34</v>
      </c>
      <c r="K156" s="2">
        <v>0.1</v>
      </c>
      <c r="L156" s="3">
        <v>333.02</v>
      </c>
      <c r="M156" s="3">
        <v>60.77</v>
      </c>
      <c r="N156" t="s">
        <v>40</v>
      </c>
      <c r="O156" s="3"/>
      <c r="P156" s="3"/>
    </row>
    <row r="157" spans="1:16" x14ac:dyDescent="0.3">
      <c r="A157" t="s">
        <v>595</v>
      </c>
      <c r="B157" s="9" t="s">
        <v>596</v>
      </c>
      <c r="C157" s="20" t="str">
        <f t="shared" si="2"/>
        <v>Sep</v>
      </c>
      <c r="D157" t="s">
        <v>597</v>
      </c>
      <c r="E157" s="10" t="s">
        <v>598</v>
      </c>
      <c r="F157" t="s">
        <v>32</v>
      </c>
      <c r="G157" t="s">
        <v>89</v>
      </c>
      <c r="H157" t="s">
        <v>131</v>
      </c>
      <c r="I157">
        <v>3</v>
      </c>
      <c r="J157" s="3">
        <v>168.01</v>
      </c>
      <c r="K157" s="2">
        <v>0.1</v>
      </c>
      <c r="L157" s="3">
        <v>453.63</v>
      </c>
      <c r="M157" s="3">
        <v>41.05</v>
      </c>
      <c r="N157" t="s">
        <v>35</v>
      </c>
      <c r="O157" s="3"/>
      <c r="P157" s="3"/>
    </row>
    <row r="158" spans="1:16" x14ac:dyDescent="0.3">
      <c r="A158" t="s">
        <v>599</v>
      </c>
      <c r="B158" s="9" t="s">
        <v>76</v>
      </c>
      <c r="C158" s="20" t="str">
        <f t="shared" si="2"/>
        <v>Apr</v>
      </c>
      <c r="D158" t="s">
        <v>600</v>
      </c>
      <c r="E158" s="10" t="s">
        <v>601</v>
      </c>
      <c r="F158" t="s">
        <v>64</v>
      </c>
      <c r="G158" t="s">
        <v>18</v>
      </c>
      <c r="H158" t="s">
        <v>45</v>
      </c>
      <c r="I158">
        <v>5</v>
      </c>
      <c r="J158" s="3">
        <v>232.33</v>
      </c>
      <c r="K158" s="2">
        <v>0.15</v>
      </c>
      <c r="L158" s="3">
        <v>987.4</v>
      </c>
      <c r="M158" s="3">
        <v>249.77</v>
      </c>
      <c r="N158" t="s">
        <v>20</v>
      </c>
      <c r="O158" s="3"/>
      <c r="P158" s="3"/>
    </row>
    <row r="159" spans="1:16" x14ac:dyDescent="0.3">
      <c r="A159" t="s">
        <v>602</v>
      </c>
      <c r="B159" s="9" t="s">
        <v>603</v>
      </c>
      <c r="C159" s="20" t="str">
        <f t="shared" si="2"/>
        <v>Nov</v>
      </c>
      <c r="D159" t="s">
        <v>604</v>
      </c>
      <c r="E159" s="10" t="s">
        <v>605</v>
      </c>
      <c r="F159" t="s">
        <v>59</v>
      </c>
      <c r="G159" t="s">
        <v>18</v>
      </c>
      <c r="H159" t="s">
        <v>19</v>
      </c>
      <c r="I159">
        <v>3</v>
      </c>
      <c r="J159" s="3">
        <v>154.72999999999999</v>
      </c>
      <c r="K159" s="2">
        <v>0</v>
      </c>
      <c r="L159" s="3">
        <v>464.19</v>
      </c>
      <c r="M159" s="3">
        <v>120.82</v>
      </c>
      <c r="N159" t="s">
        <v>35</v>
      </c>
      <c r="O159" s="3"/>
      <c r="P159" s="3"/>
    </row>
    <row r="160" spans="1:16" x14ac:dyDescent="0.3">
      <c r="A160" t="s">
        <v>606</v>
      </c>
      <c r="B160" s="9" t="s">
        <v>607</v>
      </c>
      <c r="C160" s="20" t="str">
        <f t="shared" si="2"/>
        <v>Sep</v>
      </c>
      <c r="D160" t="s">
        <v>608</v>
      </c>
      <c r="E160" s="10" t="s">
        <v>609</v>
      </c>
      <c r="F160" t="s">
        <v>17</v>
      </c>
      <c r="G160" t="s">
        <v>89</v>
      </c>
      <c r="H160" t="s">
        <v>90</v>
      </c>
      <c r="I160">
        <v>8</v>
      </c>
      <c r="J160" s="3">
        <v>185.96</v>
      </c>
      <c r="K160" s="2">
        <v>0</v>
      </c>
      <c r="L160" s="3">
        <v>1487.68</v>
      </c>
      <c r="M160" s="3">
        <v>182.7</v>
      </c>
      <c r="N160" t="s">
        <v>40</v>
      </c>
      <c r="O160" s="3"/>
      <c r="P160" s="3"/>
    </row>
    <row r="161" spans="1:16" x14ac:dyDescent="0.3">
      <c r="A161" t="s">
        <v>610</v>
      </c>
      <c r="B161" s="9" t="s">
        <v>611</v>
      </c>
      <c r="C161" s="20" t="str">
        <f t="shared" si="2"/>
        <v>Jul</v>
      </c>
      <c r="D161" t="s">
        <v>451</v>
      </c>
      <c r="E161" s="10" t="s">
        <v>612</v>
      </c>
      <c r="F161" t="s">
        <v>32</v>
      </c>
      <c r="G161" t="s">
        <v>33</v>
      </c>
      <c r="H161" t="s">
        <v>34</v>
      </c>
      <c r="I161">
        <v>1</v>
      </c>
      <c r="J161" s="3">
        <v>96.05</v>
      </c>
      <c r="K161" s="2">
        <v>0.05</v>
      </c>
      <c r="L161" s="3">
        <v>91.25</v>
      </c>
      <c r="M161" s="3">
        <v>10.64</v>
      </c>
      <c r="N161" t="s">
        <v>35</v>
      </c>
      <c r="O161" s="3"/>
      <c r="P161" s="3"/>
    </row>
    <row r="162" spans="1:16" x14ac:dyDescent="0.3">
      <c r="A162" t="s">
        <v>613</v>
      </c>
      <c r="B162" s="9" t="s">
        <v>341</v>
      </c>
      <c r="C162" s="20" t="str">
        <f t="shared" si="2"/>
        <v>Jul</v>
      </c>
      <c r="D162" t="s">
        <v>614</v>
      </c>
      <c r="E162" s="10" t="s">
        <v>532</v>
      </c>
      <c r="F162" t="s">
        <v>32</v>
      </c>
      <c r="G162" t="s">
        <v>33</v>
      </c>
      <c r="H162" t="s">
        <v>69</v>
      </c>
      <c r="I162">
        <v>8</v>
      </c>
      <c r="J162" s="3">
        <v>22.33</v>
      </c>
      <c r="K162" s="2">
        <v>0</v>
      </c>
      <c r="L162" s="3">
        <v>178.64</v>
      </c>
      <c r="M162" s="3">
        <v>41.49</v>
      </c>
      <c r="N162" t="s">
        <v>35</v>
      </c>
      <c r="O162" s="3"/>
      <c r="P162" s="3"/>
    </row>
    <row r="163" spans="1:16" x14ac:dyDescent="0.3">
      <c r="A163" t="s">
        <v>615</v>
      </c>
      <c r="B163" s="9" t="s">
        <v>616</v>
      </c>
      <c r="C163" s="20" t="str">
        <f t="shared" si="2"/>
        <v>Aug</v>
      </c>
      <c r="D163" t="s">
        <v>617</v>
      </c>
      <c r="E163" s="10" t="s">
        <v>618</v>
      </c>
      <c r="F163" t="s">
        <v>32</v>
      </c>
      <c r="G163" t="s">
        <v>18</v>
      </c>
      <c r="H163" t="s">
        <v>79</v>
      </c>
      <c r="I163">
        <v>3</v>
      </c>
      <c r="J163" s="3">
        <v>209.44</v>
      </c>
      <c r="K163" s="2">
        <v>0.05</v>
      </c>
      <c r="L163" s="3">
        <v>596.9</v>
      </c>
      <c r="M163" s="3">
        <v>139.88</v>
      </c>
      <c r="N163" t="s">
        <v>35</v>
      </c>
      <c r="O163" s="3"/>
      <c r="P163" s="3"/>
    </row>
    <row r="164" spans="1:16" x14ac:dyDescent="0.3">
      <c r="A164" t="s">
        <v>619</v>
      </c>
      <c r="B164" s="9" t="s">
        <v>620</v>
      </c>
      <c r="C164" s="20" t="str">
        <f t="shared" si="2"/>
        <v>Sep</v>
      </c>
      <c r="D164" t="s">
        <v>87</v>
      </c>
      <c r="E164" s="10" t="s">
        <v>621</v>
      </c>
      <c r="F164" t="s">
        <v>32</v>
      </c>
      <c r="G164" t="s">
        <v>26</v>
      </c>
      <c r="H164" t="s">
        <v>27</v>
      </c>
      <c r="I164">
        <v>1</v>
      </c>
      <c r="J164" s="3">
        <v>16.510000000000002</v>
      </c>
      <c r="K164" s="2">
        <v>0.1</v>
      </c>
      <c r="L164" s="3">
        <v>14.86</v>
      </c>
      <c r="M164" s="3">
        <v>4.16</v>
      </c>
      <c r="N164" t="s">
        <v>35</v>
      </c>
      <c r="O164" s="3"/>
      <c r="P164" s="3"/>
    </row>
    <row r="165" spans="1:16" x14ac:dyDescent="0.3">
      <c r="A165" t="s">
        <v>622</v>
      </c>
      <c r="B165" s="9" t="s">
        <v>570</v>
      </c>
      <c r="C165" s="20" t="str">
        <f t="shared" si="2"/>
        <v>Nov</v>
      </c>
      <c r="D165" t="s">
        <v>623</v>
      </c>
      <c r="E165" s="10" t="s">
        <v>624</v>
      </c>
      <c r="F165" t="s">
        <v>17</v>
      </c>
      <c r="G165" t="s">
        <v>33</v>
      </c>
      <c r="H165" t="s">
        <v>74</v>
      </c>
      <c r="I165">
        <v>7</v>
      </c>
      <c r="J165" s="3">
        <v>82.11</v>
      </c>
      <c r="K165" s="2">
        <v>0</v>
      </c>
      <c r="L165" s="3">
        <v>574.77</v>
      </c>
      <c r="M165" s="3">
        <v>130.38</v>
      </c>
      <c r="N165" t="s">
        <v>35</v>
      </c>
      <c r="O165" s="3"/>
      <c r="P165" s="3"/>
    </row>
    <row r="166" spans="1:16" x14ac:dyDescent="0.3">
      <c r="A166" t="s">
        <v>625</v>
      </c>
      <c r="B166" s="9" t="s">
        <v>626</v>
      </c>
      <c r="C166" s="20" t="str">
        <f t="shared" si="2"/>
        <v>Nov</v>
      </c>
      <c r="D166" t="s">
        <v>627</v>
      </c>
      <c r="E166" s="10" t="s">
        <v>628</v>
      </c>
      <c r="F166" t="s">
        <v>32</v>
      </c>
      <c r="G166" t="s">
        <v>89</v>
      </c>
      <c r="H166" t="s">
        <v>90</v>
      </c>
      <c r="I166">
        <v>7</v>
      </c>
      <c r="J166" s="3">
        <v>152.97999999999999</v>
      </c>
      <c r="K166" s="2">
        <v>0.05</v>
      </c>
      <c r="L166" s="3">
        <v>1017.32</v>
      </c>
      <c r="M166" s="3">
        <v>145.5</v>
      </c>
      <c r="N166" t="s">
        <v>35</v>
      </c>
      <c r="O166" s="3"/>
      <c r="P166" s="3"/>
    </row>
    <row r="167" spans="1:16" x14ac:dyDescent="0.3">
      <c r="A167" t="s">
        <v>629</v>
      </c>
      <c r="B167" s="9" t="s">
        <v>630</v>
      </c>
      <c r="C167" s="20" t="str">
        <f t="shared" si="2"/>
        <v>Oct</v>
      </c>
      <c r="D167" t="s">
        <v>339</v>
      </c>
      <c r="E167" s="10" t="s">
        <v>631</v>
      </c>
      <c r="F167" t="s">
        <v>59</v>
      </c>
      <c r="G167" t="s">
        <v>18</v>
      </c>
      <c r="H167" t="s">
        <v>45</v>
      </c>
      <c r="I167">
        <v>2</v>
      </c>
      <c r="J167" s="3">
        <v>49.02</v>
      </c>
      <c r="K167" s="2">
        <v>0</v>
      </c>
      <c r="L167" s="3">
        <v>98.04</v>
      </c>
      <c r="M167" s="3">
        <v>10.96</v>
      </c>
      <c r="N167" t="s">
        <v>40</v>
      </c>
      <c r="O167" s="3"/>
      <c r="P167" s="3"/>
    </row>
    <row r="168" spans="1:16" x14ac:dyDescent="0.3">
      <c r="A168" t="s">
        <v>632</v>
      </c>
      <c r="B168" s="9" t="s">
        <v>306</v>
      </c>
      <c r="C168" s="20" t="str">
        <f t="shared" si="2"/>
        <v>Jul</v>
      </c>
      <c r="D168" t="s">
        <v>633</v>
      </c>
      <c r="E168" s="10" t="s">
        <v>634</v>
      </c>
      <c r="F168" t="s">
        <v>59</v>
      </c>
      <c r="G168" t="s">
        <v>33</v>
      </c>
      <c r="H168" t="s">
        <v>74</v>
      </c>
      <c r="I168">
        <v>6</v>
      </c>
      <c r="J168" s="3">
        <v>120.5</v>
      </c>
      <c r="K168" s="2">
        <v>0.05</v>
      </c>
      <c r="L168" s="3">
        <v>686.85</v>
      </c>
      <c r="M168" s="3">
        <v>164.19</v>
      </c>
      <c r="N168" t="s">
        <v>35</v>
      </c>
      <c r="O168" s="3"/>
      <c r="P168" s="3"/>
    </row>
    <row r="169" spans="1:16" x14ac:dyDescent="0.3">
      <c r="A169" t="s">
        <v>635</v>
      </c>
      <c r="B169" s="9" t="s">
        <v>636</v>
      </c>
      <c r="C169" s="20" t="str">
        <f t="shared" si="2"/>
        <v>Jan</v>
      </c>
      <c r="D169" t="s">
        <v>637</v>
      </c>
      <c r="E169" s="10" t="s">
        <v>237</v>
      </c>
      <c r="F169" t="s">
        <v>32</v>
      </c>
      <c r="G169" t="s">
        <v>33</v>
      </c>
      <c r="H169" t="s">
        <v>34</v>
      </c>
      <c r="I169">
        <v>8</v>
      </c>
      <c r="J169" s="3">
        <v>228.1</v>
      </c>
      <c r="K169" s="2">
        <v>0.15</v>
      </c>
      <c r="L169" s="3">
        <v>1551.08</v>
      </c>
      <c r="M169" s="3">
        <v>400.13</v>
      </c>
      <c r="N169" t="s">
        <v>40</v>
      </c>
      <c r="O169" s="3"/>
      <c r="P169" s="3"/>
    </row>
    <row r="170" spans="1:16" x14ac:dyDescent="0.3">
      <c r="A170" t="s">
        <v>638</v>
      </c>
      <c r="B170" s="9" t="s">
        <v>639</v>
      </c>
      <c r="C170" s="20" t="str">
        <f t="shared" si="2"/>
        <v>Nov</v>
      </c>
      <c r="D170" t="s">
        <v>640</v>
      </c>
      <c r="E170" s="10" t="s">
        <v>641</v>
      </c>
      <c r="F170" t="s">
        <v>59</v>
      </c>
      <c r="G170" t="s">
        <v>89</v>
      </c>
      <c r="H170" t="s">
        <v>150</v>
      </c>
      <c r="I170">
        <v>1</v>
      </c>
      <c r="J170" s="3">
        <v>107.36</v>
      </c>
      <c r="K170" s="2">
        <v>0.15</v>
      </c>
      <c r="L170" s="3">
        <v>91.26</v>
      </c>
      <c r="M170" s="3">
        <v>17.63</v>
      </c>
      <c r="N170" t="s">
        <v>40</v>
      </c>
      <c r="O170" s="3"/>
      <c r="P170" s="3"/>
    </row>
    <row r="171" spans="1:16" x14ac:dyDescent="0.3">
      <c r="A171" t="s">
        <v>642</v>
      </c>
      <c r="B171" s="9" t="s">
        <v>643</v>
      </c>
      <c r="C171" s="20" t="str">
        <f t="shared" si="2"/>
        <v>Aug</v>
      </c>
      <c r="D171" t="s">
        <v>644</v>
      </c>
      <c r="E171" s="10" t="s">
        <v>645</v>
      </c>
      <c r="F171" t="s">
        <v>59</v>
      </c>
      <c r="G171" t="s">
        <v>26</v>
      </c>
      <c r="H171" t="s">
        <v>27</v>
      </c>
      <c r="I171">
        <v>4</v>
      </c>
      <c r="J171" s="3">
        <v>175.33</v>
      </c>
      <c r="K171" s="2">
        <v>0.05</v>
      </c>
      <c r="L171" s="3">
        <v>666.25</v>
      </c>
      <c r="M171" s="3">
        <v>169.89</v>
      </c>
      <c r="N171" t="s">
        <v>20</v>
      </c>
      <c r="O171" s="3"/>
      <c r="P171" s="3"/>
    </row>
    <row r="172" spans="1:16" x14ac:dyDescent="0.3">
      <c r="A172" t="s">
        <v>646</v>
      </c>
      <c r="B172" s="9" t="s">
        <v>592</v>
      </c>
      <c r="C172" s="20" t="str">
        <f t="shared" si="2"/>
        <v>Aug</v>
      </c>
      <c r="D172" t="s">
        <v>647</v>
      </c>
      <c r="E172" s="10" t="s">
        <v>648</v>
      </c>
      <c r="F172" t="s">
        <v>64</v>
      </c>
      <c r="G172" t="s">
        <v>33</v>
      </c>
      <c r="H172" t="s">
        <v>50</v>
      </c>
      <c r="I172">
        <v>5</v>
      </c>
      <c r="J172" s="3">
        <v>243.02</v>
      </c>
      <c r="K172" s="2">
        <v>0.05</v>
      </c>
      <c r="L172" s="3">
        <v>1154.3499999999999</v>
      </c>
      <c r="M172" s="3">
        <v>186.64</v>
      </c>
      <c r="N172" t="s">
        <v>40</v>
      </c>
      <c r="O172" s="3"/>
      <c r="P172" s="3"/>
    </row>
    <row r="173" spans="1:16" x14ac:dyDescent="0.3">
      <c r="A173" t="s">
        <v>649</v>
      </c>
      <c r="B173" s="9" t="s">
        <v>650</v>
      </c>
      <c r="C173" s="20" t="str">
        <f t="shared" si="2"/>
        <v>Mar</v>
      </c>
      <c r="D173" t="s">
        <v>283</v>
      </c>
      <c r="E173" s="10" t="s">
        <v>651</v>
      </c>
      <c r="F173" t="s">
        <v>32</v>
      </c>
      <c r="G173" t="s">
        <v>18</v>
      </c>
      <c r="H173" t="s">
        <v>19</v>
      </c>
      <c r="I173">
        <v>8</v>
      </c>
      <c r="J173" s="3">
        <v>23.95</v>
      </c>
      <c r="K173" s="2">
        <v>0.15</v>
      </c>
      <c r="L173" s="3">
        <v>162.86000000000001</v>
      </c>
      <c r="M173" s="3">
        <v>46.41</v>
      </c>
      <c r="N173" t="s">
        <v>35</v>
      </c>
      <c r="O173" s="3"/>
      <c r="P173" s="3"/>
    </row>
    <row r="174" spans="1:16" x14ac:dyDescent="0.3">
      <c r="A174" t="s">
        <v>652</v>
      </c>
      <c r="B174" s="9" t="s">
        <v>653</v>
      </c>
      <c r="C174" s="20" t="str">
        <f t="shared" si="2"/>
        <v>Mar</v>
      </c>
      <c r="D174" t="s">
        <v>654</v>
      </c>
      <c r="E174" s="10" t="s">
        <v>655</v>
      </c>
      <c r="F174" t="s">
        <v>25</v>
      </c>
      <c r="G174" t="s">
        <v>33</v>
      </c>
      <c r="H174" t="s">
        <v>50</v>
      </c>
      <c r="I174">
        <v>1</v>
      </c>
      <c r="J174" s="3">
        <v>45.95</v>
      </c>
      <c r="K174" s="2">
        <v>0.1</v>
      </c>
      <c r="L174" s="3">
        <v>41.36</v>
      </c>
      <c r="M174" s="3">
        <v>11.18</v>
      </c>
      <c r="N174" t="s">
        <v>35</v>
      </c>
      <c r="O174" s="3"/>
      <c r="P174" s="3"/>
    </row>
    <row r="175" spans="1:16" x14ac:dyDescent="0.3">
      <c r="A175" t="s">
        <v>656</v>
      </c>
      <c r="B175" s="9" t="s">
        <v>657</v>
      </c>
      <c r="C175" s="20" t="str">
        <f t="shared" si="2"/>
        <v>Dec</v>
      </c>
      <c r="D175" t="s">
        <v>243</v>
      </c>
      <c r="E175" s="10" t="s">
        <v>658</v>
      </c>
      <c r="F175" t="s">
        <v>32</v>
      </c>
      <c r="G175" t="s">
        <v>33</v>
      </c>
      <c r="H175" t="s">
        <v>50</v>
      </c>
      <c r="I175">
        <v>8</v>
      </c>
      <c r="J175" s="3">
        <v>63.4</v>
      </c>
      <c r="K175" s="2">
        <v>0.05</v>
      </c>
      <c r="L175" s="3">
        <v>481.84</v>
      </c>
      <c r="M175" s="3">
        <v>124.45</v>
      </c>
      <c r="N175" t="s">
        <v>40</v>
      </c>
      <c r="O175" s="3"/>
      <c r="P175" s="3"/>
    </row>
    <row r="176" spans="1:16" x14ac:dyDescent="0.3">
      <c r="A176" t="s">
        <v>659</v>
      </c>
      <c r="B176" s="9" t="s">
        <v>362</v>
      </c>
      <c r="C176" s="20" t="str">
        <f t="shared" si="2"/>
        <v>Jun</v>
      </c>
      <c r="D176" t="s">
        <v>660</v>
      </c>
      <c r="E176" s="10" t="s">
        <v>661</v>
      </c>
      <c r="F176" t="s">
        <v>64</v>
      </c>
      <c r="G176" t="s">
        <v>18</v>
      </c>
      <c r="H176" t="s">
        <v>79</v>
      </c>
      <c r="I176">
        <v>1</v>
      </c>
      <c r="J176" s="3">
        <v>12.39</v>
      </c>
      <c r="K176" s="2">
        <v>0</v>
      </c>
      <c r="L176" s="3">
        <v>12.39</v>
      </c>
      <c r="M176" s="3">
        <v>2.5099999999999998</v>
      </c>
      <c r="N176" t="s">
        <v>20</v>
      </c>
      <c r="O176" s="3"/>
      <c r="P176" s="3"/>
    </row>
    <row r="177" spans="1:16" x14ac:dyDescent="0.3">
      <c r="A177" t="s">
        <v>662</v>
      </c>
      <c r="B177" s="9" t="s">
        <v>663</v>
      </c>
      <c r="C177" s="20" t="str">
        <f t="shared" si="2"/>
        <v>Oct</v>
      </c>
      <c r="D177" t="s">
        <v>640</v>
      </c>
      <c r="E177" s="10" t="s">
        <v>376</v>
      </c>
      <c r="F177" t="s">
        <v>59</v>
      </c>
      <c r="G177" t="s">
        <v>18</v>
      </c>
      <c r="H177" t="s">
        <v>19</v>
      </c>
      <c r="I177">
        <v>3</v>
      </c>
      <c r="J177" s="3">
        <v>131.1</v>
      </c>
      <c r="K177" s="2">
        <v>0.05</v>
      </c>
      <c r="L177" s="3">
        <v>373.63</v>
      </c>
      <c r="M177" s="3">
        <v>87.77</v>
      </c>
      <c r="N177" t="s">
        <v>40</v>
      </c>
      <c r="O177" s="3"/>
      <c r="P177" s="3"/>
    </row>
    <row r="178" spans="1:16" x14ac:dyDescent="0.3">
      <c r="A178" t="s">
        <v>664</v>
      </c>
      <c r="B178" s="9" t="s">
        <v>665</v>
      </c>
      <c r="C178" s="20" t="str">
        <f t="shared" si="2"/>
        <v>Aug</v>
      </c>
      <c r="D178" t="s">
        <v>578</v>
      </c>
      <c r="E178" s="10" t="s">
        <v>666</v>
      </c>
      <c r="F178" t="s">
        <v>25</v>
      </c>
      <c r="G178" t="s">
        <v>18</v>
      </c>
      <c r="H178" t="s">
        <v>45</v>
      </c>
      <c r="I178">
        <v>3</v>
      </c>
      <c r="J178" s="3">
        <v>113.38</v>
      </c>
      <c r="K178" s="2">
        <v>0.1</v>
      </c>
      <c r="L178" s="3">
        <v>306.13</v>
      </c>
      <c r="M178" s="3">
        <v>32.979999999999997</v>
      </c>
      <c r="N178" t="s">
        <v>40</v>
      </c>
      <c r="O178" s="3"/>
      <c r="P178" s="3"/>
    </row>
    <row r="179" spans="1:16" x14ac:dyDescent="0.3">
      <c r="A179" t="s">
        <v>667</v>
      </c>
      <c r="B179" s="9" t="s">
        <v>167</v>
      </c>
      <c r="C179" s="20" t="str">
        <f t="shared" si="2"/>
        <v>Apr</v>
      </c>
      <c r="D179" t="s">
        <v>668</v>
      </c>
      <c r="E179" s="10" t="s">
        <v>669</v>
      </c>
      <c r="F179" t="s">
        <v>25</v>
      </c>
      <c r="G179" t="s">
        <v>89</v>
      </c>
      <c r="H179" t="s">
        <v>90</v>
      </c>
      <c r="I179">
        <v>7</v>
      </c>
      <c r="J179" s="3">
        <v>128.03</v>
      </c>
      <c r="K179" s="2">
        <v>0.05</v>
      </c>
      <c r="L179" s="3">
        <v>851.4</v>
      </c>
      <c r="M179" s="3">
        <v>220.37</v>
      </c>
      <c r="N179" t="s">
        <v>40</v>
      </c>
      <c r="O179" s="3"/>
      <c r="P179" s="3"/>
    </row>
    <row r="180" spans="1:16" x14ac:dyDescent="0.3">
      <c r="A180" t="s">
        <v>670</v>
      </c>
      <c r="B180" s="9" t="s">
        <v>671</v>
      </c>
      <c r="C180" s="20" t="str">
        <f t="shared" si="2"/>
        <v>Aug</v>
      </c>
      <c r="D180" t="s">
        <v>310</v>
      </c>
      <c r="E180" s="10" t="s">
        <v>54</v>
      </c>
      <c r="F180" t="s">
        <v>64</v>
      </c>
      <c r="G180" t="s">
        <v>33</v>
      </c>
      <c r="H180" t="s">
        <v>74</v>
      </c>
      <c r="I180">
        <v>7</v>
      </c>
      <c r="J180" s="3">
        <v>106.4</v>
      </c>
      <c r="K180" s="2">
        <v>0</v>
      </c>
      <c r="L180" s="3">
        <v>744.8</v>
      </c>
      <c r="M180" s="3">
        <v>63.15</v>
      </c>
      <c r="N180" t="s">
        <v>35</v>
      </c>
      <c r="O180" s="3"/>
      <c r="P180" s="3"/>
    </row>
    <row r="181" spans="1:16" x14ac:dyDescent="0.3">
      <c r="A181" t="s">
        <v>672</v>
      </c>
      <c r="B181" s="9" t="s">
        <v>306</v>
      </c>
      <c r="C181" s="20" t="str">
        <f t="shared" si="2"/>
        <v>Jul</v>
      </c>
      <c r="D181" t="s">
        <v>673</v>
      </c>
      <c r="E181" s="10" t="s">
        <v>674</v>
      </c>
      <c r="F181" t="s">
        <v>32</v>
      </c>
      <c r="G181" t="s">
        <v>33</v>
      </c>
      <c r="H181" t="s">
        <v>69</v>
      </c>
      <c r="I181">
        <v>1</v>
      </c>
      <c r="J181" s="3">
        <v>248.26</v>
      </c>
      <c r="K181" s="2">
        <v>0.15</v>
      </c>
      <c r="L181" s="3">
        <v>211.02</v>
      </c>
      <c r="M181" s="3">
        <v>53.07</v>
      </c>
      <c r="N181" t="s">
        <v>20</v>
      </c>
      <c r="O181" s="3"/>
      <c r="P181" s="3"/>
    </row>
    <row r="182" spans="1:16" x14ac:dyDescent="0.3">
      <c r="A182" t="s">
        <v>675</v>
      </c>
      <c r="B182" s="9" t="s">
        <v>676</v>
      </c>
      <c r="C182" s="20" t="str">
        <f t="shared" si="2"/>
        <v>Dec</v>
      </c>
      <c r="D182" t="s">
        <v>67</v>
      </c>
      <c r="E182" s="10" t="s">
        <v>266</v>
      </c>
      <c r="F182" t="s">
        <v>25</v>
      </c>
      <c r="G182" t="s">
        <v>26</v>
      </c>
      <c r="H182" t="s">
        <v>27</v>
      </c>
      <c r="I182">
        <v>6</v>
      </c>
      <c r="J182" s="3">
        <v>39.119999999999997</v>
      </c>
      <c r="K182" s="2">
        <v>0</v>
      </c>
      <c r="L182" s="3">
        <v>234.72</v>
      </c>
      <c r="M182" s="3">
        <v>51.58</v>
      </c>
      <c r="N182" t="s">
        <v>20</v>
      </c>
      <c r="O182" s="3"/>
      <c r="P182" s="3"/>
    </row>
    <row r="183" spans="1:16" x14ac:dyDescent="0.3">
      <c r="A183" t="s">
        <v>677</v>
      </c>
      <c r="B183" s="9" t="s">
        <v>678</v>
      </c>
      <c r="C183" s="20" t="str">
        <f t="shared" si="2"/>
        <v>Sep</v>
      </c>
      <c r="D183" t="s">
        <v>93</v>
      </c>
      <c r="E183" s="10" t="s">
        <v>679</v>
      </c>
      <c r="F183" t="s">
        <v>64</v>
      </c>
      <c r="G183" t="s">
        <v>26</v>
      </c>
      <c r="H183" t="s">
        <v>84</v>
      </c>
      <c r="I183">
        <v>1</v>
      </c>
      <c r="J183" s="3">
        <v>143.06</v>
      </c>
      <c r="K183" s="2">
        <v>0.15</v>
      </c>
      <c r="L183" s="3">
        <v>121.6</v>
      </c>
      <c r="M183" s="3">
        <v>16.05</v>
      </c>
      <c r="N183" t="s">
        <v>40</v>
      </c>
      <c r="O183" s="3"/>
      <c r="P183" s="3"/>
    </row>
    <row r="184" spans="1:16" x14ac:dyDescent="0.3">
      <c r="A184" t="s">
        <v>680</v>
      </c>
      <c r="B184" s="9" t="s">
        <v>681</v>
      </c>
      <c r="C184" s="20" t="str">
        <f t="shared" si="2"/>
        <v>Jan</v>
      </c>
      <c r="D184" t="s">
        <v>682</v>
      </c>
      <c r="E184" s="10" t="s">
        <v>175</v>
      </c>
      <c r="F184" t="s">
        <v>17</v>
      </c>
      <c r="G184" t="s">
        <v>26</v>
      </c>
      <c r="H184" t="s">
        <v>27</v>
      </c>
      <c r="I184">
        <v>4</v>
      </c>
      <c r="J184" s="3">
        <v>101.58</v>
      </c>
      <c r="K184" s="2">
        <v>0.05</v>
      </c>
      <c r="L184" s="3">
        <v>386</v>
      </c>
      <c r="M184" s="3">
        <v>102.12</v>
      </c>
      <c r="N184" t="s">
        <v>35</v>
      </c>
      <c r="O184" s="3"/>
      <c r="P184" s="3"/>
    </row>
    <row r="185" spans="1:16" x14ac:dyDescent="0.3">
      <c r="A185" t="s">
        <v>683</v>
      </c>
      <c r="B185" s="9" t="s">
        <v>616</v>
      </c>
      <c r="C185" s="20" t="str">
        <f t="shared" si="2"/>
        <v>Aug</v>
      </c>
      <c r="D185" t="s">
        <v>684</v>
      </c>
      <c r="E185" s="10" t="s">
        <v>581</v>
      </c>
      <c r="F185" t="s">
        <v>25</v>
      </c>
      <c r="G185" t="s">
        <v>26</v>
      </c>
      <c r="H185" t="s">
        <v>118</v>
      </c>
      <c r="I185">
        <v>8</v>
      </c>
      <c r="J185" s="3">
        <v>11.54</v>
      </c>
      <c r="K185" s="2">
        <v>0.15</v>
      </c>
      <c r="L185" s="3">
        <v>78.47</v>
      </c>
      <c r="M185" s="3">
        <v>9.0299999999999994</v>
      </c>
      <c r="N185" t="s">
        <v>35</v>
      </c>
      <c r="O185" s="3"/>
      <c r="P185" s="3"/>
    </row>
    <row r="186" spans="1:16" x14ac:dyDescent="0.3">
      <c r="A186" t="s">
        <v>685</v>
      </c>
      <c r="B186" s="9" t="s">
        <v>686</v>
      </c>
      <c r="C186" s="20" t="str">
        <f t="shared" si="2"/>
        <v>Aug</v>
      </c>
      <c r="D186" t="s">
        <v>687</v>
      </c>
      <c r="E186" s="10" t="s">
        <v>688</v>
      </c>
      <c r="F186" t="s">
        <v>59</v>
      </c>
      <c r="G186" t="s">
        <v>33</v>
      </c>
      <c r="H186" t="s">
        <v>74</v>
      </c>
      <c r="I186">
        <v>1</v>
      </c>
      <c r="J186" s="3">
        <v>220.74</v>
      </c>
      <c r="K186" s="2">
        <v>0.05</v>
      </c>
      <c r="L186" s="3">
        <v>209.7</v>
      </c>
      <c r="M186" s="3">
        <v>31.87</v>
      </c>
      <c r="N186" t="s">
        <v>20</v>
      </c>
      <c r="O186" s="3"/>
      <c r="P186" s="3"/>
    </row>
    <row r="187" spans="1:16" x14ac:dyDescent="0.3">
      <c r="A187" t="s">
        <v>693</v>
      </c>
      <c r="B187" s="9" t="s">
        <v>412</v>
      </c>
      <c r="C187" s="20" t="str">
        <f t="shared" si="2"/>
        <v>Feb</v>
      </c>
      <c r="D187" t="s">
        <v>694</v>
      </c>
      <c r="E187" s="10" t="s">
        <v>695</v>
      </c>
      <c r="F187" t="s">
        <v>59</v>
      </c>
      <c r="G187" t="s">
        <v>89</v>
      </c>
      <c r="H187" t="s">
        <v>150</v>
      </c>
      <c r="I187">
        <v>1</v>
      </c>
      <c r="J187" s="3">
        <v>154.77000000000001</v>
      </c>
      <c r="K187" s="2">
        <v>0.1</v>
      </c>
      <c r="L187" s="3">
        <v>139.29</v>
      </c>
      <c r="M187" s="3">
        <v>36.25</v>
      </c>
      <c r="N187" t="s">
        <v>35</v>
      </c>
      <c r="O187" s="3"/>
      <c r="P187" s="3"/>
    </row>
    <row r="188" spans="1:16" x14ac:dyDescent="0.3">
      <c r="A188" t="s">
        <v>696</v>
      </c>
      <c r="B188" s="9" t="s">
        <v>697</v>
      </c>
      <c r="C188" s="20" t="str">
        <f t="shared" si="2"/>
        <v>Oct</v>
      </c>
      <c r="D188" t="s">
        <v>698</v>
      </c>
      <c r="E188" s="10" t="s">
        <v>699</v>
      </c>
      <c r="F188" t="s">
        <v>32</v>
      </c>
      <c r="G188" t="s">
        <v>26</v>
      </c>
      <c r="H188" t="s">
        <v>84</v>
      </c>
      <c r="I188">
        <v>4</v>
      </c>
      <c r="J188" s="3">
        <v>77.3</v>
      </c>
      <c r="K188" s="2">
        <v>0.05</v>
      </c>
      <c r="L188" s="3">
        <v>293.74</v>
      </c>
      <c r="M188" s="3">
        <v>74.47</v>
      </c>
      <c r="N188" t="s">
        <v>20</v>
      </c>
      <c r="O188" s="3"/>
      <c r="P188" s="3"/>
    </row>
    <row r="189" spans="1:16" x14ac:dyDescent="0.3">
      <c r="A189" t="s">
        <v>700</v>
      </c>
      <c r="B189" s="9" t="s">
        <v>701</v>
      </c>
      <c r="C189" s="20" t="str">
        <f t="shared" si="2"/>
        <v>Nov</v>
      </c>
      <c r="D189" t="s">
        <v>702</v>
      </c>
      <c r="E189" s="10" t="s">
        <v>703</v>
      </c>
      <c r="F189" t="s">
        <v>59</v>
      </c>
      <c r="G189" t="s">
        <v>18</v>
      </c>
      <c r="H189" t="s">
        <v>19</v>
      </c>
      <c r="I189">
        <v>8</v>
      </c>
      <c r="J189" s="3">
        <v>81.12</v>
      </c>
      <c r="K189" s="2">
        <v>0</v>
      </c>
      <c r="L189" s="3">
        <v>648.96</v>
      </c>
      <c r="M189" s="3">
        <v>145.56</v>
      </c>
      <c r="N189" t="s">
        <v>35</v>
      </c>
      <c r="O189" s="3"/>
      <c r="P189" s="3"/>
    </row>
    <row r="190" spans="1:16" x14ac:dyDescent="0.3">
      <c r="A190" t="s">
        <v>704</v>
      </c>
      <c r="B190" s="9" t="s">
        <v>705</v>
      </c>
      <c r="C190" s="20" t="str">
        <f t="shared" si="2"/>
        <v>Mar</v>
      </c>
      <c r="D190" t="s">
        <v>706</v>
      </c>
      <c r="E190" s="10" t="s">
        <v>518</v>
      </c>
      <c r="F190" t="s">
        <v>64</v>
      </c>
      <c r="G190" t="s">
        <v>89</v>
      </c>
      <c r="H190" t="s">
        <v>131</v>
      </c>
      <c r="I190">
        <v>6</v>
      </c>
      <c r="J190" s="3">
        <v>31.78</v>
      </c>
      <c r="K190" s="2">
        <v>0</v>
      </c>
      <c r="L190" s="3">
        <v>190.68</v>
      </c>
      <c r="M190" s="3">
        <v>37.090000000000003</v>
      </c>
      <c r="N190" t="s">
        <v>40</v>
      </c>
      <c r="O190" s="3"/>
      <c r="P190" s="3"/>
    </row>
    <row r="191" spans="1:16" x14ac:dyDescent="0.3">
      <c r="A191" t="s">
        <v>707</v>
      </c>
      <c r="B191" s="9" t="s">
        <v>708</v>
      </c>
      <c r="C191" s="20" t="str">
        <f t="shared" si="2"/>
        <v>Oct</v>
      </c>
      <c r="D191" t="s">
        <v>709</v>
      </c>
      <c r="E191" s="10" t="s">
        <v>710</v>
      </c>
      <c r="F191" t="s">
        <v>25</v>
      </c>
      <c r="G191" t="s">
        <v>18</v>
      </c>
      <c r="H191" t="s">
        <v>79</v>
      </c>
      <c r="I191">
        <v>1</v>
      </c>
      <c r="J191" s="3">
        <v>194.55</v>
      </c>
      <c r="K191" s="2">
        <v>0.05</v>
      </c>
      <c r="L191" s="3">
        <v>184.82</v>
      </c>
      <c r="M191" s="3">
        <v>31.81</v>
      </c>
      <c r="N191" t="s">
        <v>35</v>
      </c>
      <c r="O191" s="3"/>
      <c r="P191" s="3"/>
    </row>
    <row r="192" spans="1:16" x14ac:dyDescent="0.3">
      <c r="A192" t="s">
        <v>711</v>
      </c>
      <c r="B192" s="9" t="s">
        <v>712</v>
      </c>
      <c r="C192" s="20" t="str">
        <f t="shared" si="2"/>
        <v>Jul</v>
      </c>
      <c r="D192" t="s">
        <v>713</v>
      </c>
      <c r="E192" s="10" t="s">
        <v>634</v>
      </c>
      <c r="F192" t="s">
        <v>32</v>
      </c>
      <c r="G192" t="s">
        <v>26</v>
      </c>
      <c r="H192" t="s">
        <v>27</v>
      </c>
      <c r="I192">
        <v>4</v>
      </c>
      <c r="J192" s="3">
        <v>52.31</v>
      </c>
      <c r="K192" s="2">
        <v>0.1</v>
      </c>
      <c r="L192" s="3">
        <v>188.32</v>
      </c>
      <c r="M192" s="3">
        <v>50.76</v>
      </c>
      <c r="N192" t="s">
        <v>20</v>
      </c>
      <c r="O192" s="3"/>
      <c r="P192" s="3"/>
    </row>
    <row r="193" spans="1:16" x14ac:dyDescent="0.3">
      <c r="A193" t="s">
        <v>714</v>
      </c>
      <c r="B193" s="9" t="s">
        <v>715</v>
      </c>
      <c r="C193" s="20" t="str">
        <f t="shared" si="2"/>
        <v>Jun</v>
      </c>
      <c r="D193" t="s">
        <v>668</v>
      </c>
      <c r="E193" s="10" t="s">
        <v>390</v>
      </c>
      <c r="F193" t="s">
        <v>59</v>
      </c>
      <c r="G193" t="s">
        <v>89</v>
      </c>
      <c r="H193" t="s">
        <v>90</v>
      </c>
      <c r="I193">
        <v>5</v>
      </c>
      <c r="J193" s="3">
        <v>28.1</v>
      </c>
      <c r="K193" s="2">
        <v>0.1</v>
      </c>
      <c r="L193" s="3">
        <v>126.45</v>
      </c>
      <c r="M193" s="3">
        <v>34.340000000000003</v>
      </c>
      <c r="N193" t="s">
        <v>35</v>
      </c>
      <c r="O193" s="3"/>
      <c r="P193" s="3"/>
    </row>
    <row r="194" spans="1:16" x14ac:dyDescent="0.3">
      <c r="A194" t="s">
        <v>716</v>
      </c>
      <c r="B194" s="9" t="s">
        <v>423</v>
      </c>
      <c r="C194" s="20" t="str">
        <f t="shared" ref="C194:C257" si="3">TEXT(B:B, "mmm")</f>
        <v>Oct</v>
      </c>
      <c r="D194" t="s">
        <v>717</v>
      </c>
      <c r="E194" s="10" t="s">
        <v>718</v>
      </c>
      <c r="F194" t="s">
        <v>32</v>
      </c>
      <c r="G194" t="s">
        <v>18</v>
      </c>
      <c r="H194" t="s">
        <v>19</v>
      </c>
      <c r="I194">
        <v>5</v>
      </c>
      <c r="J194" s="3">
        <v>74.83</v>
      </c>
      <c r="K194" s="2">
        <v>0.1</v>
      </c>
      <c r="L194" s="3">
        <v>336.74</v>
      </c>
      <c r="M194" s="3">
        <v>29.04</v>
      </c>
      <c r="N194" t="s">
        <v>20</v>
      </c>
      <c r="O194" s="3"/>
      <c r="P194" s="3"/>
    </row>
    <row r="195" spans="1:16" x14ac:dyDescent="0.3">
      <c r="A195" t="s">
        <v>719</v>
      </c>
      <c r="B195" s="9" t="s">
        <v>92</v>
      </c>
      <c r="C195" s="20" t="str">
        <f t="shared" si="3"/>
        <v>Nov</v>
      </c>
      <c r="D195" t="s">
        <v>720</v>
      </c>
      <c r="E195" s="10" t="s">
        <v>39</v>
      </c>
      <c r="F195" t="s">
        <v>59</v>
      </c>
      <c r="G195" t="s">
        <v>26</v>
      </c>
      <c r="H195" t="s">
        <v>84</v>
      </c>
      <c r="I195">
        <v>5</v>
      </c>
      <c r="J195" s="3">
        <v>153.91</v>
      </c>
      <c r="K195" s="2">
        <v>0.15</v>
      </c>
      <c r="L195" s="3">
        <v>654.12</v>
      </c>
      <c r="M195" s="3">
        <v>135.54</v>
      </c>
      <c r="N195" t="s">
        <v>40</v>
      </c>
      <c r="O195" s="3"/>
      <c r="P195" s="3"/>
    </row>
    <row r="196" spans="1:16" x14ac:dyDescent="0.3">
      <c r="A196" t="s">
        <v>721</v>
      </c>
      <c r="B196" s="9" t="s">
        <v>722</v>
      </c>
      <c r="C196" s="20" t="str">
        <f t="shared" si="3"/>
        <v>Feb</v>
      </c>
      <c r="D196" t="s">
        <v>276</v>
      </c>
      <c r="E196" s="10" t="s">
        <v>723</v>
      </c>
      <c r="F196" t="s">
        <v>25</v>
      </c>
      <c r="G196" t="s">
        <v>26</v>
      </c>
      <c r="H196" t="s">
        <v>27</v>
      </c>
      <c r="I196">
        <v>6</v>
      </c>
      <c r="J196" s="3">
        <v>113.06</v>
      </c>
      <c r="K196" s="2">
        <v>0</v>
      </c>
      <c r="L196" s="3">
        <v>678.36</v>
      </c>
      <c r="M196" s="3">
        <v>162.58000000000001</v>
      </c>
      <c r="N196" t="s">
        <v>20</v>
      </c>
      <c r="O196" s="3"/>
      <c r="P196" s="3"/>
    </row>
    <row r="197" spans="1:16" x14ac:dyDescent="0.3">
      <c r="A197" t="s">
        <v>724</v>
      </c>
      <c r="B197" s="9" t="s">
        <v>388</v>
      </c>
      <c r="C197" s="20" t="str">
        <f t="shared" si="3"/>
        <v>Aug</v>
      </c>
      <c r="D197" t="s">
        <v>725</v>
      </c>
      <c r="E197" s="10" t="s">
        <v>726</v>
      </c>
      <c r="F197" t="s">
        <v>59</v>
      </c>
      <c r="G197" t="s">
        <v>26</v>
      </c>
      <c r="H197" t="s">
        <v>118</v>
      </c>
      <c r="I197">
        <v>6</v>
      </c>
      <c r="J197" s="3">
        <v>11.63</v>
      </c>
      <c r="K197" s="2">
        <v>0.05</v>
      </c>
      <c r="L197" s="3">
        <v>66.290000000000006</v>
      </c>
      <c r="M197" s="3">
        <v>14.02</v>
      </c>
      <c r="N197" t="s">
        <v>40</v>
      </c>
      <c r="O197" s="3"/>
      <c r="P197" s="3"/>
    </row>
    <row r="198" spans="1:16" x14ac:dyDescent="0.3">
      <c r="A198" t="s">
        <v>727</v>
      </c>
      <c r="B198" s="9" t="s">
        <v>728</v>
      </c>
      <c r="C198" s="20" t="str">
        <f t="shared" si="3"/>
        <v>Jun</v>
      </c>
      <c r="D198" t="s">
        <v>729</v>
      </c>
      <c r="E198" s="10" t="s">
        <v>568</v>
      </c>
      <c r="F198" t="s">
        <v>64</v>
      </c>
      <c r="G198" t="s">
        <v>89</v>
      </c>
      <c r="H198" t="s">
        <v>131</v>
      </c>
      <c r="I198">
        <v>7</v>
      </c>
      <c r="J198" s="3">
        <v>11.72</v>
      </c>
      <c r="K198" s="2">
        <v>0</v>
      </c>
      <c r="L198" s="3">
        <v>82.04</v>
      </c>
      <c r="M198" s="3">
        <v>7.28</v>
      </c>
      <c r="N198" t="s">
        <v>35</v>
      </c>
      <c r="O198" s="3"/>
      <c r="P198" s="3"/>
    </row>
    <row r="199" spans="1:16" x14ac:dyDescent="0.3">
      <c r="A199" t="s">
        <v>730</v>
      </c>
      <c r="B199" s="9" t="s">
        <v>731</v>
      </c>
      <c r="C199" s="20" t="str">
        <f t="shared" si="3"/>
        <v>Oct</v>
      </c>
      <c r="D199" t="s">
        <v>732</v>
      </c>
      <c r="E199" s="10" t="s">
        <v>512</v>
      </c>
      <c r="F199" t="s">
        <v>17</v>
      </c>
      <c r="G199" t="s">
        <v>89</v>
      </c>
      <c r="H199" t="s">
        <v>150</v>
      </c>
      <c r="I199">
        <v>2</v>
      </c>
      <c r="J199" s="3">
        <v>16.100000000000001</v>
      </c>
      <c r="K199" s="2">
        <v>0.1</v>
      </c>
      <c r="L199" s="3">
        <v>28.98</v>
      </c>
      <c r="M199" s="3">
        <v>3.78</v>
      </c>
      <c r="N199" t="s">
        <v>35</v>
      </c>
      <c r="O199" s="3"/>
      <c r="P199" s="3"/>
    </row>
    <row r="200" spans="1:16" x14ac:dyDescent="0.3">
      <c r="A200" t="s">
        <v>733</v>
      </c>
      <c r="B200" s="9" t="s">
        <v>611</v>
      </c>
      <c r="C200" s="20" t="str">
        <f t="shared" si="3"/>
        <v>Jul</v>
      </c>
      <c r="D200" t="s">
        <v>734</v>
      </c>
      <c r="E200" s="10" t="s">
        <v>609</v>
      </c>
      <c r="F200" t="s">
        <v>32</v>
      </c>
      <c r="G200" t="s">
        <v>26</v>
      </c>
      <c r="H200" t="s">
        <v>27</v>
      </c>
      <c r="I200">
        <v>5</v>
      </c>
      <c r="J200" s="3">
        <v>193.08</v>
      </c>
      <c r="K200" s="2">
        <v>0.1</v>
      </c>
      <c r="L200" s="3">
        <v>868.86</v>
      </c>
      <c r="M200" s="3">
        <v>206.17</v>
      </c>
      <c r="N200" t="s">
        <v>35</v>
      </c>
      <c r="O200" s="3"/>
      <c r="P200" s="3"/>
    </row>
    <row r="201" spans="1:16" x14ac:dyDescent="0.3">
      <c r="A201" t="s">
        <v>735</v>
      </c>
      <c r="B201" s="9" t="s">
        <v>439</v>
      </c>
      <c r="C201" s="20" t="str">
        <f t="shared" si="3"/>
        <v>May</v>
      </c>
      <c r="D201" t="s">
        <v>562</v>
      </c>
      <c r="E201" s="10" t="s">
        <v>718</v>
      </c>
      <c r="F201" t="s">
        <v>25</v>
      </c>
      <c r="G201" t="s">
        <v>18</v>
      </c>
      <c r="H201" t="s">
        <v>45</v>
      </c>
      <c r="I201">
        <v>4</v>
      </c>
      <c r="J201" s="3">
        <v>60.81</v>
      </c>
      <c r="K201" s="2">
        <v>0.15</v>
      </c>
      <c r="L201" s="3">
        <v>206.75</v>
      </c>
      <c r="M201" s="3">
        <v>39.51</v>
      </c>
      <c r="N201" t="s">
        <v>20</v>
      </c>
      <c r="O201" s="3"/>
      <c r="P201" s="3"/>
    </row>
    <row r="202" spans="1:16" x14ac:dyDescent="0.3">
      <c r="A202" t="s">
        <v>736</v>
      </c>
      <c r="B202" s="9" t="s">
        <v>124</v>
      </c>
      <c r="C202" s="20" t="str">
        <f t="shared" si="3"/>
        <v>Jun</v>
      </c>
      <c r="D202" t="s">
        <v>737</v>
      </c>
      <c r="E202" s="10" t="s">
        <v>738</v>
      </c>
      <c r="F202" t="s">
        <v>32</v>
      </c>
      <c r="G202" t="s">
        <v>26</v>
      </c>
      <c r="H202" t="s">
        <v>84</v>
      </c>
      <c r="I202">
        <v>6</v>
      </c>
      <c r="J202" s="3">
        <v>125.88</v>
      </c>
      <c r="K202" s="2">
        <v>0.1</v>
      </c>
      <c r="L202" s="3">
        <v>679.75</v>
      </c>
      <c r="M202" s="3">
        <v>64.849999999999994</v>
      </c>
      <c r="N202" t="s">
        <v>20</v>
      </c>
      <c r="O202" s="3"/>
      <c r="P202" s="3"/>
    </row>
    <row r="203" spans="1:16" x14ac:dyDescent="0.3">
      <c r="A203" t="s">
        <v>739</v>
      </c>
      <c r="B203" s="9" t="s">
        <v>235</v>
      </c>
      <c r="C203" s="20" t="str">
        <f t="shared" si="3"/>
        <v>Jul</v>
      </c>
      <c r="D203" t="s">
        <v>740</v>
      </c>
      <c r="E203" s="10" t="s">
        <v>741</v>
      </c>
      <c r="F203" t="s">
        <v>59</v>
      </c>
      <c r="G203" t="s">
        <v>18</v>
      </c>
      <c r="H203" t="s">
        <v>19</v>
      </c>
      <c r="I203">
        <v>1</v>
      </c>
      <c r="J203" s="3">
        <v>171.91</v>
      </c>
      <c r="K203" s="2">
        <v>0.15</v>
      </c>
      <c r="L203" s="3">
        <v>146.12</v>
      </c>
      <c r="M203" s="3">
        <v>26.82</v>
      </c>
      <c r="N203" t="s">
        <v>40</v>
      </c>
      <c r="O203" s="3"/>
      <c r="P203" s="3"/>
    </row>
    <row r="204" spans="1:16" x14ac:dyDescent="0.3">
      <c r="A204" t="s">
        <v>742</v>
      </c>
      <c r="B204" s="9" t="s">
        <v>743</v>
      </c>
      <c r="C204" s="20" t="str">
        <f t="shared" si="3"/>
        <v>Oct</v>
      </c>
      <c r="D204" t="s">
        <v>744</v>
      </c>
      <c r="E204" s="10" t="s">
        <v>745</v>
      </c>
      <c r="F204" t="s">
        <v>59</v>
      </c>
      <c r="G204" t="s">
        <v>18</v>
      </c>
      <c r="H204" t="s">
        <v>45</v>
      </c>
      <c r="I204">
        <v>2</v>
      </c>
      <c r="J204" s="3">
        <v>112.85</v>
      </c>
      <c r="K204" s="2">
        <v>0.15</v>
      </c>
      <c r="L204" s="3">
        <v>191.84</v>
      </c>
      <c r="M204" s="3">
        <v>28.51</v>
      </c>
      <c r="N204" t="s">
        <v>20</v>
      </c>
      <c r="O204" s="3"/>
      <c r="P204" s="3"/>
    </row>
    <row r="205" spans="1:16" x14ac:dyDescent="0.3">
      <c r="A205" t="s">
        <v>746</v>
      </c>
      <c r="B205" s="9" t="s">
        <v>653</v>
      </c>
      <c r="C205" s="20" t="str">
        <f t="shared" si="3"/>
        <v>Mar</v>
      </c>
      <c r="D205" t="s">
        <v>129</v>
      </c>
      <c r="E205" s="10" t="s">
        <v>747</v>
      </c>
      <c r="F205" t="s">
        <v>64</v>
      </c>
      <c r="G205" t="s">
        <v>18</v>
      </c>
      <c r="H205" t="s">
        <v>79</v>
      </c>
      <c r="I205">
        <v>3</v>
      </c>
      <c r="J205" s="3">
        <v>140.75</v>
      </c>
      <c r="K205" s="2">
        <v>0.15</v>
      </c>
      <c r="L205" s="3">
        <v>358.91</v>
      </c>
      <c r="M205" s="3">
        <v>69.22</v>
      </c>
      <c r="N205" t="s">
        <v>20</v>
      </c>
      <c r="O205" s="3"/>
      <c r="P205" s="3"/>
    </row>
    <row r="206" spans="1:16" x14ac:dyDescent="0.3">
      <c r="A206" t="s">
        <v>748</v>
      </c>
      <c r="B206" s="9" t="s">
        <v>749</v>
      </c>
      <c r="C206" s="20" t="str">
        <f t="shared" si="3"/>
        <v>Mar</v>
      </c>
      <c r="D206" t="s">
        <v>346</v>
      </c>
      <c r="E206" s="10" t="s">
        <v>750</v>
      </c>
      <c r="F206" t="s">
        <v>17</v>
      </c>
      <c r="G206" t="s">
        <v>89</v>
      </c>
      <c r="H206" t="s">
        <v>90</v>
      </c>
      <c r="I206">
        <v>1</v>
      </c>
      <c r="J206" s="3">
        <v>53.83</v>
      </c>
      <c r="K206" s="2">
        <v>0.15</v>
      </c>
      <c r="L206" s="3">
        <v>45.76</v>
      </c>
      <c r="M206" s="3">
        <v>10.77</v>
      </c>
      <c r="N206" t="s">
        <v>20</v>
      </c>
      <c r="O206" s="3"/>
      <c r="P206" s="3"/>
    </row>
    <row r="207" spans="1:16" x14ac:dyDescent="0.3">
      <c r="A207" t="s">
        <v>751</v>
      </c>
      <c r="B207" s="9" t="s">
        <v>752</v>
      </c>
      <c r="C207" s="20" t="str">
        <f t="shared" si="3"/>
        <v>Dec</v>
      </c>
      <c r="D207" t="s">
        <v>753</v>
      </c>
      <c r="E207" s="10" t="s">
        <v>754</v>
      </c>
      <c r="F207" t="s">
        <v>64</v>
      </c>
      <c r="G207" t="s">
        <v>18</v>
      </c>
      <c r="H207" t="s">
        <v>19</v>
      </c>
      <c r="I207">
        <v>6</v>
      </c>
      <c r="J207" s="3">
        <v>189.49</v>
      </c>
      <c r="K207" s="2">
        <v>0.15</v>
      </c>
      <c r="L207" s="3">
        <v>966.4</v>
      </c>
      <c r="M207" s="3">
        <v>112.87</v>
      </c>
      <c r="N207" t="s">
        <v>20</v>
      </c>
      <c r="O207" s="3"/>
      <c r="P207" s="3"/>
    </row>
    <row r="208" spans="1:16" x14ac:dyDescent="0.3">
      <c r="A208" t="s">
        <v>755</v>
      </c>
      <c r="B208" s="9" t="s">
        <v>756</v>
      </c>
      <c r="C208" s="20" t="str">
        <f t="shared" si="3"/>
        <v>Nov</v>
      </c>
      <c r="D208" t="s">
        <v>757</v>
      </c>
      <c r="E208" s="10" t="s">
        <v>758</v>
      </c>
      <c r="F208" t="s">
        <v>59</v>
      </c>
      <c r="G208" t="s">
        <v>26</v>
      </c>
      <c r="H208" t="s">
        <v>84</v>
      </c>
      <c r="I208">
        <v>5</v>
      </c>
      <c r="J208" s="3">
        <v>147.97</v>
      </c>
      <c r="K208" s="2">
        <v>0.1</v>
      </c>
      <c r="L208" s="3">
        <v>665.87</v>
      </c>
      <c r="M208" s="3">
        <v>168.03</v>
      </c>
      <c r="N208" t="s">
        <v>35</v>
      </c>
      <c r="O208" s="3"/>
      <c r="P208" s="3"/>
    </row>
    <row r="209" spans="1:16" x14ac:dyDescent="0.3">
      <c r="A209" t="s">
        <v>759</v>
      </c>
      <c r="B209" s="9" t="s">
        <v>760</v>
      </c>
      <c r="C209" s="20" t="str">
        <f t="shared" si="3"/>
        <v>Dec</v>
      </c>
      <c r="D209" t="s">
        <v>504</v>
      </c>
      <c r="E209" s="10" t="s">
        <v>761</v>
      </c>
      <c r="F209" t="s">
        <v>59</v>
      </c>
      <c r="G209" t="s">
        <v>26</v>
      </c>
      <c r="H209" t="s">
        <v>118</v>
      </c>
      <c r="I209">
        <v>8</v>
      </c>
      <c r="J209" s="3">
        <v>53.43</v>
      </c>
      <c r="K209" s="2">
        <v>0.05</v>
      </c>
      <c r="L209" s="3">
        <v>406.07</v>
      </c>
      <c r="M209" s="3">
        <v>39.17</v>
      </c>
      <c r="N209" t="s">
        <v>20</v>
      </c>
      <c r="O209" s="3"/>
      <c r="P209" s="3"/>
    </row>
    <row r="210" spans="1:16" x14ac:dyDescent="0.3">
      <c r="A210" t="s">
        <v>762</v>
      </c>
      <c r="B210" s="9" t="s">
        <v>76</v>
      </c>
      <c r="C210" s="20" t="str">
        <f t="shared" si="3"/>
        <v>Apr</v>
      </c>
      <c r="D210" t="s">
        <v>389</v>
      </c>
      <c r="E210" s="10" t="s">
        <v>54</v>
      </c>
      <c r="F210" t="s">
        <v>17</v>
      </c>
      <c r="G210" t="s">
        <v>18</v>
      </c>
      <c r="H210" t="s">
        <v>19</v>
      </c>
      <c r="I210">
        <v>2</v>
      </c>
      <c r="J210" s="3">
        <v>139.63</v>
      </c>
      <c r="K210" s="2">
        <v>0.1</v>
      </c>
      <c r="L210" s="3">
        <v>251.33</v>
      </c>
      <c r="M210" s="3">
        <v>54.55</v>
      </c>
      <c r="N210" t="s">
        <v>35</v>
      </c>
      <c r="O210" s="3"/>
      <c r="P210" s="3"/>
    </row>
    <row r="211" spans="1:16" x14ac:dyDescent="0.3">
      <c r="A211" t="s">
        <v>763</v>
      </c>
      <c r="B211" s="9" t="s">
        <v>764</v>
      </c>
      <c r="C211" s="20" t="str">
        <f t="shared" si="3"/>
        <v>Nov</v>
      </c>
      <c r="D211" t="s">
        <v>204</v>
      </c>
      <c r="E211" s="10" t="s">
        <v>16</v>
      </c>
      <c r="F211" t="s">
        <v>25</v>
      </c>
      <c r="G211" t="s">
        <v>26</v>
      </c>
      <c r="H211" t="s">
        <v>84</v>
      </c>
      <c r="I211">
        <v>5</v>
      </c>
      <c r="J211" s="3">
        <v>120.82</v>
      </c>
      <c r="K211" s="2">
        <v>0.15</v>
      </c>
      <c r="L211" s="3">
        <v>513.48</v>
      </c>
      <c r="M211" s="3">
        <v>42.97</v>
      </c>
      <c r="N211" t="s">
        <v>40</v>
      </c>
      <c r="O211" s="3"/>
      <c r="P211" s="3"/>
    </row>
    <row r="212" spans="1:16" x14ac:dyDescent="0.3">
      <c r="A212" t="s">
        <v>765</v>
      </c>
      <c r="B212" s="9" t="s">
        <v>396</v>
      </c>
      <c r="C212" s="20" t="str">
        <f t="shared" si="3"/>
        <v>May</v>
      </c>
      <c r="D212" t="s">
        <v>766</v>
      </c>
      <c r="E212" s="10" t="s">
        <v>679</v>
      </c>
      <c r="F212" t="s">
        <v>64</v>
      </c>
      <c r="G212" t="s">
        <v>89</v>
      </c>
      <c r="H212" t="s">
        <v>150</v>
      </c>
      <c r="I212">
        <v>8</v>
      </c>
      <c r="J212" s="3">
        <v>96.08</v>
      </c>
      <c r="K212" s="2">
        <v>0.15</v>
      </c>
      <c r="L212" s="3">
        <v>653.34</v>
      </c>
      <c r="M212" s="3">
        <v>131.52000000000001</v>
      </c>
      <c r="N212" t="s">
        <v>20</v>
      </c>
      <c r="O212" s="3"/>
      <c r="P212" s="3"/>
    </row>
    <row r="213" spans="1:16" x14ac:dyDescent="0.3">
      <c r="A213" t="s">
        <v>767</v>
      </c>
      <c r="B213" s="9" t="s">
        <v>768</v>
      </c>
      <c r="C213" s="20" t="str">
        <f t="shared" si="3"/>
        <v>Jun</v>
      </c>
      <c r="D213" t="s">
        <v>769</v>
      </c>
      <c r="E213" s="10" t="s">
        <v>157</v>
      </c>
      <c r="F213" t="s">
        <v>25</v>
      </c>
      <c r="G213" t="s">
        <v>18</v>
      </c>
      <c r="H213" t="s">
        <v>19</v>
      </c>
      <c r="I213">
        <v>6</v>
      </c>
      <c r="J213" s="3">
        <v>170.32</v>
      </c>
      <c r="K213" s="2">
        <v>0.15</v>
      </c>
      <c r="L213" s="3">
        <v>868.63</v>
      </c>
      <c r="M213" s="3">
        <v>174.29</v>
      </c>
      <c r="N213" t="s">
        <v>35</v>
      </c>
      <c r="O213" s="3"/>
      <c r="P213" s="3"/>
    </row>
    <row r="214" spans="1:16" x14ac:dyDescent="0.3">
      <c r="A214" t="s">
        <v>770</v>
      </c>
      <c r="B214" s="9" t="s">
        <v>771</v>
      </c>
      <c r="C214" s="20" t="str">
        <f t="shared" si="3"/>
        <v>Jun</v>
      </c>
      <c r="D214" t="s">
        <v>772</v>
      </c>
      <c r="E214" s="10" t="s">
        <v>773</v>
      </c>
      <c r="F214" t="s">
        <v>17</v>
      </c>
      <c r="G214" t="s">
        <v>89</v>
      </c>
      <c r="H214" t="s">
        <v>90</v>
      </c>
      <c r="I214">
        <v>4</v>
      </c>
      <c r="J214" s="3">
        <v>44.73</v>
      </c>
      <c r="K214" s="2">
        <v>0.15</v>
      </c>
      <c r="L214" s="3">
        <v>152.08000000000001</v>
      </c>
      <c r="M214" s="3">
        <v>25.56</v>
      </c>
      <c r="N214" t="s">
        <v>35</v>
      </c>
      <c r="O214" s="3"/>
      <c r="P214" s="3"/>
    </row>
    <row r="215" spans="1:16" x14ac:dyDescent="0.3">
      <c r="A215" t="s">
        <v>774</v>
      </c>
      <c r="B215" s="9" t="s">
        <v>775</v>
      </c>
      <c r="C215" s="20" t="str">
        <f t="shared" si="3"/>
        <v>Sep</v>
      </c>
      <c r="D215" t="s">
        <v>413</v>
      </c>
      <c r="E215" s="10" t="s">
        <v>776</v>
      </c>
      <c r="F215" t="s">
        <v>64</v>
      </c>
      <c r="G215" t="s">
        <v>18</v>
      </c>
      <c r="H215" t="s">
        <v>45</v>
      </c>
      <c r="I215">
        <v>3</v>
      </c>
      <c r="J215" s="3">
        <v>162.19</v>
      </c>
      <c r="K215" s="2">
        <v>0.15</v>
      </c>
      <c r="L215" s="3">
        <v>413.58</v>
      </c>
      <c r="M215" s="3">
        <v>41.63</v>
      </c>
      <c r="N215" t="s">
        <v>35</v>
      </c>
      <c r="O215" s="3"/>
      <c r="P215" s="3"/>
    </row>
    <row r="216" spans="1:16" x14ac:dyDescent="0.3">
      <c r="A216" t="s">
        <v>777</v>
      </c>
      <c r="B216" s="9" t="s">
        <v>278</v>
      </c>
      <c r="C216" s="20" t="str">
        <f t="shared" si="3"/>
        <v>Jul</v>
      </c>
      <c r="D216" t="s">
        <v>778</v>
      </c>
      <c r="E216" s="10" t="s">
        <v>550</v>
      </c>
      <c r="F216" t="s">
        <v>25</v>
      </c>
      <c r="G216" t="s">
        <v>26</v>
      </c>
      <c r="H216" t="s">
        <v>118</v>
      </c>
      <c r="I216">
        <v>5</v>
      </c>
      <c r="J216" s="3">
        <v>185.14</v>
      </c>
      <c r="K216" s="2">
        <v>0.05</v>
      </c>
      <c r="L216" s="3">
        <v>879.41</v>
      </c>
      <c r="M216" s="3">
        <v>119.75</v>
      </c>
      <c r="N216" t="s">
        <v>35</v>
      </c>
      <c r="O216" s="3"/>
      <c r="P216" s="3"/>
    </row>
    <row r="217" spans="1:16" x14ac:dyDescent="0.3">
      <c r="A217" t="s">
        <v>779</v>
      </c>
      <c r="B217" s="9" t="s">
        <v>771</v>
      </c>
      <c r="C217" s="20" t="str">
        <f t="shared" si="3"/>
        <v>Jun</v>
      </c>
      <c r="D217" t="s">
        <v>769</v>
      </c>
      <c r="E217" s="10" t="s">
        <v>780</v>
      </c>
      <c r="F217" t="s">
        <v>32</v>
      </c>
      <c r="G217" t="s">
        <v>18</v>
      </c>
      <c r="H217" t="s">
        <v>79</v>
      </c>
      <c r="I217">
        <v>6</v>
      </c>
      <c r="J217" s="3">
        <v>56.41</v>
      </c>
      <c r="K217" s="2">
        <v>0.15</v>
      </c>
      <c r="L217" s="3">
        <v>287.69</v>
      </c>
      <c r="M217" s="3">
        <v>83.14</v>
      </c>
      <c r="N217" t="s">
        <v>20</v>
      </c>
      <c r="O217" s="3"/>
      <c r="P217" s="3"/>
    </row>
    <row r="218" spans="1:16" x14ac:dyDescent="0.3">
      <c r="A218" t="s">
        <v>781</v>
      </c>
      <c r="B218" s="9" t="s">
        <v>782</v>
      </c>
      <c r="C218" s="20" t="str">
        <f t="shared" si="3"/>
        <v>Jan</v>
      </c>
      <c r="D218" t="s">
        <v>783</v>
      </c>
      <c r="E218" s="10" t="s">
        <v>784</v>
      </c>
      <c r="F218" t="s">
        <v>17</v>
      </c>
      <c r="G218" t="s">
        <v>33</v>
      </c>
      <c r="H218" t="s">
        <v>69</v>
      </c>
      <c r="I218">
        <v>3</v>
      </c>
      <c r="J218" s="3">
        <v>23.64</v>
      </c>
      <c r="K218" s="2">
        <v>0.1</v>
      </c>
      <c r="L218" s="3">
        <v>63.83</v>
      </c>
      <c r="M218" s="3">
        <v>5.87</v>
      </c>
      <c r="N218" t="s">
        <v>20</v>
      </c>
      <c r="O218" s="3"/>
      <c r="P218" s="3"/>
    </row>
    <row r="219" spans="1:16" x14ac:dyDescent="0.3">
      <c r="A219" t="s">
        <v>785</v>
      </c>
      <c r="B219" s="9" t="s">
        <v>416</v>
      </c>
      <c r="C219" s="20" t="str">
        <f t="shared" si="3"/>
        <v>Nov</v>
      </c>
      <c r="D219" t="s">
        <v>772</v>
      </c>
      <c r="E219" s="10" t="s">
        <v>786</v>
      </c>
      <c r="F219" t="s">
        <v>32</v>
      </c>
      <c r="G219" t="s">
        <v>18</v>
      </c>
      <c r="H219" t="s">
        <v>79</v>
      </c>
      <c r="I219">
        <v>2</v>
      </c>
      <c r="J219" s="3">
        <v>19.190000000000001</v>
      </c>
      <c r="K219" s="2">
        <v>0.15</v>
      </c>
      <c r="L219" s="3">
        <v>32.619999999999997</v>
      </c>
      <c r="M219" s="3">
        <v>4.49</v>
      </c>
      <c r="N219" t="s">
        <v>20</v>
      </c>
      <c r="O219" s="3"/>
      <c r="P219" s="3"/>
    </row>
    <row r="220" spans="1:16" x14ac:dyDescent="0.3">
      <c r="A220" t="s">
        <v>787</v>
      </c>
      <c r="B220" s="9" t="s">
        <v>788</v>
      </c>
      <c r="C220" s="20" t="str">
        <f t="shared" si="3"/>
        <v>May</v>
      </c>
      <c r="D220" t="s">
        <v>121</v>
      </c>
      <c r="E220" s="10" t="s">
        <v>789</v>
      </c>
      <c r="F220" t="s">
        <v>64</v>
      </c>
      <c r="G220" t="s">
        <v>26</v>
      </c>
      <c r="H220" t="s">
        <v>84</v>
      </c>
      <c r="I220">
        <v>4</v>
      </c>
      <c r="J220" s="3">
        <v>168.58</v>
      </c>
      <c r="K220" s="2">
        <v>0.15</v>
      </c>
      <c r="L220" s="3">
        <v>573.16999999999996</v>
      </c>
      <c r="M220" s="3">
        <v>152.86000000000001</v>
      </c>
      <c r="N220" t="s">
        <v>40</v>
      </c>
      <c r="O220" s="3"/>
      <c r="P220" s="3"/>
    </row>
    <row r="221" spans="1:16" x14ac:dyDescent="0.3">
      <c r="A221" t="s">
        <v>790</v>
      </c>
      <c r="B221" s="9" t="s">
        <v>180</v>
      </c>
      <c r="C221" s="20" t="str">
        <f t="shared" si="3"/>
        <v>Feb</v>
      </c>
      <c r="D221" t="s">
        <v>444</v>
      </c>
      <c r="E221" s="10" t="s">
        <v>791</v>
      </c>
      <c r="F221" t="s">
        <v>64</v>
      </c>
      <c r="G221" t="s">
        <v>26</v>
      </c>
      <c r="H221" t="s">
        <v>84</v>
      </c>
      <c r="I221">
        <v>1</v>
      </c>
      <c r="J221" s="3">
        <v>136.03</v>
      </c>
      <c r="K221" s="2">
        <v>0</v>
      </c>
      <c r="L221" s="3">
        <v>136.03</v>
      </c>
      <c r="M221" s="3">
        <v>39.89</v>
      </c>
      <c r="N221" t="s">
        <v>40</v>
      </c>
      <c r="O221" s="3"/>
      <c r="P221" s="3"/>
    </row>
    <row r="222" spans="1:16" x14ac:dyDescent="0.3">
      <c r="A222" t="s">
        <v>792</v>
      </c>
      <c r="B222" s="9" t="s">
        <v>793</v>
      </c>
      <c r="C222" s="20" t="str">
        <f t="shared" si="3"/>
        <v>Apr</v>
      </c>
      <c r="D222" t="s">
        <v>794</v>
      </c>
      <c r="E222" s="10" t="s">
        <v>576</v>
      </c>
      <c r="F222" t="s">
        <v>17</v>
      </c>
      <c r="G222" t="s">
        <v>18</v>
      </c>
      <c r="H222" t="s">
        <v>19</v>
      </c>
      <c r="I222">
        <v>4</v>
      </c>
      <c r="J222" s="3">
        <v>36.090000000000003</v>
      </c>
      <c r="K222" s="2">
        <v>0.15</v>
      </c>
      <c r="L222" s="3">
        <v>122.71</v>
      </c>
      <c r="M222" s="3">
        <v>10.36</v>
      </c>
      <c r="N222" t="s">
        <v>35</v>
      </c>
      <c r="O222" s="3"/>
      <c r="P222" s="3"/>
    </row>
    <row r="223" spans="1:16" x14ac:dyDescent="0.3">
      <c r="A223" t="s">
        <v>795</v>
      </c>
      <c r="B223" s="9" t="s">
        <v>796</v>
      </c>
      <c r="C223" s="20" t="str">
        <f t="shared" si="3"/>
        <v>Apr</v>
      </c>
      <c r="D223" t="s">
        <v>627</v>
      </c>
      <c r="E223" s="10" t="s">
        <v>406</v>
      </c>
      <c r="F223" t="s">
        <v>64</v>
      </c>
      <c r="G223" t="s">
        <v>26</v>
      </c>
      <c r="H223" t="s">
        <v>118</v>
      </c>
      <c r="I223">
        <v>5</v>
      </c>
      <c r="J223" s="3">
        <v>135.03</v>
      </c>
      <c r="K223" s="2">
        <v>0.05</v>
      </c>
      <c r="L223" s="3">
        <v>641.39</v>
      </c>
      <c r="M223" s="3">
        <v>137.75</v>
      </c>
      <c r="N223" t="s">
        <v>35</v>
      </c>
      <c r="O223" s="3"/>
      <c r="P223" s="3"/>
    </row>
    <row r="224" spans="1:16" x14ac:dyDescent="0.3">
      <c r="A224" t="s">
        <v>797</v>
      </c>
      <c r="B224" s="9" t="s">
        <v>798</v>
      </c>
      <c r="C224" s="20" t="str">
        <f t="shared" si="3"/>
        <v>Jul</v>
      </c>
      <c r="D224" t="s">
        <v>627</v>
      </c>
      <c r="E224" s="10" t="s">
        <v>518</v>
      </c>
      <c r="F224" t="s">
        <v>25</v>
      </c>
      <c r="G224" t="s">
        <v>18</v>
      </c>
      <c r="H224" t="s">
        <v>19</v>
      </c>
      <c r="I224">
        <v>2</v>
      </c>
      <c r="J224" s="3">
        <v>138.35</v>
      </c>
      <c r="K224" s="2">
        <v>0</v>
      </c>
      <c r="L224" s="3">
        <v>276.7</v>
      </c>
      <c r="M224" s="3">
        <v>26.67</v>
      </c>
      <c r="N224" t="s">
        <v>40</v>
      </c>
      <c r="O224" s="3"/>
      <c r="P224" s="3"/>
    </row>
    <row r="225" spans="1:16" x14ac:dyDescent="0.3">
      <c r="A225" t="s">
        <v>799</v>
      </c>
      <c r="B225" s="9" t="s">
        <v>294</v>
      </c>
      <c r="C225" s="20" t="str">
        <f t="shared" si="3"/>
        <v>Sep</v>
      </c>
      <c r="D225" t="s">
        <v>800</v>
      </c>
      <c r="E225" s="10" t="s">
        <v>394</v>
      </c>
      <c r="F225" t="s">
        <v>25</v>
      </c>
      <c r="G225" t="s">
        <v>89</v>
      </c>
      <c r="H225" t="s">
        <v>90</v>
      </c>
      <c r="I225">
        <v>1</v>
      </c>
      <c r="J225" s="3">
        <v>70.42</v>
      </c>
      <c r="K225" s="2">
        <v>0</v>
      </c>
      <c r="L225" s="3">
        <v>70.42</v>
      </c>
      <c r="M225" s="3">
        <v>14.24</v>
      </c>
      <c r="N225" t="s">
        <v>20</v>
      </c>
      <c r="O225" s="3"/>
      <c r="P225" s="3"/>
    </row>
    <row r="226" spans="1:16" x14ac:dyDescent="0.3">
      <c r="A226" t="s">
        <v>801</v>
      </c>
      <c r="B226" s="9" t="s">
        <v>583</v>
      </c>
      <c r="C226" s="20" t="str">
        <f t="shared" si="3"/>
        <v>Jun</v>
      </c>
      <c r="D226" t="s">
        <v>802</v>
      </c>
      <c r="E226" s="10" t="s">
        <v>803</v>
      </c>
      <c r="F226" t="s">
        <v>17</v>
      </c>
      <c r="G226" t="s">
        <v>33</v>
      </c>
      <c r="H226" t="s">
        <v>34</v>
      </c>
      <c r="I226">
        <v>3</v>
      </c>
      <c r="J226" s="3">
        <v>104.19</v>
      </c>
      <c r="K226" s="2">
        <v>0</v>
      </c>
      <c r="L226" s="3">
        <v>312.57</v>
      </c>
      <c r="M226" s="3">
        <v>49.23</v>
      </c>
      <c r="N226" t="s">
        <v>40</v>
      </c>
      <c r="O226" s="3"/>
      <c r="P226" s="3"/>
    </row>
    <row r="227" spans="1:16" x14ac:dyDescent="0.3">
      <c r="A227" t="s">
        <v>804</v>
      </c>
      <c r="B227" s="9" t="s">
        <v>362</v>
      </c>
      <c r="C227" s="20" t="str">
        <f t="shared" si="3"/>
        <v>Jun</v>
      </c>
      <c r="D227" t="s">
        <v>200</v>
      </c>
      <c r="E227" s="10" t="s">
        <v>805</v>
      </c>
      <c r="F227" t="s">
        <v>25</v>
      </c>
      <c r="G227" t="s">
        <v>89</v>
      </c>
      <c r="H227" t="s">
        <v>131</v>
      </c>
      <c r="I227">
        <v>1</v>
      </c>
      <c r="J227" s="3">
        <v>119.51</v>
      </c>
      <c r="K227" s="2">
        <v>0.15</v>
      </c>
      <c r="L227" s="3">
        <v>101.58</v>
      </c>
      <c r="M227" s="3">
        <v>27.96</v>
      </c>
      <c r="N227" t="s">
        <v>40</v>
      </c>
      <c r="O227" s="3"/>
      <c r="P227" s="3"/>
    </row>
    <row r="228" spans="1:16" x14ac:dyDescent="0.3">
      <c r="A228" t="s">
        <v>806</v>
      </c>
      <c r="B228" s="9" t="s">
        <v>195</v>
      </c>
      <c r="C228" s="20" t="str">
        <f t="shared" si="3"/>
        <v>Nov</v>
      </c>
      <c r="D228" t="s">
        <v>807</v>
      </c>
      <c r="E228" s="10" t="s">
        <v>808</v>
      </c>
      <c r="F228" t="s">
        <v>17</v>
      </c>
      <c r="G228" t="s">
        <v>18</v>
      </c>
      <c r="H228" t="s">
        <v>45</v>
      </c>
      <c r="I228">
        <v>5</v>
      </c>
      <c r="J228" s="3">
        <v>168.55</v>
      </c>
      <c r="K228" s="2">
        <v>0.15</v>
      </c>
      <c r="L228" s="3">
        <v>716.34</v>
      </c>
      <c r="M228" s="3">
        <v>136.86000000000001</v>
      </c>
      <c r="N228" t="s">
        <v>35</v>
      </c>
      <c r="O228" s="3"/>
      <c r="P228" s="3"/>
    </row>
    <row r="229" spans="1:16" x14ac:dyDescent="0.3">
      <c r="A229" t="s">
        <v>809</v>
      </c>
      <c r="B229" s="9" t="s">
        <v>810</v>
      </c>
      <c r="C229" s="20" t="str">
        <f t="shared" si="3"/>
        <v>Feb</v>
      </c>
      <c r="D229" t="s">
        <v>440</v>
      </c>
      <c r="E229" s="10" t="s">
        <v>811</v>
      </c>
      <c r="F229" t="s">
        <v>17</v>
      </c>
      <c r="G229" t="s">
        <v>33</v>
      </c>
      <c r="H229" t="s">
        <v>69</v>
      </c>
      <c r="I229">
        <v>7</v>
      </c>
      <c r="J229" s="3">
        <v>162.35</v>
      </c>
      <c r="K229" s="2">
        <v>0.05</v>
      </c>
      <c r="L229" s="3">
        <v>1079.6300000000001</v>
      </c>
      <c r="M229" s="3">
        <v>206.39</v>
      </c>
      <c r="N229" t="s">
        <v>20</v>
      </c>
      <c r="O229" s="3"/>
      <c r="P229" s="3"/>
    </row>
    <row r="230" spans="1:16" x14ac:dyDescent="0.3">
      <c r="A230" t="s">
        <v>812</v>
      </c>
      <c r="B230" s="9" t="s">
        <v>423</v>
      </c>
      <c r="C230" s="20" t="str">
        <f t="shared" si="3"/>
        <v>Oct</v>
      </c>
      <c r="D230" t="s">
        <v>15</v>
      </c>
      <c r="E230" s="10" t="s">
        <v>813</v>
      </c>
      <c r="F230" t="s">
        <v>32</v>
      </c>
      <c r="G230" t="s">
        <v>33</v>
      </c>
      <c r="H230" t="s">
        <v>74</v>
      </c>
      <c r="I230">
        <v>7</v>
      </c>
      <c r="J230" s="3">
        <v>106.37</v>
      </c>
      <c r="K230" s="2">
        <v>0.1</v>
      </c>
      <c r="L230" s="3">
        <v>670.13</v>
      </c>
      <c r="M230" s="3">
        <v>56.01</v>
      </c>
      <c r="N230" t="s">
        <v>20</v>
      </c>
      <c r="O230" s="3"/>
      <c r="P230" s="3"/>
    </row>
    <row r="231" spans="1:16" x14ac:dyDescent="0.3">
      <c r="A231" t="s">
        <v>814</v>
      </c>
      <c r="B231" s="9" t="s">
        <v>815</v>
      </c>
      <c r="C231" s="20" t="str">
        <f t="shared" si="3"/>
        <v>Jan</v>
      </c>
      <c r="D231" t="s">
        <v>116</v>
      </c>
      <c r="E231" s="10" t="s">
        <v>816</v>
      </c>
      <c r="F231" t="s">
        <v>17</v>
      </c>
      <c r="G231" t="s">
        <v>89</v>
      </c>
      <c r="H231" t="s">
        <v>131</v>
      </c>
      <c r="I231">
        <v>3</v>
      </c>
      <c r="J231" s="3">
        <v>210.46</v>
      </c>
      <c r="K231" s="2">
        <v>0</v>
      </c>
      <c r="L231" s="3">
        <v>631.38</v>
      </c>
      <c r="M231" s="3">
        <v>119.76</v>
      </c>
      <c r="N231" t="s">
        <v>20</v>
      </c>
      <c r="O231" s="3"/>
      <c r="P231" s="3"/>
    </row>
    <row r="232" spans="1:16" x14ac:dyDescent="0.3">
      <c r="A232" t="s">
        <v>817</v>
      </c>
      <c r="B232" s="9" t="s">
        <v>61</v>
      </c>
      <c r="C232" s="20" t="str">
        <f t="shared" si="3"/>
        <v>Oct</v>
      </c>
      <c r="D232" t="s">
        <v>818</v>
      </c>
      <c r="E232" s="10" t="s">
        <v>819</v>
      </c>
      <c r="F232" t="s">
        <v>32</v>
      </c>
      <c r="G232" t="s">
        <v>26</v>
      </c>
      <c r="H232" t="s">
        <v>27</v>
      </c>
      <c r="I232">
        <v>3</v>
      </c>
      <c r="J232" s="3">
        <v>125.75</v>
      </c>
      <c r="K232" s="2">
        <v>0.15</v>
      </c>
      <c r="L232" s="3">
        <v>320.66000000000003</v>
      </c>
      <c r="M232" s="3">
        <v>95.41</v>
      </c>
      <c r="N232" t="s">
        <v>35</v>
      </c>
      <c r="O232" s="3"/>
      <c r="P232" s="3"/>
    </row>
    <row r="233" spans="1:16" x14ac:dyDescent="0.3">
      <c r="A233" t="s">
        <v>820</v>
      </c>
      <c r="B233" s="9" t="s">
        <v>788</v>
      </c>
      <c r="C233" s="20" t="str">
        <f t="shared" si="3"/>
        <v>May</v>
      </c>
      <c r="D233" t="s">
        <v>174</v>
      </c>
      <c r="E233" s="10" t="s">
        <v>821</v>
      </c>
      <c r="F233" t="s">
        <v>17</v>
      </c>
      <c r="G233" t="s">
        <v>89</v>
      </c>
      <c r="H233" t="s">
        <v>90</v>
      </c>
      <c r="I233">
        <v>1</v>
      </c>
      <c r="J233" s="3">
        <v>96.73</v>
      </c>
      <c r="K233" s="2">
        <v>0</v>
      </c>
      <c r="L233" s="3">
        <v>96.73</v>
      </c>
      <c r="M233" s="3">
        <v>17.61</v>
      </c>
      <c r="N233" t="s">
        <v>35</v>
      </c>
      <c r="O233" s="3"/>
      <c r="P233" s="3"/>
    </row>
    <row r="234" spans="1:16" x14ac:dyDescent="0.3">
      <c r="A234" t="s">
        <v>822</v>
      </c>
      <c r="B234" s="9" t="s">
        <v>823</v>
      </c>
      <c r="C234" s="20" t="str">
        <f t="shared" si="3"/>
        <v>Apr</v>
      </c>
      <c r="D234" t="s">
        <v>824</v>
      </c>
      <c r="E234" s="10" t="s">
        <v>825</v>
      </c>
      <c r="F234" t="s">
        <v>32</v>
      </c>
      <c r="G234" t="s">
        <v>33</v>
      </c>
      <c r="H234" t="s">
        <v>34</v>
      </c>
      <c r="I234">
        <v>1</v>
      </c>
      <c r="J234" s="3">
        <v>10.02</v>
      </c>
      <c r="K234" s="2">
        <v>0.15</v>
      </c>
      <c r="L234" s="3">
        <v>8.52</v>
      </c>
      <c r="M234" s="3">
        <v>1.36</v>
      </c>
      <c r="N234" t="s">
        <v>40</v>
      </c>
      <c r="O234" s="3"/>
      <c r="P234" s="3"/>
    </row>
    <row r="235" spans="1:16" x14ac:dyDescent="0.3">
      <c r="A235" t="s">
        <v>826</v>
      </c>
      <c r="B235" s="9" t="s">
        <v>128</v>
      </c>
      <c r="C235" s="20" t="str">
        <f t="shared" si="3"/>
        <v>Jul</v>
      </c>
      <c r="D235" t="s">
        <v>827</v>
      </c>
      <c r="E235" s="10" t="s">
        <v>315</v>
      </c>
      <c r="F235" t="s">
        <v>64</v>
      </c>
      <c r="G235" t="s">
        <v>18</v>
      </c>
      <c r="H235" t="s">
        <v>79</v>
      </c>
      <c r="I235">
        <v>7</v>
      </c>
      <c r="J235" s="3">
        <v>85.22</v>
      </c>
      <c r="K235" s="2">
        <v>0</v>
      </c>
      <c r="L235" s="3">
        <v>596.54</v>
      </c>
      <c r="M235" s="3">
        <v>136.58000000000001</v>
      </c>
      <c r="N235" t="s">
        <v>20</v>
      </c>
      <c r="O235" s="3"/>
      <c r="P235" s="3"/>
    </row>
    <row r="236" spans="1:16" x14ac:dyDescent="0.3">
      <c r="A236" t="s">
        <v>828</v>
      </c>
      <c r="B236" s="9" t="s">
        <v>108</v>
      </c>
      <c r="C236" s="20" t="str">
        <f t="shared" si="3"/>
        <v>May</v>
      </c>
      <c r="D236" t="s">
        <v>160</v>
      </c>
      <c r="E236" s="10" t="s">
        <v>829</v>
      </c>
      <c r="F236" t="s">
        <v>25</v>
      </c>
      <c r="G236" t="s">
        <v>26</v>
      </c>
      <c r="H236" t="s">
        <v>27</v>
      </c>
      <c r="I236">
        <v>4</v>
      </c>
      <c r="J236" s="3">
        <v>16.7</v>
      </c>
      <c r="K236" s="2">
        <v>0</v>
      </c>
      <c r="L236" s="3">
        <v>66.8</v>
      </c>
      <c r="M236" s="3">
        <v>13.4</v>
      </c>
      <c r="N236" t="s">
        <v>40</v>
      </c>
      <c r="O236" s="3"/>
      <c r="P236" s="3"/>
    </row>
    <row r="237" spans="1:16" x14ac:dyDescent="0.3">
      <c r="A237" t="s">
        <v>830</v>
      </c>
      <c r="B237" s="9" t="s">
        <v>124</v>
      </c>
      <c r="C237" s="20" t="str">
        <f t="shared" si="3"/>
        <v>Jun</v>
      </c>
      <c r="D237" t="s">
        <v>831</v>
      </c>
      <c r="E237" s="10" t="s">
        <v>832</v>
      </c>
      <c r="F237" t="s">
        <v>25</v>
      </c>
      <c r="G237" t="s">
        <v>89</v>
      </c>
      <c r="H237" t="s">
        <v>90</v>
      </c>
      <c r="I237">
        <v>5</v>
      </c>
      <c r="J237" s="3">
        <v>202.16</v>
      </c>
      <c r="K237" s="2">
        <v>0.1</v>
      </c>
      <c r="L237" s="3">
        <v>909.72</v>
      </c>
      <c r="M237" s="3">
        <v>224.1</v>
      </c>
      <c r="N237" t="s">
        <v>35</v>
      </c>
      <c r="O237" s="3"/>
      <c r="P237" s="3"/>
    </row>
    <row r="238" spans="1:16" x14ac:dyDescent="0.3">
      <c r="A238" t="s">
        <v>833</v>
      </c>
      <c r="B238" s="9" t="s">
        <v>561</v>
      </c>
      <c r="C238" s="20" t="str">
        <f t="shared" si="3"/>
        <v>Sep</v>
      </c>
      <c r="D238" t="s">
        <v>834</v>
      </c>
      <c r="E238" s="10" t="s">
        <v>835</v>
      </c>
      <c r="F238" t="s">
        <v>59</v>
      </c>
      <c r="G238" t="s">
        <v>18</v>
      </c>
      <c r="H238" t="s">
        <v>79</v>
      </c>
      <c r="I238">
        <v>7</v>
      </c>
      <c r="J238" s="3">
        <v>167.02</v>
      </c>
      <c r="K238" s="2">
        <v>0.1</v>
      </c>
      <c r="L238" s="3">
        <v>1052.23</v>
      </c>
      <c r="M238" s="3">
        <v>295.26</v>
      </c>
      <c r="N238" t="s">
        <v>20</v>
      </c>
      <c r="O238" s="3"/>
      <c r="P238" s="3"/>
    </row>
    <row r="239" spans="1:16" x14ac:dyDescent="0.3">
      <c r="A239" t="s">
        <v>836</v>
      </c>
      <c r="B239" s="9" t="s">
        <v>439</v>
      </c>
      <c r="C239" s="20" t="str">
        <f t="shared" si="3"/>
        <v>May</v>
      </c>
      <c r="D239" t="s">
        <v>339</v>
      </c>
      <c r="E239" s="10" t="s">
        <v>300</v>
      </c>
      <c r="F239" t="s">
        <v>64</v>
      </c>
      <c r="G239" t="s">
        <v>33</v>
      </c>
      <c r="H239" t="s">
        <v>50</v>
      </c>
      <c r="I239">
        <v>7</v>
      </c>
      <c r="J239" s="3">
        <v>66.81</v>
      </c>
      <c r="K239" s="2">
        <v>0</v>
      </c>
      <c r="L239" s="3">
        <v>467.67</v>
      </c>
      <c r="M239" s="3">
        <v>70.930000000000007</v>
      </c>
      <c r="N239" t="s">
        <v>40</v>
      </c>
      <c r="O239" s="3"/>
      <c r="P239" s="3"/>
    </row>
    <row r="240" spans="1:16" x14ac:dyDescent="0.3">
      <c r="A240" t="s">
        <v>837</v>
      </c>
      <c r="B240" s="9" t="s">
        <v>223</v>
      </c>
      <c r="C240" s="20" t="str">
        <f t="shared" si="3"/>
        <v>Jun</v>
      </c>
      <c r="D240" t="s">
        <v>838</v>
      </c>
      <c r="E240" s="10" t="s">
        <v>839</v>
      </c>
      <c r="F240" t="s">
        <v>17</v>
      </c>
      <c r="G240" t="s">
        <v>33</v>
      </c>
      <c r="H240" t="s">
        <v>74</v>
      </c>
      <c r="I240">
        <v>3</v>
      </c>
      <c r="J240" s="3">
        <v>215.22</v>
      </c>
      <c r="K240" s="2">
        <v>0.1</v>
      </c>
      <c r="L240" s="3">
        <v>581.09</v>
      </c>
      <c r="M240" s="3">
        <v>56.51</v>
      </c>
      <c r="N240" t="s">
        <v>20</v>
      </c>
      <c r="O240" s="3"/>
      <c r="P240" s="3"/>
    </row>
    <row r="241" spans="1:16" x14ac:dyDescent="0.3">
      <c r="A241" t="s">
        <v>840</v>
      </c>
      <c r="B241" s="9" t="s">
        <v>503</v>
      </c>
      <c r="C241" s="20" t="str">
        <f t="shared" si="3"/>
        <v>Mar</v>
      </c>
      <c r="D241" t="s">
        <v>287</v>
      </c>
      <c r="E241" s="10" t="s">
        <v>841</v>
      </c>
      <c r="F241" t="s">
        <v>59</v>
      </c>
      <c r="G241" t="s">
        <v>18</v>
      </c>
      <c r="H241" t="s">
        <v>19</v>
      </c>
      <c r="I241">
        <v>5</v>
      </c>
      <c r="J241" s="3">
        <v>83.27</v>
      </c>
      <c r="K241" s="2">
        <v>0.1</v>
      </c>
      <c r="L241" s="3">
        <v>374.71</v>
      </c>
      <c r="M241" s="3">
        <v>99.35</v>
      </c>
      <c r="N241" t="s">
        <v>40</v>
      </c>
      <c r="O241" s="3"/>
      <c r="P241" s="3"/>
    </row>
    <row r="242" spans="1:16" x14ac:dyDescent="0.3">
      <c r="A242" t="s">
        <v>842</v>
      </c>
      <c r="B242" s="9" t="s">
        <v>313</v>
      </c>
      <c r="C242" s="20" t="str">
        <f t="shared" si="3"/>
        <v>Aug</v>
      </c>
      <c r="D242" t="s">
        <v>843</v>
      </c>
      <c r="E242" s="10" t="s">
        <v>844</v>
      </c>
      <c r="F242" t="s">
        <v>17</v>
      </c>
      <c r="G242" t="s">
        <v>33</v>
      </c>
      <c r="H242" t="s">
        <v>69</v>
      </c>
      <c r="I242">
        <v>4</v>
      </c>
      <c r="J242" s="3">
        <v>172.48</v>
      </c>
      <c r="K242" s="2">
        <v>0.1</v>
      </c>
      <c r="L242" s="3">
        <v>620.92999999999995</v>
      </c>
      <c r="M242" s="3">
        <v>142.44999999999999</v>
      </c>
      <c r="N242" t="s">
        <v>35</v>
      </c>
      <c r="O242" s="3"/>
      <c r="P242" s="3"/>
    </row>
    <row r="243" spans="1:16" x14ac:dyDescent="0.3">
      <c r="A243" t="s">
        <v>845</v>
      </c>
      <c r="B243" s="9" t="s">
        <v>523</v>
      </c>
      <c r="C243" s="20" t="str">
        <f t="shared" si="3"/>
        <v>Dec</v>
      </c>
      <c r="D243" t="s">
        <v>846</v>
      </c>
      <c r="E243" s="10" t="s">
        <v>58</v>
      </c>
      <c r="F243" t="s">
        <v>64</v>
      </c>
      <c r="G243" t="s">
        <v>89</v>
      </c>
      <c r="H243" t="s">
        <v>131</v>
      </c>
      <c r="I243">
        <v>3</v>
      </c>
      <c r="J243" s="3">
        <v>145.97999999999999</v>
      </c>
      <c r="K243" s="2">
        <v>0.15</v>
      </c>
      <c r="L243" s="3">
        <v>372.25</v>
      </c>
      <c r="M243" s="3">
        <v>67.08</v>
      </c>
      <c r="N243" t="s">
        <v>35</v>
      </c>
      <c r="O243" s="3"/>
      <c r="P243" s="3"/>
    </row>
    <row r="244" spans="1:16" x14ac:dyDescent="0.3">
      <c r="A244" t="s">
        <v>847</v>
      </c>
      <c r="B244" s="9" t="s">
        <v>242</v>
      </c>
      <c r="C244" s="20" t="str">
        <f t="shared" si="3"/>
        <v>Jun</v>
      </c>
      <c r="D244" t="s">
        <v>827</v>
      </c>
      <c r="E244" s="10" t="s">
        <v>848</v>
      </c>
      <c r="F244" t="s">
        <v>64</v>
      </c>
      <c r="G244" t="s">
        <v>26</v>
      </c>
      <c r="H244" t="s">
        <v>118</v>
      </c>
      <c r="I244">
        <v>5</v>
      </c>
      <c r="J244" s="3">
        <v>56.51</v>
      </c>
      <c r="K244" s="2">
        <v>0.05</v>
      </c>
      <c r="L244" s="3">
        <v>268.42</v>
      </c>
      <c r="M244" s="3">
        <v>49.22</v>
      </c>
      <c r="N244" t="s">
        <v>20</v>
      </c>
      <c r="O244" s="3"/>
      <c r="P244" s="3"/>
    </row>
    <row r="245" spans="1:16" x14ac:dyDescent="0.3">
      <c r="A245" t="s">
        <v>849</v>
      </c>
      <c r="B245" s="9" t="s">
        <v>850</v>
      </c>
      <c r="C245" s="20" t="str">
        <f t="shared" si="3"/>
        <v>Mar</v>
      </c>
      <c r="D245" t="s">
        <v>156</v>
      </c>
      <c r="E245" s="10" t="s">
        <v>851</v>
      </c>
      <c r="F245" t="s">
        <v>64</v>
      </c>
      <c r="G245" t="s">
        <v>18</v>
      </c>
      <c r="H245" t="s">
        <v>79</v>
      </c>
      <c r="I245">
        <v>6</v>
      </c>
      <c r="J245" s="3">
        <v>231.36</v>
      </c>
      <c r="K245" s="2">
        <v>0</v>
      </c>
      <c r="L245" s="3">
        <v>1388.16</v>
      </c>
      <c r="M245" s="3">
        <v>248.54</v>
      </c>
      <c r="N245" t="s">
        <v>20</v>
      </c>
      <c r="O245" s="3"/>
      <c r="P245" s="3"/>
    </row>
    <row r="246" spans="1:16" x14ac:dyDescent="0.3">
      <c r="A246" t="s">
        <v>852</v>
      </c>
      <c r="B246" s="9" t="s">
        <v>526</v>
      </c>
      <c r="C246" s="20" t="str">
        <f t="shared" si="3"/>
        <v>May</v>
      </c>
      <c r="D246" t="s">
        <v>853</v>
      </c>
      <c r="E246" s="10" t="s">
        <v>854</v>
      </c>
      <c r="F246" t="s">
        <v>64</v>
      </c>
      <c r="G246" t="s">
        <v>89</v>
      </c>
      <c r="H246" t="s">
        <v>150</v>
      </c>
      <c r="I246">
        <v>5</v>
      </c>
      <c r="J246" s="3">
        <v>168.64</v>
      </c>
      <c r="K246" s="2">
        <v>0.1</v>
      </c>
      <c r="L246" s="3">
        <v>758.88</v>
      </c>
      <c r="M246" s="3">
        <v>222.79</v>
      </c>
      <c r="N246" t="s">
        <v>35</v>
      </c>
      <c r="O246" s="3"/>
      <c r="P246" s="3"/>
    </row>
    <row r="247" spans="1:16" x14ac:dyDescent="0.3">
      <c r="A247" t="s">
        <v>855</v>
      </c>
      <c r="B247" s="9" t="s">
        <v>856</v>
      </c>
      <c r="C247" s="20" t="str">
        <f t="shared" si="3"/>
        <v>Jun</v>
      </c>
      <c r="D247" t="s">
        <v>857</v>
      </c>
      <c r="E247" s="10" t="s">
        <v>858</v>
      </c>
      <c r="F247" t="s">
        <v>17</v>
      </c>
      <c r="G247" t="s">
        <v>89</v>
      </c>
      <c r="H247" t="s">
        <v>131</v>
      </c>
      <c r="I247">
        <v>8</v>
      </c>
      <c r="J247" s="3">
        <v>190.5</v>
      </c>
      <c r="K247" s="2">
        <v>0.1</v>
      </c>
      <c r="L247" s="3">
        <v>1371.6</v>
      </c>
      <c r="M247" s="3">
        <v>339.97</v>
      </c>
      <c r="N247" t="s">
        <v>35</v>
      </c>
      <c r="O247" s="3"/>
      <c r="P247" s="3"/>
    </row>
    <row r="248" spans="1:16" x14ac:dyDescent="0.3">
      <c r="A248" t="s">
        <v>859</v>
      </c>
      <c r="B248" s="9" t="s">
        <v>432</v>
      </c>
      <c r="C248" s="20" t="str">
        <f t="shared" si="3"/>
        <v>Jul</v>
      </c>
      <c r="D248" t="s">
        <v>366</v>
      </c>
      <c r="E248" s="10" t="s">
        <v>455</v>
      </c>
      <c r="F248" t="s">
        <v>59</v>
      </c>
      <c r="G248" t="s">
        <v>26</v>
      </c>
      <c r="H248" t="s">
        <v>118</v>
      </c>
      <c r="I248">
        <v>4</v>
      </c>
      <c r="J248" s="3">
        <v>223.71</v>
      </c>
      <c r="K248" s="2">
        <v>0</v>
      </c>
      <c r="L248" s="3">
        <v>894.84</v>
      </c>
      <c r="M248" s="3">
        <v>225.23</v>
      </c>
      <c r="N248" t="s">
        <v>20</v>
      </c>
      <c r="O248" s="3"/>
      <c r="P248" s="3"/>
    </row>
    <row r="249" spans="1:16" x14ac:dyDescent="0.3">
      <c r="A249" t="s">
        <v>860</v>
      </c>
      <c r="B249" s="9" t="s">
        <v>768</v>
      </c>
      <c r="C249" s="20" t="str">
        <f t="shared" si="3"/>
        <v>Jun</v>
      </c>
      <c r="D249" t="s">
        <v>861</v>
      </c>
      <c r="E249" s="10" t="s">
        <v>648</v>
      </c>
      <c r="F249" t="s">
        <v>64</v>
      </c>
      <c r="G249" t="s">
        <v>26</v>
      </c>
      <c r="H249" t="s">
        <v>84</v>
      </c>
      <c r="I249">
        <v>6</v>
      </c>
      <c r="J249" s="3">
        <v>63.66</v>
      </c>
      <c r="K249" s="2">
        <v>0.05</v>
      </c>
      <c r="L249" s="3">
        <v>362.86</v>
      </c>
      <c r="M249" s="3">
        <v>98.87</v>
      </c>
      <c r="N249" t="s">
        <v>20</v>
      </c>
      <c r="O249" s="3"/>
      <c r="P249" s="3"/>
    </row>
    <row r="250" spans="1:16" x14ac:dyDescent="0.3">
      <c r="A250" t="s">
        <v>862</v>
      </c>
      <c r="B250" s="9" t="s">
        <v>92</v>
      </c>
      <c r="C250" s="20" t="str">
        <f t="shared" si="3"/>
        <v>Nov</v>
      </c>
      <c r="D250" t="s">
        <v>863</v>
      </c>
      <c r="E250" s="10" t="s">
        <v>658</v>
      </c>
      <c r="F250" t="s">
        <v>64</v>
      </c>
      <c r="G250" t="s">
        <v>18</v>
      </c>
      <c r="H250" t="s">
        <v>19</v>
      </c>
      <c r="I250">
        <v>6</v>
      </c>
      <c r="J250" s="3">
        <v>26.5</v>
      </c>
      <c r="K250" s="2">
        <v>0.05</v>
      </c>
      <c r="L250" s="3">
        <v>151.05000000000001</v>
      </c>
      <c r="M250" s="3">
        <v>14.08</v>
      </c>
      <c r="N250" t="s">
        <v>40</v>
      </c>
      <c r="O250" s="3"/>
      <c r="P250" s="3"/>
    </row>
    <row r="251" spans="1:16" x14ac:dyDescent="0.3">
      <c r="A251" t="s">
        <v>864</v>
      </c>
      <c r="B251" s="9" t="s">
        <v>457</v>
      </c>
      <c r="C251" s="20" t="str">
        <f t="shared" si="3"/>
        <v>Jan</v>
      </c>
      <c r="D251" t="s">
        <v>865</v>
      </c>
      <c r="E251" s="10" t="s">
        <v>475</v>
      </c>
      <c r="F251" t="s">
        <v>25</v>
      </c>
      <c r="G251" t="s">
        <v>18</v>
      </c>
      <c r="H251" t="s">
        <v>19</v>
      </c>
      <c r="I251">
        <v>7</v>
      </c>
      <c r="J251" s="3">
        <v>175.03</v>
      </c>
      <c r="K251" s="2">
        <v>0.05</v>
      </c>
      <c r="L251" s="3">
        <v>1163.95</v>
      </c>
      <c r="M251" s="3">
        <v>301.92</v>
      </c>
      <c r="N251" t="s">
        <v>35</v>
      </c>
      <c r="O251" s="3"/>
      <c r="P251" s="3"/>
    </row>
    <row r="252" spans="1:16" x14ac:dyDescent="0.3">
      <c r="A252" t="s">
        <v>866</v>
      </c>
      <c r="B252" s="9" t="s">
        <v>302</v>
      </c>
      <c r="C252" s="20" t="str">
        <f t="shared" si="3"/>
        <v>Oct</v>
      </c>
      <c r="D252" t="s">
        <v>867</v>
      </c>
      <c r="E252" s="10" t="s">
        <v>868</v>
      </c>
      <c r="F252" t="s">
        <v>17</v>
      </c>
      <c r="G252" t="s">
        <v>18</v>
      </c>
      <c r="H252" t="s">
        <v>19</v>
      </c>
      <c r="I252">
        <v>1</v>
      </c>
      <c r="J252" s="3">
        <v>179.5</v>
      </c>
      <c r="K252" s="2">
        <v>0.1</v>
      </c>
      <c r="L252" s="3">
        <v>161.55000000000001</v>
      </c>
      <c r="M252" s="3">
        <v>45.66</v>
      </c>
      <c r="N252" t="s">
        <v>20</v>
      </c>
      <c r="O252" s="3"/>
      <c r="P252" s="3"/>
    </row>
    <row r="253" spans="1:16" x14ac:dyDescent="0.3">
      <c r="A253" t="s">
        <v>869</v>
      </c>
      <c r="B253" s="9" t="s">
        <v>500</v>
      </c>
      <c r="C253" s="20" t="str">
        <f t="shared" si="3"/>
        <v>Nov</v>
      </c>
      <c r="D253" t="s">
        <v>870</v>
      </c>
      <c r="E253" s="10" t="s">
        <v>871</v>
      </c>
      <c r="F253" t="s">
        <v>32</v>
      </c>
      <c r="G253" t="s">
        <v>26</v>
      </c>
      <c r="H253" t="s">
        <v>84</v>
      </c>
      <c r="I253">
        <v>1</v>
      </c>
      <c r="J253" s="3">
        <v>90.42</v>
      </c>
      <c r="K253" s="2">
        <v>0.15</v>
      </c>
      <c r="L253" s="3">
        <v>76.86</v>
      </c>
      <c r="M253" s="3">
        <v>9.61</v>
      </c>
      <c r="N253" t="s">
        <v>20</v>
      </c>
      <c r="O253" s="3"/>
      <c r="P253" s="3"/>
    </row>
    <row r="254" spans="1:16" x14ac:dyDescent="0.3">
      <c r="A254" t="s">
        <v>872</v>
      </c>
      <c r="B254" s="9" t="s">
        <v>873</v>
      </c>
      <c r="C254" s="20" t="str">
        <f t="shared" si="3"/>
        <v>May</v>
      </c>
      <c r="D254" t="s">
        <v>717</v>
      </c>
      <c r="E254" s="10" t="s">
        <v>874</v>
      </c>
      <c r="F254" t="s">
        <v>64</v>
      </c>
      <c r="G254" t="s">
        <v>89</v>
      </c>
      <c r="H254" t="s">
        <v>150</v>
      </c>
      <c r="I254">
        <v>3</v>
      </c>
      <c r="J254" s="3">
        <v>100.42</v>
      </c>
      <c r="K254" s="2">
        <v>0.05</v>
      </c>
      <c r="L254" s="3">
        <v>286.2</v>
      </c>
      <c r="M254" s="3">
        <v>78.16</v>
      </c>
      <c r="N254" t="s">
        <v>40</v>
      </c>
      <c r="O254" s="3"/>
      <c r="P254" s="3"/>
    </row>
    <row r="255" spans="1:16" x14ac:dyDescent="0.3">
      <c r="A255" t="s">
        <v>875</v>
      </c>
      <c r="B255" s="9" t="s">
        <v>324</v>
      </c>
      <c r="C255" s="20" t="str">
        <f t="shared" si="3"/>
        <v>Jan</v>
      </c>
      <c r="D255" t="s">
        <v>876</v>
      </c>
      <c r="E255" s="10" t="s">
        <v>406</v>
      </c>
      <c r="F255" t="s">
        <v>32</v>
      </c>
      <c r="G255" t="s">
        <v>89</v>
      </c>
      <c r="H255" t="s">
        <v>131</v>
      </c>
      <c r="I255">
        <v>1</v>
      </c>
      <c r="J255" s="3">
        <v>16.489999999999998</v>
      </c>
      <c r="K255" s="2">
        <v>0.05</v>
      </c>
      <c r="L255" s="3">
        <v>15.67</v>
      </c>
      <c r="M255" s="3">
        <v>1.73</v>
      </c>
      <c r="N255" t="s">
        <v>20</v>
      </c>
      <c r="O255" s="3"/>
      <c r="P255" s="3"/>
    </row>
    <row r="256" spans="1:16" x14ac:dyDescent="0.3">
      <c r="A256" t="s">
        <v>877</v>
      </c>
      <c r="B256" s="9" t="s">
        <v>878</v>
      </c>
      <c r="C256" s="20" t="str">
        <f t="shared" si="3"/>
        <v>Aug</v>
      </c>
      <c r="D256" t="s">
        <v>879</v>
      </c>
      <c r="E256" s="10" t="s">
        <v>880</v>
      </c>
      <c r="F256" t="s">
        <v>25</v>
      </c>
      <c r="G256" t="s">
        <v>26</v>
      </c>
      <c r="H256" t="s">
        <v>118</v>
      </c>
      <c r="I256">
        <v>4</v>
      </c>
      <c r="J256" s="3">
        <v>150.83000000000001</v>
      </c>
      <c r="K256" s="2">
        <v>0</v>
      </c>
      <c r="L256" s="3">
        <v>603.32000000000005</v>
      </c>
      <c r="M256" s="3">
        <v>157.99</v>
      </c>
      <c r="N256" t="s">
        <v>35</v>
      </c>
      <c r="O256" s="3"/>
      <c r="P256" s="3"/>
    </row>
    <row r="257" spans="1:16" x14ac:dyDescent="0.3">
      <c r="A257" t="s">
        <v>881</v>
      </c>
      <c r="B257" s="9" t="s">
        <v>882</v>
      </c>
      <c r="C257" s="20" t="str">
        <f t="shared" si="3"/>
        <v>Feb</v>
      </c>
      <c r="D257" t="s">
        <v>883</v>
      </c>
      <c r="E257" s="10" t="s">
        <v>572</v>
      </c>
      <c r="F257" t="s">
        <v>32</v>
      </c>
      <c r="G257" t="s">
        <v>26</v>
      </c>
      <c r="H257" t="s">
        <v>84</v>
      </c>
      <c r="I257">
        <v>5</v>
      </c>
      <c r="J257" s="3">
        <v>133.28</v>
      </c>
      <c r="K257" s="2">
        <v>0.05</v>
      </c>
      <c r="L257" s="3">
        <v>633.08000000000004</v>
      </c>
      <c r="M257" s="3">
        <v>159.21</v>
      </c>
      <c r="N257" t="s">
        <v>35</v>
      </c>
      <c r="O257" s="3"/>
      <c r="P257" s="3"/>
    </row>
    <row r="258" spans="1:16" x14ac:dyDescent="0.3">
      <c r="A258" t="s">
        <v>884</v>
      </c>
      <c r="B258" s="9" t="s">
        <v>885</v>
      </c>
      <c r="C258" s="20" t="str">
        <f t="shared" ref="C258:C321" si="4">TEXT(B:B, "mmm")</f>
        <v>Dec</v>
      </c>
      <c r="D258" t="s">
        <v>886</v>
      </c>
      <c r="E258" s="10" t="s">
        <v>887</v>
      </c>
      <c r="F258" t="s">
        <v>25</v>
      </c>
      <c r="G258" t="s">
        <v>26</v>
      </c>
      <c r="H258" t="s">
        <v>84</v>
      </c>
      <c r="I258">
        <v>1</v>
      </c>
      <c r="J258" s="3">
        <v>64.92</v>
      </c>
      <c r="K258" s="2">
        <v>0.15</v>
      </c>
      <c r="L258" s="3">
        <v>55.18</v>
      </c>
      <c r="M258" s="3">
        <v>16.48</v>
      </c>
      <c r="N258" t="s">
        <v>35</v>
      </c>
      <c r="O258" s="3"/>
      <c r="P258" s="3"/>
    </row>
    <row r="259" spans="1:16" x14ac:dyDescent="0.3">
      <c r="A259" t="s">
        <v>888</v>
      </c>
      <c r="B259" s="9" t="s">
        <v>889</v>
      </c>
      <c r="C259" s="20" t="str">
        <f t="shared" si="4"/>
        <v>Dec</v>
      </c>
      <c r="D259" t="s">
        <v>890</v>
      </c>
      <c r="E259" s="10" t="s">
        <v>891</v>
      </c>
      <c r="F259" t="s">
        <v>25</v>
      </c>
      <c r="G259" t="s">
        <v>89</v>
      </c>
      <c r="H259" t="s">
        <v>131</v>
      </c>
      <c r="I259">
        <v>1</v>
      </c>
      <c r="J259" s="3">
        <v>39.409999999999997</v>
      </c>
      <c r="K259" s="2">
        <v>0.15</v>
      </c>
      <c r="L259" s="3">
        <v>33.5</v>
      </c>
      <c r="M259" s="3">
        <v>5.03</v>
      </c>
      <c r="N259" t="s">
        <v>20</v>
      </c>
      <c r="O259" s="3"/>
      <c r="P259" s="3"/>
    </row>
    <row r="260" spans="1:16" x14ac:dyDescent="0.3">
      <c r="A260" t="s">
        <v>892</v>
      </c>
      <c r="B260" s="9" t="s">
        <v>893</v>
      </c>
      <c r="C260" s="20" t="str">
        <f t="shared" si="4"/>
        <v>Aug</v>
      </c>
      <c r="D260" t="s">
        <v>894</v>
      </c>
      <c r="E260" s="10" t="s">
        <v>895</v>
      </c>
      <c r="F260" t="s">
        <v>32</v>
      </c>
      <c r="G260" t="s">
        <v>33</v>
      </c>
      <c r="H260" t="s">
        <v>74</v>
      </c>
      <c r="I260">
        <v>8</v>
      </c>
      <c r="J260" s="3">
        <v>197.75</v>
      </c>
      <c r="K260" s="2">
        <v>0.15</v>
      </c>
      <c r="L260" s="3">
        <v>1344.7</v>
      </c>
      <c r="M260" s="3">
        <v>117.65</v>
      </c>
      <c r="N260" t="s">
        <v>20</v>
      </c>
      <c r="O260" s="3"/>
      <c r="P260" s="3"/>
    </row>
    <row r="261" spans="1:16" x14ac:dyDescent="0.3">
      <c r="A261" t="s">
        <v>896</v>
      </c>
      <c r="B261" s="9" t="s">
        <v>548</v>
      </c>
      <c r="C261" s="20" t="str">
        <f t="shared" si="4"/>
        <v>Aug</v>
      </c>
      <c r="D261" t="s">
        <v>897</v>
      </c>
      <c r="E261" s="10" t="s">
        <v>898</v>
      </c>
      <c r="F261" t="s">
        <v>17</v>
      </c>
      <c r="G261" t="s">
        <v>89</v>
      </c>
      <c r="H261" t="s">
        <v>131</v>
      </c>
      <c r="I261">
        <v>7</v>
      </c>
      <c r="J261" s="3">
        <v>138.30000000000001</v>
      </c>
      <c r="K261" s="2">
        <v>0</v>
      </c>
      <c r="L261" s="3">
        <v>968.1</v>
      </c>
      <c r="M261" s="3">
        <v>283.56</v>
      </c>
      <c r="N261" t="s">
        <v>20</v>
      </c>
      <c r="O261" s="3"/>
      <c r="P261" s="3"/>
    </row>
    <row r="262" spans="1:16" x14ac:dyDescent="0.3">
      <c r="A262" t="s">
        <v>899</v>
      </c>
      <c r="B262" s="9" t="s">
        <v>900</v>
      </c>
      <c r="C262" s="20" t="str">
        <f t="shared" si="4"/>
        <v>Oct</v>
      </c>
      <c r="D262" t="s">
        <v>901</v>
      </c>
      <c r="E262" s="10" t="s">
        <v>902</v>
      </c>
      <c r="F262" t="s">
        <v>32</v>
      </c>
      <c r="G262" t="s">
        <v>33</v>
      </c>
      <c r="H262" t="s">
        <v>50</v>
      </c>
      <c r="I262">
        <v>3</v>
      </c>
      <c r="J262" s="3">
        <v>217.23</v>
      </c>
      <c r="K262" s="2">
        <v>0</v>
      </c>
      <c r="L262" s="3">
        <v>651.69000000000005</v>
      </c>
      <c r="M262" s="3">
        <v>61.74</v>
      </c>
      <c r="N262" t="s">
        <v>40</v>
      </c>
      <c r="O262" s="3"/>
      <c r="P262" s="3"/>
    </row>
    <row r="263" spans="1:16" x14ac:dyDescent="0.3">
      <c r="A263" t="s">
        <v>903</v>
      </c>
      <c r="B263" s="9" t="s">
        <v>904</v>
      </c>
      <c r="C263" s="20" t="str">
        <f t="shared" si="4"/>
        <v>Apr</v>
      </c>
      <c r="D263" t="s">
        <v>725</v>
      </c>
      <c r="E263" s="10" t="s">
        <v>49</v>
      </c>
      <c r="F263" t="s">
        <v>25</v>
      </c>
      <c r="G263" t="s">
        <v>18</v>
      </c>
      <c r="H263" t="s">
        <v>45</v>
      </c>
      <c r="I263">
        <v>5</v>
      </c>
      <c r="J263" s="3">
        <v>93.14</v>
      </c>
      <c r="K263" s="2">
        <v>0.15</v>
      </c>
      <c r="L263" s="3">
        <v>395.84</v>
      </c>
      <c r="M263" s="3">
        <v>66.260000000000005</v>
      </c>
      <c r="N263" t="s">
        <v>35</v>
      </c>
      <c r="O263" s="3"/>
      <c r="P263" s="3"/>
    </row>
    <row r="264" spans="1:16" x14ac:dyDescent="0.3">
      <c r="A264" t="s">
        <v>905</v>
      </c>
      <c r="B264" s="9" t="s">
        <v>500</v>
      </c>
      <c r="C264" s="20" t="str">
        <f t="shared" si="4"/>
        <v>Nov</v>
      </c>
      <c r="D264" t="s">
        <v>604</v>
      </c>
      <c r="E264" s="10" t="s">
        <v>906</v>
      </c>
      <c r="F264" t="s">
        <v>25</v>
      </c>
      <c r="G264" t="s">
        <v>26</v>
      </c>
      <c r="H264" t="s">
        <v>118</v>
      </c>
      <c r="I264">
        <v>6</v>
      </c>
      <c r="J264" s="3">
        <v>157.97999999999999</v>
      </c>
      <c r="K264" s="2">
        <v>0</v>
      </c>
      <c r="L264" s="3">
        <v>947.88</v>
      </c>
      <c r="M264" s="3">
        <v>108.24</v>
      </c>
      <c r="N264" t="s">
        <v>40</v>
      </c>
      <c r="O264" s="3"/>
      <c r="P264" s="3"/>
    </row>
    <row r="265" spans="1:16" x14ac:dyDescent="0.3">
      <c r="A265" t="s">
        <v>907</v>
      </c>
      <c r="B265" s="9" t="s">
        <v>908</v>
      </c>
      <c r="C265" s="20" t="str">
        <f t="shared" si="4"/>
        <v>Dec</v>
      </c>
      <c r="D265" t="s">
        <v>909</v>
      </c>
      <c r="E265" s="10" t="s">
        <v>910</v>
      </c>
      <c r="F265" t="s">
        <v>32</v>
      </c>
      <c r="G265" t="s">
        <v>26</v>
      </c>
      <c r="H265" t="s">
        <v>27</v>
      </c>
      <c r="I265">
        <v>8</v>
      </c>
      <c r="J265" s="3">
        <v>75.83</v>
      </c>
      <c r="K265" s="2">
        <v>0.15</v>
      </c>
      <c r="L265" s="3">
        <v>515.64</v>
      </c>
      <c r="M265" s="3">
        <v>102.11</v>
      </c>
      <c r="N265" t="s">
        <v>35</v>
      </c>
      <c r="O265" s="3"/>
      <c r="P265" s="3"/>
    </row>
    <row r="266" spans="1:16" x14ac:dyDescent="0.3">
      <c r="A266" t="s">
        <v>911</v>
      </c>
      <c r="B266" s="9" t="s">
        <v>815</v>
      </c>
      <c r="C266" s="20" t="str">
        <f t="shared" si="4"/>
        <v>Jan</v>
      </c>
      <c r="D266" t="s">
        <v>912</v>
      </c>
      <c r="E266" s="10" t="s">
        <v>648</v>
      </c>
      <c r="F266" t="s">
        <v>32</v>
      </c>
      <c r="G266" t="s">
        <v>18</v>
      </c>
      <c r="H266" t="s">
        <v>45</v>
      </c>
      <c r="I266">
        <v>2</v>
      </c>
      <c r="J266" s="3">
        <v>142.5</v>
      </c>
      <c r="K266" s="2">
        <v>0</v>
      </c>
      <c r="L266" s="3">
        <v>285</v>
      </c>
      <c r="M266" s="3">
        <v>50.99</v>
      </c>
      <c r="N266" t="s">
        <v>20</v>
      </c>
      <c r="O266" s="3"/>
      <c r="P266" s="3"/>
    </row>
    <row r="267" spans="1:16" x14ac:dyDescent="0.3">
      <c r="A267" t="s">
        <v>913</v>
      </c>
      <c r="B267" s="9" t="s">
        <v>523</v>
      </c>
      <c r="C267" s="20" t="str">
        <f t="shared" si="4"/>
        <v>Dec</v>
      </c>
      <c r="D267" t="s">
        <v>654</v>
      </c>
      <c r="E267" s="10" t="s">
        <v>322</v>
      </c>
      <c r="F267" t="s">
        <v>64</v>
      </c>
      <c r="G267" t="s">
        <v>33</v>
      </c>
      <c r="H267" t="s">
        <v>34</v>
      </c>
      <c r="I267">
        <v>3</v>
      </c>
      <c r="J267" s="3">
        <v>204.61</v>
      </c>
      <c r="K267" s="2">
        <v>0.15</v>
      </c>
      <c r="L267" s="3">
        <v>521.76</v>
      </c>
      <c r="M267" s="3">
        <v>83.9</v>
      </c>
      <c r="N267" t="s">
        <v>40</v>
      </c>
      <c r="O267" s="3"/>
      <c r="P267" s="3"/>
    </row>
    <row r="268" spans="1:16" x14ac:dyDescent="0.3">
      <c r="A268" t="s">
        <v>914</v>
      </c>
      <c r="B268" s="9" t="s">
        <v>915</v>
      </c>
      <c r="C268" s="20" t="str">
        <f t="shared" si="4"/>
        <v>Mar</v>
      </c>
      <c r="D268" t="s">
        <v>916</v>
      </c>
      <c r="E268" s="10" t="s">
        <v>621</v>
      </c>
      <c r="F268" t="s">
        <v>59</v>
      </c>
      <c r="G268" t="s">
        <v>18</v>
      </c>
      <c r="H268" t="s">
        <v>19</v>
      </c>
      <c r="I268">
        <v>5</v>
      </c>
      <c r="J268" s="3">
        <v>134.65</v>
      </c>
      <c r="K268" s="2">
        <v>0.15</v>
      </c>
      <c r="L268" s="3">
        <v>572.26</v>
      </c>
      <c r="M268" s="3">
        <v>76.73</v>
      </c>
      <c r="N268" t="s">
        <v>40</v>
      </c>
      <c r="O268" s="3"/>
      <c r="P268" s="3"/>
    </row>
    <row r="269" spans="1:16" x14ac:dyDescent="0.3">
      <c r="A269" t="s">
        <v>917</v>
      </c>
      <c r="B269" s="9" t="s">
        <v>918</v>
      </c>
      <c r="C269" s="20" t="str">
        <f t="shared" si="4"/>
        <v>May</v>
      </c>
      <c r="D269" t="s">
        <v>514</v>
      </c>
      <c r="E269" s="10" t="s">
        <v>919</v>
      </c>
      <c r="F269" t="s">
        <v>32</v>
      </c>
      <c r="G269" t="s">
        <v>33</v>
      </c>
      <c r="H269" t="s">
        <v>69</v>
      </c>
      <c r="I269">
        <v>3</v>
      </c>
      <c r="J269" s="3">
        <v>93.29</v>
      </c>
      <c r="K269" s="2">
        <v>0.1</v>
      </c>
      <c r="L269" s="3">
        <v>251.88</v>
      </c>
      <c r="M269" s="3">
        <v>55.67</v>
      </c>
      <c r="N269" t="s">
        <v>20</v>
      </c>
      <c r="O269" s="3"/>
      <c r="P269" s="3"/>
    </row>
    <row r="270" spans="1:16" x14ac:dyDescent="0.3">
      <c r="A270" t="s">
        <v>920</v>
      </c>
      <c r="B270" s="9" t="s">
        <v>404</v>
      </c>
      <c r="C270" s="20" t="str">
        <f t="shared" si="4"/>
        <v>Feb</v>
      </c>
      <c r="D270" t="s">
        <v>921</v>
      </c>
      <c r="E270" s="10" t="s">
        <v>922</v>
      </c>
      <c r="F270" t="s">
        <v>25</v>
      </c>
      <c r="G270" t="s">
        <v>26</v>
      </c>
      <c r="H270" t="s">
        <v>27</v>
      </c>
      <c r="I270">
        <v>4</v>
      </c>
      <c r="J270" s="3">
        <v>139.96</v>
      </c>
      <c r="K270" s="2">
        <v>0</v>
      </c>
      <c r="L270" s="3">
        <v>559.84</v>
      </c>
      <c r="M270" s="3">
        <v>138.03</v>
      </c>
      <c r="N270" t="s">
        <v>40</v>
      </c>
      <c r="O270" s="3"/>
      <c r="P270" s="3"/>
    </row>
    <row r="271" spans="1:16" x14ac:dyDescent="0.3">
      <c r="A271" t="s">
        <v>923</v>
      </c>
      <c r="B271" s="9" t="s">
        <v>924</v>
      </c>
      <c r="C271" s="20" t="str">
        <f t="shared" si="4"/>
        <v>Apr</v>
      </c>
      <c r="D271" t="s">
        <v>393</v>
      </c>
      <c r="E271" s="10" t="s">
        <v>427</v>
      </c>
      <c r="F271" t="s">
        <v>64</v>
      </c>
      <c r="G271" t="s">
        <v>18</v>
      </c>
      <c r="H271" t="s">
        <v>45</v>
      </c>
      <c r="I271">
        <v>7</v>
      </c>
      <c r="J271" s="3">
        <v>192.72</v>
      </c>
      <c r="K271" s="2">
        <v>0</v>
      </c>
      <c r="L271" s="3">
        <v>1349.04</v>
      </c>
      <c r="M271" s="3">
        <v>394.91</v>
      </c>
      <c r="N271" t="s">
        <v>35</v>
      </c>
      <c r="O271" s="3"/>
      <c r="P271" s="3"/>
    </row>
    <row r="272" spans="1:16" x14ac:dyDescent="0.3">
      <c r="A272" t="s">
        <v>925</v>
      </c>
      <c r="B272" s="9" t="s">
        <v>214</v>
      </c>
      <c r="C272" s="20" t="str">
        <f t="shared" si="4"/>
        <v>Jun</v>
      </c>
      <c r="D272" t="s">
        <v>926</v>
      </c>
      <c r="E272" s="10" t="s">
        <v>927</v>
      </c>
      <c r="F272" t="s">
        <v>17</v>
      </c>
      <c r="G272" t="s">
        <v>26</v>
      </c>
      <c r="H272" t="s">
        <v>118</v>
      </c>
      <c r="I272">
        <v>8</v>
      </c>
      <c r="J272" s="3">
        <v>66.739999999999995</v>
      </c>
      <c r="K272" s="2">
        <v>0.15</v>
      </c>
      <c r="L272" s="3">
        <v>453.83</v>
      </c>
      <c r="M272" s="3">
        <v>109.74</v>
      </c>
      <c r="N272" t="s">
        <v>40</v>
      </c>
      <c r="O272" s="3"/>
      <c r="P272" s="3"/>
    </row>
    <row r="273" spans="1:16" x14ac:dyDescent="0.3">
      <c r="A273" t="s">
        <v>928</v>
      </c>
      <c r="B273" s="9" t="s">
        <v>929</v>
      </c>
      <c r="C273" s="20" t="str">
        <f t="shared" si="4"/>
        <v>May</v>
      </c>
      <c r="D273" t="s">
        <v>930</v>
      </c>
      <c r="E273" s="10" t="s">
        <v>931</v>
      </c>
      <c r="F273" t="s">
        <v>64</v>
      </c>
      <c r="G273" t="s">
        <v>26</v>
      </c>
      <c r="H273" t="s">
        <v>118</v>
      </c>
      <c r="I273">
        <v>3</v>
      </c>
      <c r="J273" s="3">
        <v>180.58</v>
      </c>
      <c r="K273" s="2">
        <v>0</v>
      </c>
      <c r="L273" s="3">
        <v>541.74</v>
      </c>
      <c r="M273" s="3">
        <v>75.099999999999994</v>
      </c>
      <c r="N273" t="s">
        <v>20</v>
      </c>
      <c r="O273" s="3"/>
      <c r="P273" s="3"/>
    </row>
    <row r="274" spans="1:16" x14ac:dyDescent="0.3">
      <c r="A274" t="s">
        <v>932</v>
      </c>
      <c r="B274" s="9" t="s">
        <v>286</v>
      </c>
      <c r="C274" s="20" t="str">
        <f t="shared" si="4"/>
        <v>Mar</v>
      </c>
      <c r="D274" t="s">
        <v>933</v>
      </c>
      <c r="E274" s="10" t="s">
        <v>934</v>
      </c>
      <c r="F274" t="s">
        <v>64</v>
      </c>
      <c r="G274" t="s">
        <v>18</v>
      </c>
      <c r="H274" t="s">
        <v>19</v>
      </c>
      <c r="I274">
        <v>4</v>
      </c>
      <c r="J274" s="3">
        <v>173.23</v>
      </c>
      <c r="K274" s="2">
        <v>0.05</v>
      </c>
      <c r="L274" s="3">
        <v>658.27</v>
      </c>
      <c r="M274" s="3">
        <v>142.13</v>
      </c>
      <c r="N274" t="s">
        <v>20</v>
      </c>
      <c r="O274" s="3"/>
      <c r="P274" s="3"/>
    </row>
    <row r="275" spans="1:16" x14ac:dyDescent="0.3">
      <c r="A275" t="s">
        <v>935</v>
      </c>
      <c r="B275" s="9" t="s">
        <v>71</v>
      </c>
      <c r="C275" s="20" t="str">
        <f t="shared" si="4"/>
        <v>Feb</v>
      </c>
      <c r="D275" t="s">
        <v>936</v>
      </c>
      <c r="E275" s="10" t="s">
        <v>937</v>
      </c>
      <c r="F275" t="s">
        <v>32</v>
      </c>
      <c r="G275" t="s">
        <v>89</v>
      </c>
      <c r="H275" t="s">
        <v>90</v>
      </c>
      <c r="I275">
        <v>6</v>
      </c>
      <c r="J275" s="3">
        <v>128.61000000000001</v>
      </c>
      <c r="K275" s="2">
        <v>0</v>
      </c>
      <c r="L275" s="3">
        <v>771.66</v>
      </c>
      <c r="M275" s="3">
        <v>216.89</v>
      </c>
      <c r="N275" t="s">
        <v>20</v>
      </c>
      <c r="O275" s="3"/>
      <c r="P275" s="3"/>
    </row>
    <row r="276" spans="1:16" x14ac:dyDescent="0.3">
      <c r="A276" t="s">
        <v>938</v>
      </c>
      <c r="B276" s="9" t="s">
        <v>223</v>
      </c>
      <c r="C276" s="20" t="str">
        <f t="shared" si="4"/>
        <v>Jun</v>
      </c>
      <c r="D276" t="s">
        <v>97</v>
      </c>
      <c r="E276" s="10" t="s">
        <v>546</v>
      </c>
      <c r="F276" t="s">
        <v>64</v>
      </c>
      <c r="G276" t="s">
        <v>26</v>
      </c>
      <c r="H276" t="s">
        <v>118</v>
      </c>
      <c r="I276">
        <v>6</v>
      </c>
      <c r="J276" s="3">
        <v>102.68</v>
      </c>
      <c r="K276" s="2">
        <v>0.1</v>
      </c>
      <c r="L276" s="3">
        <v>554.47</v>
      </c>
      <c r="M276" s="3">
        <v>84.54</v>
      </c>
      <c r="N276" t="s">
        <v>20</v>
      </c>
      <c r="O276" s="3"/>
      <c r="P276" s="3"/>
    </row>
    <row r="277" spans="1:16" x14ac:dyDescent="0.3">
      <c r="A277" t="s">
        <v>939</v>
      </c>
      <c r="B277" s="9" t="s">
        <v>940</v>
      </c>
      <c r="C277" s="20" t="str">
        <f t="shared" si="4"/>
        <v>Apr</v>
      </c>
      <c r="D277" t="s">
        <v>941</v>
      </c>
      <c r="E277" s="10" t="s">
        <v>791</v>
      </c>
      <c r="F277" t="s">
        <v>25</v>
      </c>
      <c r="G277" t="s">
        <v>89</v>
      </c>
      <c r="H277" t="s">
        <v>150</v>
      </c>
      <c r="I277">
        <v>2</v>
      </c>
      <c r="J277" s="3">
        <v>174</v>
      </c>
      <c r="K277" s="2">
        <v>0.05</v>
      </c>
      <c r="L277" s="3">
        <v>330.6</v>
      </c>
      <c r="M277" s="3">
        <v>33.4</v>
      </c>
      <c r="N277" t="s">
        <v>40</v>
      </c>
      <c r="O277" s="3"/>
      <c r="P277" s="3"/>
    </row>
    <row r="278" spans="1:16" x14ac:dyDescent="0.3">
      <c r="A278" t="s">
        <v>942</v>
      </c>
      <c r="B278" s="9" t="s">
        <v>943</v>
      </c>
      <c r="C278" s="20" t="str">
        <f t="shared" si="4"/>
        <v>Feb</v>
      </c>
      <c r="D278" t="s">
        <v>531</v>
      </c>
      <c r="E278" s="10" t="s">
        <v>944</v>
      </c>
      <c r="F278" t="s">
        <v>32</v>
      </c>
      <c r="G278" t="s">
        <v>18</v>
      </c>
      <c r="H278" t="s">
        <v>45</v>
      </c>
      <c r="I278">
        <v>3</v>
      </c>
      <c r="J278" s="3">
        <v>98.57</v>
      </c>
      <c r="K278" s="2">
        <v>0.05</v>
      </c>
      <c r="L278" s="3">
        <v>280.92</v>
      </c>
      <c r="M278" s="3">
        <v>60.48</v>
      </c>
      <c r="N278" t="s">
        <v>20</v>
      </c>
      <c r="O278" s="3"/>
      <c r="P278" s="3"/>
    </row>
    <row r="279" spans="1:16" x14ac:dyDescent="0.3">
      <c r="A279" t="s">
        <v>945</v>
      </c>
      <c r="B279" s="9" t="s">
        <v>235</v>
      </c>
      <c r="C279" s="20" t="str">
        <f t="shared" si="4"/>
        <v>Jul</v>
      </c>
      <c r="D279" t="s">
        <v>946</v>
      </c>
      <c r="E279" s="10" t="s">
        <v>947</v>
      </c>
      <c r="F279" t="s">
        <v>59</v>
      </c>
      <c r="G279" t="s">
        <v>33</v>
      </c>
      <c r="H279" t="s">
        <v>34</v>
      </c>
      <c r="I279">
        <v>7</v>
      </c>
      <c r="J279" s="3">
        <v>180.52</v>
      </c>
      <c r="K279" s="2">
        <v>0</v>
      </c>
      <c r="L279" s="3">
        <v>1263.6400000000001</v>
      </c>
      <c r="M279" s="3">
        <v>259.52999999999997</v>
      </c>
      <c r="N279" t="s">
        <v>35</v>
      </c>
      <c r="O279" s="3"/>
      <c r="P279" s="3"/>
    </row>
    <row r="280" spans="1:16" x14ac:dyDescent="0.3">
      <c r="A280" t="s">
        <v>948</v>
      </c>
      <c r="B280" s="9" t="s">
        <v>949</v>
      </c>
      <c r="C280" s="20" t="str">
        <f t="shared" si="4"/>
        <v>Jul</v>
      </c>
      <c r="D280" t="s">
        <v>950</v>
      </c>
      <c r="E280" s="10" t="s">
        <v>951</v>
      </c>
      <c r="F280" t="s">
        <v>17</v>
      </c>
      <c r="G280" t="s">
        <v>33</v>
      </c>
      <c r="H280" t="s">
        <v>34</v>
      </c>
      <c r="I280">
        <v>1</v>
      </c>
      <c r="J280" s="3">
        <v>83.13</v>
      </c>
      <c r="K280" s="2">
        <v>0</v>
      </c>
      <c r="L280" s="3">
        <v>83.13</v>
      </c>
      <c r="M280" s="3">
        <v>11.17</v>
      </c>
      <c r="N280" t="s">
        <v>20</v>
      </c>
      <c r="O280" s="3"/>
      <c r="P280" s="3"/>
    </row>
    <row r="281" spans="1:16" x14ac:dyDescent="0.3">
      <c r="A281" t="s">
        <v>952</v>
      </c>
      <c r="B281" s="9" t="s">
        <v>264</v>
      </c>
      <c r="C281" s="20" t="str">
        <f t="shared" si="4"/>
        <v>Jan</v>
      </c>
      <c r="D281" t="s">
        <v>953</v>
      </c>
      <c r="E281" s="10" t="s">
        <v>475</v>
      </c>
      <c r="F281" t="s">
        <v>64</v>
      </c>
      <c r="G281" t="s">
        <v>89</v>
      </c>
      <c r="H281" t="s">
        <v>90</v>
      </c>
      <c r="I281">
        <v>7</v>
      </c>
      <c r="J281" s="3">
        <v>159.12</v>
      </c>
      <c r="K281" s="2">
        <v>0.05</v>
      </c>
      <c r="L281" s="3">
        <v>1058.1500000000001</v>
      </c>
      <c r="M281" s="3">
        <v>140.53</v>
      </c>
      <c r="N281" t="s">
        <v>20</v>
      </c>
      <c r="O281" s="3"/>
      <c r="P281" s="3"/>
    </row>
    <row r="282" spans="1:16" x14ac:dyDescent="0.3">
      <c r="A282" t="s">
        <v>954</v>
      </c>
      <c r="B282" s="9" t="s">
        <v>317</v>
      </c>
      <c r="C282" s="20" t="str">
        <f t="shared" si="4"/>
        <v>May</v>
      </c>
      <c r="D282" t="s">
        <v>955</v>
      </c>
      <c r="E282" s="10" t="s">
        <v>674</v>
      </c>
      <c r="F282" t="s">
        <v>17</v>
      </c>
      <c r="G282" t="s">
        <v>18</v>
      </c>
      <c r="H282" t="s">
        <v>19</v>
      </c>
      <c r="I282">
        <v>4</v>
      </c>
      <c r="J282" s="3">
        <v>210.59</v>
      </c>
      <c r="K282" s="2">
        <v>0.05</v>
      </c>
      <c r="L282" s="3">
        <v>800.24</v>
      </c>
      <c r="M282" s="3">
        <v>85.88</v>
      </c>
      <c r="N282" t="s">
        <v>40</v>
      </c>
      <c r="O282" s="3"/>
      <c r="P282" s="3"/>
    </row>
    <row r="283" spans="1:16" x14ac:dyDescent="0.3">
      <c r="A283" t="s">
        <v>956</v>
      </c>
      <c r="B283" s="9" t="s">
        <v>957</v>
      </c>
      <c r="C283" s="20" t="str">
        <f t="shared" si="4"/>
        <v>Nov</v>
      </c>
      <c r="D283" t="s">
        <v>958</v>
      </c>
      <c r="E283" s="10" t="s">
        <v>54</v>
      </c>
      <c r="F283" t="s">
        <v>32</v>
      </c>
      <c r="G283" t="s">
        <v>33</v>
      </c>
      <c r="H283" t="s">
        <v>50</v>
      </c>
      <c r="I283">
        <v>2</v>
      </c>
      <c r="J283" s="3">
        <v>91.7</v>
      </c>
      <c r="K283" s="2">
        <v>0.1</v>
      </c>
      <c r="L283" s="3">
        <v>165.06</v>
      </c>
      <c r="M283" s="3">
        <v>43.19</v>
      </c>
      <c r="N283" t="s">
        <v>20</v>
      </c>
      <c r="O283" s="3"/>
      <c r="P283" s="3"/>
    </row>
    <row r="284" spans="1:16" x14ac:dyDescent="0.3">
      <c r="A284" t="s">
        <v>959</v>
      </c>
      <c r="B284" s="9" t="s">
        <v>210</v>
      </c>
      <c r="C284" s="20" t="str">
        <f t="shared" si="4"/>
        <v>Mar</v>
      </c>
      <c r="D284" t="s">
        <v>224</v>
      </c>
      <c r="E284" s="10" t="s">
        <v>459</v>
      </c>
      <c r="F284" t="s">
        <v>59</v>
      </c>
      <c r="G284" t="s">
        <v>33</v>
      </c>
      <c r="H284" t="s">
        <v>50</v>
      </c>
      <c r="I284">
        <v>6</v>
      </c>
      <c r="J284" s="3">
        <v>186.72</v>
      </c>
      <c r="K284" s="2">
        <v>0.05</v>
      </c>
      <c r="L284" s="3">
        <v>1064.3</v>
      </c>
      <c r="M284" s="3">
        <v>284.39</v>
      </c>
      <c r="N284" t="s">
        <v>35</v>
      </c>
      <c r="O284" s="3"/>
      <c r="P284" s="3"/>
    </row>
    <row r="285" spans="1:16" x14ac:dyDescent="0.3">
      <c r="A285" t="s">
        <v>960</v>
      </c>
      <c r="B285" s="9" t="s">
        <v>423</v>
      </c>
      <c r="C285" s="20" t="str">
        <f t="shared" si="4"/>
        <v>Oct</v>
      </c>
      <c r="D285" t="s">
        <v>961</v>
      </c>
      <c r="E285" s="10" t="s">
        <v>962</v>
      </c>
      <c r="F285" t="s">
        <v>32</v>
      </c>
      <c r="G285" t="s">
        <v>89</v>
      </c>
      <c r="H285" t="s">
        <v>150</v>
      </c>
      <c r="I285">
        <v>6</v>
      </c>
      <c r="J285" s="3">
        <v>228.46</v>
      </c>
      <c r="K285" s="2">
        <v>0.15</v>
      </c>
      <c r="L285" s="3">
        <v>1165.1500000000001</v>
      </c>
      <c r="M285" s="3">
        <v>114.2</v>
      </c>
      <c r="N285" t="s">
        <v>35</v>
      </c>
      <c r="O285" s="3"/>
      <c r="P285" s="3"/>
    </row>
    <row r="286" spans="1:16" x14ac:dyDescent="0.3">
      <c r="A286" t="s">
        <v>963</v>
      </c>
      <c r="B286" s="9" t="s">
        <v>964</v>
      </c>
      <c r="C286" s="20" t="str">
        <f t="shared" si="4"/>
        <v>Oct</v>
      </c>
      <c r="D286" t="s">
        <v>413</v>
      </c>
      <c r="E286" s="10" t="s">
        <v>965</v>
      </c>
      <c r="F286" t="s">
        <v>17</v>
      </c>
      <c r="G286" t="s">
        <v>18</v>
      </c>
      <c r="H286" t="s">
        <v>79</v>
      </c>
      <c r="I286">
        <v>4</v>
      </c>
      <c r="J286" s="3">
        <v>161.05000000000001</v>
      </c>
      <c r="K286" s="2">
        <v>0.1</v>
      </c>
      <c r="L286" s="3">
        <v>579.78</v>
      </c>
      <c r="M286" s="3">
        <v>161.96</v>
      </c>
      <c r="N286" t="s">
        <v>35</v>
      </c>
      <c r="O286" s="3"/>
      <c r="P286" s="3"/>
    </row>
    <row r="287" spans="1:16" x14ac:dyDescent="0.3">
      <c r="A287" t="s">
        <v>966</v>
      </c>
      <c r="B287" s="9" t="s">
        <v>420</v>
      </c>
      <c r="C287" s="20" t="str">
        <f t="shared" si="4"/>
        <v>Aug</v>
      </c>
      <c r="D287" t="s">
        <v>967</v>
      </c>
      <c r="E287" s="10" t="s">
        <v>968</v>
      </c>
      <c r="F287" t="s">
        <v>64</v>
      </c>
      <c r="G287" t="s">
        <v>33</v>
      </c>
      <c r="H287" t="s">
        <v>50</v>
      </c>
      <c r="I287">
        <v>3</v>
      </c>
      <c r="J287" s="3">
        <v>46.19</v>
      </c>
      <c r="K287" s="2">
        <v>0.05</v>
      </c>
      <c r="L287" s="3">
        <v>131.63999999999999</v>
      </c>
      <c r="M287" s="3">
        <v>17.510000000000002</v>
      </c>
      <c r="N287" t="s">
        <v>35</v>
      </c>
      <c r="O287" s="3"/>
      <c r="P287" s="3"/>
    </row>
    <row r="288" spans="1:16" x14ac:dyDescent="0.3">
      <c r="A288" t="s">
        <v>969</v>
      </c>
      <c r="B288" s="9" t="s">
        <v>970</v>
      </c>
      <c r="C288" s="20" t="str">
        <f t="shared" si="4"/>
        <v>Oct</v>
      </c>
      <c r="D288" t="s">
        <v>465</v>
      </c>
      <c r="E288" s="10" t="s">
        <v>495</v>
      </c>
      <c r="F288" t="s">
        <v>25</v>
      </c>
      <c r="G288" t="s">
        <v>33</v>
      </c>
      <c r="H288" t="s">
        <v>50</v>
      </c>
      <c r="I288">
        <v>8</v>
      </c>
      <c r="J288" s="3">
        <v>181.01</v>
      </c>
      <c r="K288" s="2">
        <v>0</v>
      </c>
      <c r="L288" s="3">
        <v>1448.08</v>
      </c>
      <c r="M288" s="3">
        <v>328.68</v>
      </c>
      <c r="N288" t="s">
        <v>35</v>
      </c>
      <c r="O288" s="3"/>
      <c r="P288" s="3"/>
    </row>
    <row r="289" spans="1:16" x14ac:dyDescent="0.3">
      <c r="A289" t="s">
        <v>971</v>
      </c>
      <c r="B289" s="9" t="s">
        <v>972</v>
      </c>
      <c r="C289" s="20" t="str">
        <f t="shared" si="4"/>
        <v>Jul</v>
      </c>
      <c r="D289" t="s">
        <v>393</v>
      </c>
      <c r="E289" s="10" t="s">
        <v>88</v>
      </c>
      <c r="F289" t="s">
        <v>64</v>
      </c>
      <c r="G289" t="s">
        <v>18</v>
      </c>
      <c r="H289" t="s">
        <v>45</v>
      </c>
      <c r="I289">
        <v>8</v>
      </c>
      <c r="J289" s="3">
        <v>159.97999999999999</v>
      </c>
      <c r="K289" s="2">
        <v>0</v>
      </c>
      <c r="L289" s="3">
        <v>1279.8399999999999</v>
      </c>
      <c r="M289" s="3">
        <v>267.55</v>
      </c>
      <c r="N289" t="s">
        <v>35</v>
      </c>
      <c r="O289" s="3"/>
      <c r="P289" s="3"/>
    </row>
    <row r="290" spans="1:16" x14ac:dyDescent="0.3">
      <c r="A290" t="s">
        <v>973</v>
      </c>
      <c r="B290" s="9" t="s">
        <v>974</v>
      </c>
      <c r="C290" s="20" t="str">
        <f t="shared" si="4"/>
        <v>May</v>
      </c>
      <c r="D290" t="s">
        <v>975</v>
      </c>
      <c r="E290" s="10" t="s">
        <v>976</v>
      </c>
      <c r="F290" t="s">
        <v>25</v>
      </c>
      <c r="G290" t="s">
        <v>89</v>
      </c>
      <c r="H290" t="s">
        <v>90</v>
      </c>
      <c r="I290">
        <v>5</v>
      </c>
      <c r="J290" s="3">
        <v>49.13</v>
      </c>
      <c r="K290" s="2">
        <v>0.1</v>
      </c>
      <c r="L290" s="3">
        <v>221.09</v>
      </c>
      <c r="M290" s="3">
        <v>64.83</v>
      </c>
      <c r="N290" t="s">
        <v>20</v>
      </c>
      <c r="O290" s="3"/>
      <c r="P290" s="3"/>
    </row>
    <row r="291" spans="1:16" x14ac:dyDescent="0.3">
      <c r="A291" t="s">
        <v>977</v>
      </c>
      <c r="B291" s="9" t="s">
        <v>900</v>
      </c>
      <c r="C291" s="20" t="str">
        <f t="shared" si="4"/>
        <v>Oct</v>
      </c>
      <c r="D291" t="s">
        <v>978</v>
      </c>
      <c r="E291" s="10" t="s">
        <v>329</v>
      </c>
      <c r="F291" t="s">
        <v>32</v>
      </c>
      <c r="G291" t="s">
        <v>33</v>
      </c>
      <c r="H291" t="s">
        <v>74</v>
      </c>
      <c r="I291">
        <v>5</v>
      </c>
      <c r="J291" s="3">
        <v>204.55</v>
      </c>
      <c r="K291" s="2">
        <v>0.1</v>
      </c>
      <c r="L291" s="3">
        <v>920.48</v>
      </c>
      <c r="M291" s="3">
        <v>131.6</v>
      </c>
      <c r="N291" t="s">
        <v>35</v>
      </c>
      <c r="O291" s="3"/>
      <c r="P291" s="3"/>
    </row>
    <row r="292" spans="1:16" x14ac:dyDescent="0.3">
      <c r="A292" t="s">
        <v>979</v>
      </c>
      <c r="B292" s="9" t="s">
        <v>908</v>
      </c>
      <c r="C292" s="20" t="str">
        <f t="shared" si="4"/>
        <v>Dec</v>
      </c>
      <c r="D292" t="s">
        <v>980</v>
      </c>
      <c r="E292" s="10" t="s">
        <v>521</v>
      </c>
      <c r="F292" t="s">
        <v>59</v>
      </c>
      <c r="G292" t="s">
        <v>26</v>
      </c>
      <c r="H292" t="s">
        <v>84</v>
      </c>
      <c r="I292">
        <v>8</v>
      </c>
      <c r="J292" s="3">
        <v>127.28</v>
      </c>
      <c r="K292" s="2">
        <v>0.1</v>
      </c>
      <c r="L292" s="3">
        <v>916.42</v>
      </c>
      <c r="M292" s="3">
        <v>116.48</v>
      </c>
      <c r="N292" t="s">
        <v>40</v>
      </c>
      <c r="O292" s="3"/>
      <c r="P292" s="3"/>
    </row>
    <row r="293" spans="1:16" x14ac:dyDescent="0.3">
      <c r="A293" t="s">
        <v>981</v>
      </c>
      <c r="B293" s="9" t="s">
        <v>155</v>
      </c>
      <c r="C293" s="20" t="str">
        <f t="shared" si="4"/>
        <v>Sep</v>
      </c>
      <c r="D293" t="s">
        <v>236</v>
      </c>
      <c r="E293" s="10" t="s">
        <v>78</v>
      </c>
      <c r="F293" t="s">
        <v>32</v>
      </c>
      <c r="G293" t="s">
        <v>33</v>
      </c>
      <c r="H293" t="s">
        <v>34</v>
      </c>
      <c r="I293">
        <v>2</v>
      </c>
      <c r="J293" s="3">
        <v>146.82</v>
      </c>
      <c r="K293" s="2">
        <v>0.05</v>
      </c>
      <c r="L293" s="3">
        <v>278.95999999999998</v>
      </c>
      <c r="M293" s="3">
        <v>61.89</v>
      </c>
      <c r="N293" t="s">
        <v>40</v>
      </c>
      <c r="O293" s="3"/>
      <c r="P293" s="3"/>
    </row>
    <row r="294" spans="1:16" x14ac:dyDescent="0.3">
      <c r="A294" t="s">
        <v>982</v>
      </c>
      <c r="B294" s="9" t="s">
        <v>983</v>
      </c>
      <c r="C294" s="20" t="str">
        <f t="shared" si="4"/>
        <v>Oct</v>
      </c>
      <c r="D294" t="s">
        <v>984</v>
      </c>
      <c r="E294" s="10" t="s">
        <v>985</v>
      </c>
      <c r="F294" t="s">
        <v>59</v>
      </c>
      <c r="G294" t="s">
        <v>26</v>
      </c>
      <c r="H294" t="s">
        <v>27</v>
      </c>
      <c r="I294">
        <v>5</v>
      </c>
      <c r="J294" s="3">
        <v>66.59</v>
      </c>
      <c r="K294" s="2">
        <v>0</v>
      </c>
      <c r="L294" s="3">
        <v>332.95</v>
      </c>
      <c r="M294" s="3">
        <v>29.99</v>
      </c>
      <c r="N294" t="s">
        <v>35</v>
      </c>
      <c r="O294" s="3"/>
      <c r="P294" s="3"/>
    </row>
    <row r="295" spans="1:16" x14ac:dyDescent="0.3">
      <c r="A295" t="s">
        <v>986</v>
      </c>
      <c r="B295" s="9" t="s">
        <v>432</v>
      </c>
      <c r="C295" s="20" t="str">
        <f t="shared" si="4"/>
        <v>Jul</v>
      </c>
      <c r="D295" t="s">
        <v>879</v>
      </c>
      <c r="E295" s="10" t="s">
        <v>360</v>
      </c>
      <c r="F295" t="s">
        <v>25</v>
      </c>
      <c r="G295" t="s">
        <v>89</v>
      </c>
      <c r="H295" t="s">
        <v>131</v>
      </c>
      <c r="I295">
        <v>1</v>
      </c>
      <c r="J295" s="3">
        <v>142.96</v>
      </c>
      <c r="K295" s="2">
        <v>0.1</v>
      </c>
      <c r="L295" s="3">
        <v>128.66</v>
      </c>
      <c r="M295" s="3">
        <v>14.3</v>
      </c>
      <c r="N295" t="s">
        <v>40</v>
      </c>
      <c r="O295" s="3"/>
      <c r="P295" s="3"/>
    </row>
    <row r="296" spans="1:16" x14ac:dyDescent="0.3">
      <c r="A296" t="s">
        <v>987</v>
      </c>
      <c r="B296" s="9" t="s">
        <v>988</v>
      </c>
      <c r="C296" s="20" t="str">
        <f t="shared" si="4"/>
        <v>Apr</v>
      </c>
      <c r="D296" t="s">
        <v>97</v>
      </c>
      <c r="E296" s="10" t="s">
        <v>738</v>
      </c>
      <c r="F296" t="s">
        <v>32</v>
      </c>
      <c r="G296" t="s">
        <v>18</v>
      </c>
      <c r="H296" t="s">
        <v>79</v>
      </c>
      <c r="I296">
        <v>3</v>
      </c>
      <c r="J296" s="3">
        <v>88.11</v>
      </c>
      <c r="K296" s="2">
        <v>0.15</v>
      </c>
      <c r="L296" s="3">
        <v>224.68</v>
      </c>
      <c r="M296" s="3">
        <v>54.3</v>
      </c>
      <c r="N296" t="s">
        <v>20</v>
      </c>
      <c r="O296" s="3"/>
      <c r="P296" s="3"/>
    </row>
    <row r="297" spans="1:16" x14ac:dyDescent="0.3">
      <c r="A297" t="s">
        <v>989</v>
      </c>
      <c r="B297" s="9" t="s">
        <v>385</v>
      </c>
      <c r="C297" s="20" t="str">
        <f t="shared" si="4"/>
        <v>Aug</v>
      </c>
      <c r="D297" t="s">
        <v>486</v>
      </c>
      <c r="E297" s="10" t="s">
        <v>703</v>
      </c>
      <c r="F297" t="s">
        <v>64</v>
      </c>
      <c r="G297" t="s">
        <v>89</v>
      </c>
      <c r="H297" t="s">
        <v>131</v>
      </c>
      <c r="I297">
        <v>3</v>
      </c>
      <c r="J297" s="3">
        <v>167.6</v>
      </c>
      <c r="K297" s="2">
        <v>0</v>
      </c>
      <c r="L297" s="3">
        <v>502.8</v>
      </c>
      <c r="M297" s="3">
        <v>67.78</v>
      </c>
      <c r="N297" t="s">
        <v>20</v>
      </c>
      <c r="O297" s="3"/>
      <c r="P297" s="3"/>
    </row>
    <row r="298" spans="1:16" x14ac:dyDescent="0.3">
      <c r="A298" t="s">
        <v>990</v>
      </c>
      <c r="B298" s="9" t="s">
        <v>788</v>
      </c>
      <c r="C298" s="20" t="str">
        <f t="shared" si="4"/>
        <v>May</v>
      </c>
      <c r="D298" t="s">
        <v>991</v>
      </c>
      <c r="E298" s="10" t="s">
        <v>992</v>
      </c>
      <c r="F298" t="s">
        <v>64</v>
      </c>
      <c r="G298" t="s">
        <v>89</v>
      </c>
      <c r="H298" t="s">
        <v>150</v>
      </c>
      <c r="I298">
        <v>8</v>
      </c>
      <c r="J298" s="3">
        <v>206.4</v>
      </c>
      <c r="K298" s="2">
        <v>0.1</v>
      </c>
      <c r="L298" s="3">
        <v>1486.08</v>
      </c>
      <c r="M298" s="3">
        <v>198.7</v>
      </c>
      <c r="N298" t="s">
        <v>20</v>
      </c>
      <c r="O298" s="3"/>
      <c r="P298" s="3"/>
    </row>
    <row r="299" spans="1:16" x14ac:dyDescent="0.3">
      <c r="A299" t="s">
        <v>993</v>
      </c>
      <c r="B299" s="9" t="s">
        <v>56</v>
      </c>
      <c r="C299" s="20" t="str">
        <f t="shared" si="4"/>
        <v>Dec</v>
      </c>
      <c r="D299" t="s">
        <v>994</v>
      </c>
      <c r="E299" s="10" t="s">
        <v>995</v>
      </c>
      <c r="F299" t="s">
        <v>17</v>
      </c>
      <c r="G299" t="s">
        <v>26</v>
      </c>
      <c r="H299" t="s">
        <v>27</v>
      </c>
      <c r="I299">
        <v>1</v>
      </c>
      <c r="J299" s="3">
        <v>79.22</v>
      </c>
      <c r="K299" s="2">
        <v>0.15</v>
      </c>
      <c r="L299" s="3">
        <v>67.34</v>
      </c>
      <c r="M299" s="3">
        <v>8.49</v>
      </c>
      <c r="N299" t="s">
        <v>35</v>
      </c>
      <c r="O299" s="3"/>
      <c r="P299" s="3"/>
    </row>
    <row r="300" spans="1:16" x14ac:dyDescent="0.3">
      <c r="A300" t="s">
        <v>996</v>
      </c>
      <c r="B300" s="9" t="s">
        <v>500</v>
      </c>
      <c r="C300" s="20" t="str">
        <f t="shared" si="4"/>
        <v>Nov</v>
      </c>
      <c r="D300" t="s">
        <v>846</v>
      </c>
      <c r="E300" s="10" t="s">
        <v>997</v>
      </c>
      <c r="F300" t="s">
        <v>59</v>
      </c>
      <c r="G300" t="s">
        <v>33</v>
      </c>
      <c r="H300" t="s">
        <v>69</v>
      </c>
      <c r="I300">
        <v>5</v>
      </c>
      <c r="J300" s="3">
        <v>138.9</v>
      </c>
      <c r="K300" s="2">
        <v>0.15</v>
      </c>
      <c r="L300" s="3">
        <v>590.32000000000005</v>
      </c>
      <c r="M300" s="3">
        <v>64.650000000000006</v>
      </c>
      <c r="N300" t="s">
        <v>40</v>
      </c>
      <c r="O300" s="3"/>
      <c r="P300" s="3"/>
    </row>
    <row r="301" spans="1:16" x14ac:dyDescent="0.3">
      <c r="A301" t="s">
        <v>998</v>
      </c>
      <c r="B301" s="9" t="s">
        <v>999</v>
      </c>
      <c r="C301" s="20" t="str">
        <f t="shared" si="4"/>
        <v>Jan</v>
      </c>
      <c r="D301" t="s">
        <v>1000</v>
      </c>
      <c r="E301" s="10" t="s">
        <v>1001</v>
      </c>
      <c r="F301" t="s">
        <v>59</v>
      </c>
      <c r="G301" t="s">
        <v>26</v>
      </c>
      <c r="H301" t="s">
        <v>118</v>
      </c>
      <c r="I301">
        <v>8</v>
      </c>
      <c r="J301" s="3">
        <v>193.43</v>
      </c>
      <c r="K301" s="2">
        <v>0.05</v>
      </c>
      <c r="L301" s="3">
        <v>1470.07</v>
      </c>
      <c r="M301" s="3">
        <v>392.99</v>
      </c>
      <c r="N301" t="s">
        <v>20</v>
      </c>
      <c r="O301" s="3"/>
      <c r="P301" s="3"/>
    </row>
    <row r="302" spans="1:16" x14ac:dyDescent="0.3">
      <c r="A302" t="s">
        <v>1002</v>
      </c>
      <c r="B302" s="9" t="s">
        <v>705</v>
      </c>
      <c r="C302" s="20" t="str">
        <f t="shared" si="4"/>
        <v>Mar</v>
      </c>
      <c r="D302" t="s">
        <v>1003</v>
      </c>
      <c r="E302" s="10" t="s">
        <v>927</v>
      </c>
      <c r="F302" t="s">
        <v>64</v>
      </c>
      <c r="G302" t="s">
        <v>89</v>
      </c>
      <c r="H302" t="s">
        <v>131</v>
      </c>
      <c r="I302">
        <v>7</v>
      </c>
      <c r="J302" s="3">
        <v>50.89</v>
      </c>
      <c r="K302" s="2">
        <v>0.1</v>
      </c>
      <c r="L302" s="3">
        <v>320.61</v>
      </c>
      <c r="M302" s="3">
        <v>35.54</v>
      </c>
      <c r="N302" t="s">
        <v>35</v>
      </c>
      <c r="O302" s="3"/>
      <c r="P302" s="3"/>
    </row>
    <row r="303" spans="1:16" x14ac:dyDescent="0.3">
      <c r="A303" t="s">
        <v>1004</v>
      </c>
      <c r="B303" s="9" t="s">
        <v>1005</v>
      </c>
      <c r="C303" s="20" t="str">
        <f t="shared" si="4"/>
        <v>Apr</v>
      </c>
      <c r="D303" t="s">
        <v>1006</v>
      </c>
      <c r="E303" s="10" t="s">
        <v>887</v>
      </c>
      <c r="F303" t="s">
        <v>25</v>
      </c>
      <c r="G303" t="s">
        <v>18</v>
      </c>
      <c r="H303" t="s">
        <v>79</v>
      </c>
      <c r="I303">
        <v>8</v>
      </c>
      <c r="J303" s="3">
        <v>17.28</v>
      </c>
      <c r="K303" s="2">
        <v>0.05</v>
      </c>
      <c r="L303" s="3">
        <v>131.33000000000001</v>
      </c>
      <c r="M303" s="3">
        <v>10.74</v>
      </c>
      <c r="N303" t="s">
        <v>35</v>
      </c>
      <c r="O303" s="3"/>
      <c r="P303" s="3"/>
    </row>
    <row r="304" spans="1:16" x14ac:dyDescent="0.3">
      <c r="A304" t="s">
        <v>1007</v>
      </c>
      <c r="B304" s="9" t="s">
        <v>203</v>
      </c>
      <c r="C304" s="20" t="str">
        <f t="shared" si="4"/>
        <v>Sep</v>
      </c>
      <c r="D304" t="s">
        <v>1008</v>
      </c>
      <c r="E304" s="10" t="s">
        <v>848</v>
      </c>
      <c r="F304" t="s">
        <v>17</v>
      </c>
      <c r="G304" t="s">
        <v>33</v>
      </c>
      <c r="H304" t="s">
        <v>74</v>
      </c>
      <c r="I304">
        <v>4</v>
      </c>
      <c r="J304" s="3">
        <v>48.3</v>
      </c>
      <c r="K304" s="2">
        <v>0.05</v>
      </c>
      <c r="L304" s="3">
        <v>183.54</v>
      </c>
      <c r="M304" s="3">
        <v>54.67</v>
      </c>
      <c r="N304" t="s">
        <v>35</v>
      </c>
      <c r="O304" s="3"/>
      <c r="P304" s="3"/>
    </row>
    <row r="305" spans="1:16" x14ac:dyDescent="0.3">
      <c r="A305" t="s">
        <v>1009</v>
      </c>
      <c r="B305" s="9" t="s">
        <v>974</v>
      </c>
      <c r="C305" s="20" t="str">
        <f t="shared" si="4"/>
        <v>May</v>
      </c>
      <c r="D305" t="s">
        <v>517</v>
      </c>
      <c r="E305" s="10" t="s">
        <v>109</v>
      </c>
      <c r="F305" t="s">
        <v>25</v>
      </c>
      <c r="G305" t="s">
        <v>26</v>
      </c>
      <c r="H305" t="s">
        <v>84</v>
      </c>
      <c r="I305">
        <v>4</v>
      </c>
      <c r="J305" s="3">
        <v>61.94</v>
      </c>
      <c r="K305" s="2">
        <v>0.15</v>
      </c>
      <c r="L305" s="3">
        <v>210.6</v>
      </c>
      <c r="M305" s="3">
        <v>57.13</v>
      </c>
      <c r="N305" t="s">
        <v>20</v>
      </c>
      <c r="O305" s="3"/>
      <c r="P305" s="3"/>
    </row>
    <row r="306" spans="1:16" x14ac:dyDescent="0.3">
      <c r="A306" t="s">
        <v>1010</v>
      </c>
      <c r="B306" s="9" t="s">
        <v>1011</v>
      </c>
      <c r="C306" s="20" t="str">
        <f t="shared" si="4"/>
        <v>Jun</v>
      </c>
      <c r="D306" t="s">
        <v>824</v>
      </c>
      <c r="E306" s="10" t="s">
        <v>300</v>
      </c>
      <c r="F306" t="s">
        <v>64</v>
      </c>
      <c r="G306" t="s">
        <v>26</v>
      </c>
      <c r="H306" t="s">
        <v>27</v>
      </c>
      <c r="I306">
        <v>8</v>
      </c>
      <c r="J306" s="3">
        <v>120.35</v>
      </c>
      <c r="K306" s="2">
        <v>0</v>
      </c>
      <c r="L306" s="3">
        <v>962.8</v>
      </c>
      <c r="M306" s="3">
        <v>136.86000000000001</v>
      </c>
      <c r="N306" t="s">
        <v>40</v>
      </c>
      <c r="O306" s="3"/>
      <c r="P306" s="3"/>
    </row>
    <row r="307" spans="1:16" x14ac:dyDescent="0.3">
      <c r="A307" t="s">
        <v>1012</v>
      </c>
      <c r="B307" s="9" t="s">
        <v>1013</v>
      </c>
      <c r="C307" s="20" t="str">
        <f t="shared" si="4"/>
        <v>Dec</v>
      </c>
      <c r="D307" t="s">
        <v>152</v>
      </c>
      <c r="E307" s="10" t="s">
        <v>922</v>
      </c>
      <c r="F307" t="s">
        <v>64</v>
      </c>
      <c r="G307" t="s">
        <v>33</v>
      </c>
      <c r="H307" t="s">
        <v>69</v>
      </c>
      <c r="I307">
        <v>8</v>
      </c>
      <c r="J307" s="3">
        <v>102.75</v>
      </c>
      <c r="K307" s="2">
        <v>0.1</v>
      </c>
      <c r="L307" s="3">
        <v>739.8</v>
      </c>
      <c r="M307" s="3">
        <v>156.56</v>
      </c>
      <c r="N307" t="s">
        <v>20</v>
      </c>
      <c r="O307" s="3"/>
      <c r="P307" s="3"/>
    </row>
    <row r="308" spans="1:16" x14ac:dyDescent="0.3">
      <c r="A308" t="s">
        <v>1014</v>
      </c>
      <c r="B308" s="9" t="s">
        <v>1015</v>
      </c>
      <c r="C308" s="20" t="str">
        <f t="shared" si="4"/>
        <v>Mar</v>
      </c>
      <c r="D308" t="s">
        <v>1016</v>
      </c>
      <c r="E308" s="10" t="s">
        <v>383</v>
      </c>
      <c r="F308" t="s">
        <v>17</v>
      </c>
      <c r="G308" t="s">
        <v>89</v>
      </c>
      <c r="H308" t="s">
        <v>150</v>
      </c>
      <c r="I308">
        <v>5</v>
      </c>
      <c r="J308" s="3">
        <v>214.71</v>
      </c>
      <c r="K308" s="2">
        <v>0.05</v>
      </c>
      <c r="L308" s="3">
        <v>1019.87</v>
      </c>
      <c r="M308" s="3">
        <v>191.47</v>
      </c>
      <c r="N308" t="s">
        <v>40</v>
      </c>
      <c r="O308" s="3"/>
      <c r="P308" s="3"/>
    </row>
    <row r="309" spans="1:16" x14ac:dyDescent="0.3">
      <c r="A309" t="s">
        <v>1017</v>
      </c>
      <c r="B309" s="9" t="s">
        <v>1018</v>
      </c>
      <c r="C309" s="20" t="str">
        <f t="shared" si="4"/>
        <v>Jul</v>
      </c>
      <c r="D309" t="s">
        <v>1019</v>
      </c>
      <c r="E309" s="10" t="s">
        <v>976</v>
      </c>
      <c r="F309" t="s">
        <v>17</v>
      </c>
      <c r="G309" t="s">
        <v>33</v>
      </c>
      <c r="H309" t="s">
        <v>50</v>
      </c>
      <c r="I309">
        <v>8</v>
      </c>
      <c r="J309" s="3">
        <v>232.23</v>
      </c>
      <c r="K309" s="2">
        <v>0.1</v>
      </c>
      <c r="L309" s="3">
        <v>1672.06</v>
      </c>
      <c r="M309" s="3">
        <v>168.17</v>
      </c>
      <c r="N309" t="s">
        <v>35</v>
      </c>
      <c r="O309" s="3"/>
      <c r="P309" s="3"/>
    </row>
    <row r="310" spans="1:16" x14ac:dyDescent="0.3">
      <c r="A310" t="s">
        <v>1020</v>
      </c>
      <c r="B310" s="9" t="s">
        <v>180</v>
      </c>
      <c r="C310" s="20" t="str">
        <f t="shared" si="4"/>
        <v>Feb</v>
      </c>
      <c r="D310" t="s">
        <v>575</v>
      </c>
      <c r="E310" s="10" t="s">
        <v>406</v>
      </c>
      <c r="F310" t="s">
        <v>64</v>
      </c>
      <c r="G310" t="s">
        <v>18</v>
      </c>
      <c r="H310" t="s">
        <v>19</v>
      </c>
      <c r="I310">
        <v>8</v>
      </c>
      <c r="J310" s="3">
        <v>222.73</v>
      </c>
      <c r="K310" s="2">
        <v>0</v>
      </c>
      <c r="L310" s="3">
        <v>1781.84</v>
      </c>
      <c r="M310" s="3">
        <v>262.16000000000003</v>
      </c>
      <c r="N310" t="s">
        <v>35</v>
      </c>
      <c r="O310" s="3"/>
      <c r="P310" s="3"/>
    </row>
    <row r="311" spans="1:16" x14ac:dyDescent="0.3">
      <c r="A311" t="s">
        <v>1021</v>
      </c>
      <c r="B311" s="9" t="s">
        <v>42</v>
      </c>
      <c r="C311" s="20" t="str">
        <f t="shared" si="4"/>
        <v>Jul</v>
      </c>
      <c r="D311" t="s">
        <v>134</v>
      </c>
      <c r="E311" s="10" t="s">
        <v>1022</v>
      </c>
      <c r="F311" t="s">
        <v>25</v>
      </c>
      <c r="G311" t="s">
        <v>89</v>
      </c>
      <c r="H311" t="s">
        <v>150</v>
      </c>
      <c r="I311">
        <v>2</v>
      </c>
      <c r="J311" s="3">
        <v>243.31</v>
      </c>
      <c r="K311" s="2">
        <v>0.1</v>
      </c>
      <c r="L311" s="3">
        <v>437.96</v>
      </c>
      <c r="M311" s="3">
        <v>126.1</v>
      </c>
      <c r="N311" t="s">
        <v>40</v>
      </c>
      <c r="O311" s="3"/>
      <c r="P311" s="3"/>
    </row>
    <row r="312" spans="1:16" x14ac:dyDescent="0.3">
      <c r="A312" t="s">
        <v>1023</v>
      </c>
      <c r="B312" s="9" t="s">
        <v>420</v>
      </c>
      <c r="C312" s="20" t="str">
        <f t="shared" si="4"/>
        <v>Aug</v>
      </c>
      <c r="D312" t="s">
        <v>527</v>
      </c>
      <c r="E312" s="10" t="s">
        <v>138</v>
      </c>
      <c r="F312" t="s">
        <v>25</v>
      </c>
      <c r="G312" t="s">
        <v>26</v>
      </c>
      <c r="H312" t="s">
        <v>27</v>
      </c>
      <c r="I312">
        <v>3</v>
      </c>
      <c r="J312" s="3">
        <v>50.96</v>
      </c>
      <c r="K312" s="2">
        <v>0.05</v>
      </c>
      <c r="L312" s="3">
        <v>145.24</v>
      </c>
      <c r="M312" s="3">
        <v>40.47</v>
      </c>
      <c r="N312" t="s">
        <v>40</v>
      </c>
      <c r="O312" s="3"/>
      <c r="P312" s="3"/>
    </row>
    <row r="313" spans="1:16" x14ac:dyDescent="0.3">
      <c r="A313" t="s">
        <v>1024</v>
      </c>
      <c r="B313" s="9" t="s">
        <v>1025</v>
      </c>
      <c r="C313" s="20" t="str">
        <f t="shared" si="4"/>
        <v>Aug</v>
      </c>
      <c r="D313" t="s">
        <v>1026</v>
      </c>
      <c r="E313" s="10" t="s">
        <v>1027</v>
      </c>
      <c r="F313" t="s">
        <v>59</v>
      </c>
      <c r="G313" t="s">
        <v>89</v>
      </c>
      <c r="H313" t="s">
        <v>90</v>
      </c>
      <c r="I313">
        <v>6</v>
      </c>
      <c r="J313" s="3">
        <v>215.68</v>
      </c>
      <c r="K313" s="2">
        <v>0.1</v>
      </c>
      <c r="L313" s="3">
        <v>1164.67</v>
      </c>
      <c r="M313" s="3">
        <v>157.54</v>
      </c>
      <c r="N313" t="s">
        <v>40</v>
      </c>
      <c r="O313" s="3"/>
      <c r="P313" s="3"/>
    </row>
    <row r="314" spans="1:16" x14ac:dyDescent="0.3">
      <c r="A314" t="s">
        <v>1032</v>
      </c>
      <c r="B314" s="9" t="s">
        <v>86</v>
      </c>
      <c r="C314" s="20" t="str">
        <f t="shared" si="4"/>
        <v>Feb</v>
      </c>
      <c r="D314" t="s">
        <v>1033</v>
      </c>
      <c r="E314" s="10" t="s">
        <v>612</v>
      </c>
      <c r="F314" t="s">
        <v>64</v>
      </c>
      <c r="G314" t="s">
        <v>33</v>
      </c>
      <c r="H314" t="s">
        <v>69</v>
      </c>
      <c r="I314">
        <v>7</v>
      </c>
      <c r="J314" s="3">
        <v>124.95</v>
      </c>
      <c r="K314" s="2">
        <v>0.15</v>
      </c>
      <c r="L314" s="3">
        <v>743.45</v>
      </c>
      <c r="M314" s="3">
        <v>189.85</v>
      </c>
      <c r="N314" t="s">
        <v>40</v>
      </c>
      <c r="O314" s="3"/>
      <c r="P314" s="3"/>
    </row>
    <row r="315" spans="1:16" x14ac:dyDescent="0.3">
      <c r="A315" t="s">
        <v>1034</v>
      </c>
      <c r="B315" s="9" t="s">
        <v>1035</v>
      </c>
      <c r="C315" s="20" t="str">
        <f t="shared" si="4"/>
        <v>Apr</v>
      </c>
      <c r="D315" t="s">
        <v>684</v>
      </c>
      <c r="E315" s="10" t="s">
        <v>434</v>
      </c>
      <c r="F315" t="s">
        <v>64</v>
      </c>
      <c r="G315" t="s">
        <v>33</v>
      </c>
      <c r="H315" t="s">
        <v>50</v>
      </c>
      <c r="I315">
        <v>8</v>
      </c>
      <c r="J315" s="3">
        <v>104.11</v>
      </c>
      <c r="K315" s="2">
        <v>0.15</v>
      </c>
      <c r="L315" s="3">
        <v>707.95</v>
      </c>
      <c r="M315" s="3">
        <v>204.6</v>
      </c>
      <c r="N315" t="s">
        <v>20</v>
      </c>
      <c r="O315" s="3"/>
      <c r="P315" s="3"/>
    </row>
    <row r="316" spans="1:16" x14ac:dyDescent="0.3">
      <c r="A316" t="s">
        <v>1036</v>
      </c>
      <c r="B316" s="9" t="s">
        <v>1037</v>
      </c>
      <c r="C316" s="20" t="str">
        <f t="shared" si="4"/>
        <v>Oct</v>
      </c>
      <c r="D316" t="s">
        <v>243</v>
      </c>
      <c r="E316" s="10" t="s">
        <v>1038</v>
      </c>
      <c r="F316" t="s">
        <v>59</v>
      </c>
      <c r="G316" t="s">
        <v>33</v>
      </c>
      <c r="H316" t="s">
        <v>50</v>
      </c>
      <c r="I316">
        <v>2</v>
      </c>
      <c r="J316" s="3">
        <v>108.13</v>
      </c>
      <c r="K316" s="2">
        <v>0.15</v>
      </c>
      <c r="L316" s="3">
        <v>183.82</v>
      </c>
      <c r="M316" s="3">
        <v>28.47</v>
      </c>
      <c r="N316" t="s">
        <v>35</v>
      </c>
      <c r="O316" s="3"/>
      <c r="P316" s="3"/>
    </row>
    <row r="317" spans="1:16" x14ac:dyDescent="0.3">
      <c r="A317" t="s">
        <v>1039</v>
      </c>
      <c r="B317" s="9" t="s">
        <v>252</v>
      </c>
      <c r="C317" s="20" t="str">
        <f t="shared" si="4"/>
        <v>Mar</v>
      </c>
      <c r="D317" t="s">
        <v>101</v>
      </c>
      <c r="E317" s="10" t="s">
        <v>466</v>
      </c>
      <c r="F317" t="s">
        <v>25</v>
      </c>
      <c r="G317" t="s">
        <v>33</v>
      </c>
      <c r="H317" t="s">
        <v>74</v>
      </c>
      <c r="I317">
        <v>6</v>
      </c>
      <c r="J317" s="3">
        <v>18.16</v>
      </c>
      <c r="K317" s="2">
        <v>0.15</v>
      </c>
      <c r="L317" s="3">
        <v>92.62</v>
      </c>
      <c r="M317" s="3">
        <v>25.86</v>
      </c>
      <c r="N317" t="s">
        <v>35</v>
      </c>
      <c r="O317" s="3"/>
      <c r="P317" s="3"/>
    </row>
    <row r="318" spans="1:16" x14ac:dyDescent="0.3">
      <c r="A318" t="s">
        <v>1040</v>
      </c>
      <c r="B318" s="9" t="s">
        <v>657</v>
      </c>
      <c r="C318" s="20" t="str">
        <f t="shared" si="4"/>
        <v>Dec</v>
      </c>
      <c r="D318" t="s">
        <v>514</v>
      </c>
      <c r="E318" s="10" t="s">
        <v>1041</v>
      </c>
      <c r="F318" t="s">
        <v>32</v>
      </c>
      <c r="G318" t="s">
        <v>18</v>
      </c>
      <c r="H318" t="s">
        <v>79</v>
      </c>
      <c r="I318">
        <v>1</v>
      </c>
      <c r="J318" s="3">
        <v>200.48</v>
      </c>
      <c r="K318" s="2">
        <v>0</v>
      </c>
      <c r="L318" s="3">
        <v>200.48</v>
      </c>
      <c r="M318" s="3">
        <v>54.96</v>
      </c>
      <c r="N318" t="s">
        <v>20</v>
      </c>
      <c r="O318" s="3"/>
      <c r="P318" s="3"/>
    </row>
    <row r="319" spans="1:16" x14ac:dyDescent="0.3">
      <c r="A319" t="s">
        <v>1042</v>
      </c>
      <c r="B319" s="9" t="s">
        <v>1043</v>
      </c>
      <c r="C319" s="20" t="str">
        <f t="shared" si="4"/>
        <v>Mar</v>
      </c>
      <c r="D319" t="s">
        <v>1044</v>
      </c>
      <c r="E319" s="10" t="s">
        <v>1038</v>
      </c>
      <c r="F319" t="s">
        <v>25</v>
      </c>
      <c r="G319" t="s">
        <v>26</v>
      </c>
      <c r="H319" t="s">
        <v>118</v>
      </c>
      <c r="I319">
        <v>8</v>
      </c>
      <c r="J319" s="3">
        <v>200.91</v>
      </c>
      <c r="K319" s="2">
        <v>0.15</v>
      </c>
      <c r="L319" s="3">
        <v>1366.19</v>
      </c>
      <c r="M319" s="3">
        <v>321.08</v>
      </c>
      <c r="N319" t="s">
        <v>20</v>
      </c>
      <c r="O319" s="3"/>
      <c r="P319" s="3"/>
    </row>
    <row r="320" spans="1:16" x14ac:dyDescent="0.3">
      <c r="A320" t="s">
        <v>1045</v>
      </c>
      <c r="B320" s="9" t="s">
        <v>676</v>
      </c>
      <c r="C320" s="20" t="str">
        <f t="shared" si="4"/>
        <v>Dec</v>
      </c>
      <c r="D320" t="s">
        <v>1046</v>
      </c>
      <c r="E320" s="10" t="s">
        <v>1047</v>
      </c>
      <c r="F320" t="s">
        <v>59</v>
      </c>
      <c r="G320" t="s">
        <v>18</v>
      </c>
      <c r="H320" t="s">
        <v>79</v>
      </c>
      <c r="I320">
        <v>4</v>
      </c>
      <c r="J320" s="3">
        <v>52.55</v>
      </c>
      <c r="K320" s="2">
        <v>0</v>
      </c>
      <c r="L320" s="3">
        <v>210.2</v>
      </c>
      <c r="M320" s="3">
        <v>52.28</v>
      </c>
      <c r="N320" t="s">
        <v>35</v>
      </c>
      <c r="O320" s="3"/>
      <c r="P320" s="3"/>
    </row>
    <row r="321" spans="1:16" x14ac:dyDescent="0.3">
      <c r="A321" t="s">
        <v>1048</v>
      </c>
      <c r="B321" s="9" t="s">
        <v>1049</v>
      </c>
      <c r="C321" s="20" t="str">
        <f t="shared" si="4"/>
        <v>Aug</v>
      </c>
      <c r="D321" t="s">
        <v>1050</v>
      </c>
      <c r="E321" s="10" t="s">
        <v>1051</v>
      </c>
      <c r="F321" t="s">
        <v>32</v>
      </c>
      <c r="G321" t="s">
        <v>89</v>
      </c>
      <c r="H321" t="s">
        <v>90</v>
      </c>
      <c r="I321">
        <v>3</v>
      </c>
      <c r="J321" s="3">
        <v>133.09</v>
      </c>
      <c r="K321" s="2">
        <v>0.15</v>
      </c>
      <c r="L321" s="3">
        <v>339.38</v>
      </c>
      <c r="M321" s="3">
        <v>55.56</v>
      </c>
      <c r="N321" t="s">
        <v>20</v>
      </c>
      <c r="O321" s="3"/>
      <c r="P321" s="3"/>
    </row>
    <row r="322" spans="1:16" x14ac:dyDescent="0.3">
      <c r="A322" t="s">
        <v>1052</v>
      </c>
      <c r="B322" s="9" t="s">
        <v>199</v>
      </c>
      <c r="C322" s="20" t="str">
        <f t="shared" ref="C322:C385" si="5">TEXT(B:B, "mmm")</f>
        <v>Mar</v>
      </c>
      <c r="D322" t="s">
        <v>346</v>
      </c>
      <c r="E322" s="10" t="s">
        <v>1053</v>
      </c>
      <c r="F322" t="s">
        <v>17</v>
      </c>
      <c r="G322" t="s">
        <v>18</v>
      </c>
      <c r="H322" t="s">
        <v>79</v>
      </c>
      <c r="I322">
        <v>3</v>
      </c>
      <c r="J322" s="3">
        <v>58.72</v>
      </c>
      <c r="K322" s="2">
        <v>0.1</v>
      </c>
      <c r="L322" s="3">
        <v>158.54</v>
      </c>
      <c r="M322" s="3">
        <v>45.29</v>
      </c>
      <c r="N322" t="s">
        <v>20</v>
      </c>
      <c r="O322" s="3"/>
      <c r="P322" s="3"/>
    </row>
    <row r="323" spans="1:16" x14ac:dyDescent="0.3">
      <c r="A323" t="s">
        <v>1054</v>
      </c>
      <c r="B323" s="9" t="s">
        <v>1055</v>
      </c>
      <c r="C323" s="20" t="str">
        <f t="shared" si="5"/>
        <v>Aug</v>
      </c>
      <c r="D323" t="s">
        <v>409</v>
      </c>
      <c r="E323" s="10" t="s">
        <v>1056</v>
      </c>
      <c r="F323" t="s">
        <v>32</v>
      </c>
      <c r="G323" t="s">
        <v>33</v>
      </c>
      <c r="H323" t="s">
        <v>34</v>
      </c>
      <c r="I323">
        <v>2</v>
      </c>
      <c r="J323" s="3">
        <v>238.04</v>
      </c>
      <c r="K323" s="2">
        <v>0.05</v>
      </c>
      <c r="L323" s="3">
        <v>452.28</v>
      </c>
      <c r="M323" s="3">
        <v>54.73</v>
      </c>
      <c r="N323" t="s">
        <v>35</v>
      </c>
      <c r="O323" s="3"/>
      <c r="P323" s="3"/>
    </row>
    <row r="324" spans="1:16" x14ac:dyDescent="0.3">
      <c r="A324" t="s">
        <v>1057</v>
      </c>
      <c r="B324" s="9" t="s">
        <v>282</v>
      </c>
      <c r="C324" s="20" t="str">
        <f t="shared" si="5"/>
        <v>Mar</v>
      </c>
      <c r="D324" t="s">
        <v>861</v>
      </c>
      <c r="E324" s="10" t="s">
        <v>688</v>
      </c>
      <c r="F324" t="s">
        <v>64</v>
      </c>
      <c r="G324" t="s">
        <v>89</v>
      </c>
      <c r="H324" t="s">
        <v>150</v>
      </c>
      <c r="I324">
        <v>2</v>
      </c>
      <c r="J324" s="3">
        <v>227.72</v>
      </c>
      <c r="K324" s="2">
        <v>0.05</v>
      </c>
      <c r="L324" s="3">
        <v>432.67</v>
      </c>
      <c r="M324" s="3">
        <v>106.52</v>
      </c>
      <c r="N324" t="s">
        <v>35</v>
      </c>
      <c r="O324" s="3"/>
      <c r="P324" s="3"/>
    </row>
    <row r="325" spans="1:16" x14ac:dyDescent="0.3">
      <c r="A325" t="s">
        <v>1058</v>
      </c>
      <c r="B325" s="9" t="s">
        <v>1059</v>
      </c>
      <c r="C325" s="20" t="str">
        <f t="shared" si="5"/>
        <v>Aug</v>
      </c>
      <c r="D325" t="s">
        <v>1060</v>
      </c>
      <c r="E325" s="10" t="s">
        <v>1061</v>
      </c>
      <c r="F325" t="s">
        <v>17</v>
      </c>
      <c r="G325" t="s">
        <v>33</v>
      </c>
      <c r="H325" t="s">
        <v>34</v>
      </c>
      <c r="I325">
        <v>5</v>
      </c>
      <c r="J325" s="3">
        <v>159.22999999999999</v>
      </c>
      <c r="K325" s="2">
        <v>0.15</v>
      </c>
      <c r="L325" s="3">
        <v>676.73</v>
      </c>
      <c r="M325" s="3">
        <v>105.87</v>
      </c>
      <c r="N325" t="s">
        <v>40</v>
      </c>
      <c r="O325" s="3"/>
      <c r="P325" s="3"/>
    </row>
    <row r="326" spans="1:16" x14ac:dyDescent="0.3">
      <c r="A326" t="s">
        <v>1062</v>
      </c>
      <c r="B326" s="9" t="s">
        <v>603</v>
      </c>
      <c r="C326" s="20" t="str">
        <f t="shared" si="5"/>
        <v>Nov</v>
      </c>
      <c r="D326" t="s">
        <v>1063</v>
      </c>
      <c r="E326" s="10" t="s">
        <v>1064</v>
      </c>
      <c r="F326" t="s">
        <v>25</v>
      </c>
      <c r="G326" t="s">
        <v>18</v>
      </c>
      <c r="H326" t="s">
        <v>19</v>
      </c>
      <c r="I326">
        <v>7</v>
      </c>
      <c r="J326" s="3">
        <v>10.029999999999999</v>
      </c>
      <c r="K326" s="2">
        <v>0.1</v>
      </c>
      <c r="L326" s="3">
        <v>63.19</v>
      </c>
      <c r="M326" s="3">
        <v>9.5299999999999994</v>
      </c>
      <c r="N326" t="s">
        <v>20</v>
      </c>
      <c r="O326" s="3"/>
      <c r="P326" s="3"/>
    </row>
    <row r="327" spans="1:16" x14ac:dyDescent="0.3">
      <c r="A327" t="s">
        <v>1065</v>
      </c>
      <c r="B327" s="9" t="s">
        <v>1059</v>
      </c>
      <c r="C327" s="20" t="str">
        <f t="shared" si="5"/>
        <v>Aug</v>
      </c>
      <c r="D327" t="s">
        <v>1066</v>
      </c>
      <c r="E327" s="10" t="s">
        <v>1067</v>
      </c>
      <c r="F327" t="s">
        <v>25</v>
      </c>
      <c r="G327" t="s">
        <v>33</v>
      </c>
      <c r="H327" t="s">
        <v>50</v>
      </c>
      <c r="I327">
        <v>3</v>
      </c>
      <c r="J327" s="3">
        <v>42.73</v>
      </c>
      <c r="K327" s="2">
        <v>0</v>
      </c>
      <c r="L327" s="3">
        <v>128.19</v>
      </c>
      <c r="M327" s="3">
        <v>25.7</v>
      </c>
      <c r="N327" t="s">
        <v>40</v>
      </c>
      <c r="O327" s="3"/>
      <c r="P327" s="3"/>
    </row>
    <row r="328" spans="1:16" x14ac:dyDescent="0.3">
      <c r="A328" t="s">
        <v>1068</v>
      </c>
      <c r="B328" s="9" t="s">
        <v>793</v>
      </c>
      <c r="C328" s="20" t="str">
        <f t="shared" si="5"/>
        <v>Apr</v>
      </c>
      <c r="D328" t="s">
        <v>1069</v>
      </c>
      <c r="E328" s="10" t="s">
        <v>54</v>
      </c>
      <c r="F328" t="s">
        <v>59</v>
      </c>
      <c r="G328" t="s">
        <v>33</v>
      </c>
      <c r="H328" t="s">
        <v>69</v>
      </c>
      <c r="I328">
        <v>8</v>
      </c>
      <c r="J328" s="3">
        <v>155.49</v>
      </c>
      <c r="K328" s="2">
        <v>0.05</v>
      </c>
      <c r="L328" s="3">
        <v>1181.72</v>
      </c>
      <c r="M328" s="3">
        <v>161.80000000000001</v>
      </c>
      <c r="N328" t="s">
        <v>35</v>
      </c>
      <c r="O328" s="3"/>
      <c r="P328" s="3"/>
    </row>
    <row r="329" spans="1:16" x14ac:dyDescent="0.3">
      <c r="A329" t="s">
        <v>1070</v>
      </c>
      <c r="B329" s="9" t="s">
        <v>616</v>
      </c>
      <c r="C329" s="20" t="str">
        <f t="shared" si="5"/>
        <v>Aug</v>
      </c>
      <c r="D329" t="s">
        <v>1071</v>
      </c>
      <c r="E329" s="10" t="s">
        <v>1072</v>
      </c>
      <c r="F329" t="s">
        <v>32</v>
      </c>
      <c r="G329" t="s">
        <v>89</v>
      </c>
      <c r="H329" t="s">
        <v>150</v>
      </c>
      <c r="I329">
        <v>4</v>
      </c>
      <c r="J329" s="3">
        <v>189.68</v>
      </c>
      <c r="K329" s="2">
        <v>0.05</v>
      </c>
      <c r="L329" s="3">
        <v>720.78</v>
      </c>
      <c r="M329" s="3">
        <v>182.64</v>
      </c>
      <c r="N329" t="s">
        <v>40</v>
      </c>
      <c r="O329" s="3"/>
      <c r="P329" s="3"/>
    </row>
    <row r="330" spans="1:16" x14ac:dyDescent="0.3">
      <c r="A330" t="s">
        <v>1073</v>
      </c>
      <c r="B330" s="9" t="s">
        <v>489</v>
      </c>
      <c r="C330" s="20" t="str">
        <f t="shared" si="5"/>
        <v>Mar</v>
      </c>
      <c r="D330" t="s">
        <v>1074</v>
      </c>
      <c r="E330" s="10" t="s">
        <v>1075</v>
      </c>
      <c r="F330" t="s">
        <v>64</v>
      </c>
      <c r="G330" t="s">
        <v>18</v>
      </c>
      <c r="H330" t="s">
        <v>45</v>
      </c>
      <c r="I330">
        <v>2</v>
      </c>
      <c r="J330" s="3">
        <v>75.55</v>
      </c>
      <c r="K330" s="2">
        <v>0.15</v>
      </c>
      <c r="L330" s="3">
        <v>128.44</v>
      </c>
      <c r="M330" s="3">
        <v>31.58</v>
      </c>
      <c r="N330" t="s">
        <v>35</v>
      </c>
      <c r="O330" s="3"/>
      <c r="P330" s="3"/>
    </row>
    <row r="331" spans="1:16" x14ac:dyDescent="0.3">
      <c r="A331" t="s">
        <v>1076</v>
      </c>
      <c r="B331" s="9" t="s">
        <v>420</v>
      </c>
      <c r="C331" s="20" t="str">
        <f t="shared" si="5"/>
        <v>Aug</v>
      </c>
      <c r="D331" t="s">
        <v>608</v>
      </c>
      <c r="E331" s="10" t="s">
        <v>1077</v>
      </c>
      <c r="F331" t="s">
        <v>32</v>
      </c>
      <c r="G331" t="s">
        <v>26</v>
      </c>
      <c r="H331" t="s">
        <v>118</v>
      </c>
      <c r="I331">
        <v>3</v>
      </c>
      <c r="J331" s="3">
        <v>80.81</v>
      </c>
      <c r="K331" s="2">
        <v>0</v>
      </c>
      <c r="L331" s="3">
        <v>242.43</v>
      </c>
      <c r="M331" s="3">
        <v>34.270000000000003</v>
      </c>
      <c r="N331" t="s">
        <v>40</v>
      </c>
      <c r="O331" s="3"/>
      <c r="P331" s="3"/>
    </row>
    <row r="332" spans="1:16" x14ac:dyDescent="0.3">
      <c r="A332" t="s">
        <v>1078</v>
      </c>
      <c r="B332" s="9" t="s">
        <v>359</v>
      </c>
      <c r="C332" s="20" t="str">
        <f t="shared" si="5"/>
        <v>Aug</v>
      </c>
      <c r="D332" t="s">
        <v>1079</v>
      </c>
      <c r="E332" s="10" t="s">
        <v>280</v>
      </c>
      <c r="F332" t="s">
        <v>17</v>
      </c>
      <c r="G332" t="s">
        <v>89</v>
      </c>
      <c r="H332" t="s">
        <v>131</v>
      </c>
      <c r="I332">
        <v>4</v>
      </c>
      <c r="J332" s="3">
        <v>72.010000000000005</v>
      </c>
      <c r="K332" s="2">
        <v>0.15</v>
      </c>
      <c r="L332" s="3">
        <v>244.83</v>
      </c>
      <c r="M332" s="3">
        <v>62.67</v>
      </c>
      <c r="N332" t="s">
        <v>35</v>
      </c>
      <c r="O332" s="3"/>
      <c r="P332" s="3"/>
    </row>
    <row r="333" spans="1:16" x14ac:dyDescent="0.3">
      <c r="A333" t="s">
        <v>1080</v>
      </c>
      <c r="B333" s="9" t="s">
        <v>1081</v>
      </c>
      <c r="C333" s="20" t="str">
        <f t="shared" si="5"/>
        <v>Sep</v>
      </c>
      <c r="D333" t="s">
        <v>1082</v>
      </c>
      <c r="E333" s="10" t="s">
        <v>1067</v>
      </c>
      <c r="F333" t="s">
        <v>25</v>
      </c>
      <c r="G333" t="s">
        <v>18</v>
      </c>
      <c r="H333" t="s">
        <v>45</v>
      </c>
      <c r="I333">
        <v>7</v>
      </c>
      <c r="J333" s="3">
        <v>27.89</v>
      </c>
      <c r="K333" s="2">
        <v>0.15</v>
      </c>
      <c r="L333" s="3">
        <v>165.95</v>
      </c>
      <c r="M333" s="3">
        <v>25.67</v>
      </c>
      <c r="N333" t="s">
        <v>20</v>
      </c>
      <c r="O333" s="3"/>
      <c r="P333" s="3"/>
    </row>
    <row r="334" spans="1:16" x14ac:dyDescent="0.3">
      <c r="A334" t="s">
        <v>1083</v>
      </c>
      <c r="B334" s="9" t="s">
        <v>223</v>
      </c>
      <c r="C334" s="20" t="str">
        <f t="shared" si="5"/>
        <v>Jun</v>
      </c>
      <c r="D334" t="s">
        <v>824</v>
      </c>
      <c r="E334" s="10" t="s">
        <v>1084</v>
      </c>
      <c r="F334" t="s">
        <v>59</v>
      </c>
      <c r="G334" t="s">
        <v>33</v>
      </c>
      <c r="H334" t="s">
        <v>74</v>
      </c>
      <c r="I334">
        <v>4</v>
      </c>
      <c r="J334" s="3">
        <v>36.270000000000003</v>
      </c>
      <c r="K334" s="2">
        <v>0.1</v>
      </c>
      <c r="L334" s="3">
        <v>130.57</v>
      </c>
      <c r="M334" s="3">
        <v>26.36</v>
      </c>
      <c r="N334" t="s">
        <v>35</v>
      </c>
      <c r="O334" s="3"/>
      <c r="P334" s="3"/>
    </row>
    <row r="335" spans="1:16" x14ac:dyDescent="0.3">
      <c r="A335" t="s">
        <v>1085</v>
      </c>
      <c r="B335" s="9" t="s">
        <v>302</v>
      </c>
      <c r="C335" s="20" t="str">
        <f t="shared" si="5"/>
        <v>Oct</v>
      </c>
      <c r="D335" t="s">
        <v>291</v>
      </c>
      <c r="E335" s="10" t="s">
        <v>109</v>
      </c>
      <c r="F335" t="s">
        <v>64</v>
      </c>
      <c r="G335" t="s">
        <v>89</v>
      </c>
      <c r="H335" t="s">
        <v>131</v>
      </c>
      <c r="I335">
        <v>6</v>
      </c>
      <c r="J335" s="3">
        <v>209.8</v>
      </c>
      <c r="K335" s="2">
        <v>0.05</v>
      </c>
      <c r="L335" s="3">
        <v>1195.8599999999999</v>
      </c>
      <c r="M335" s="3">
        <v>291.57</v>
      </c>
      <c r="N335" t="s">
        <v>40</v>
      </c>
      <c r="O335" s="3"/>
      <c r="P335" s="3"/>
    </row>
    <row r="336" spans="1:16" x14ac:dyDescent="0.3">
      <c r="A336" t="s">
        <v>1086</v>
      </c>
      <c r="B336" s="9" t="s">
        <v>341</v>
      </c>
      <c r="C336" s="20" t="str">
        <f t="shared" si="5"/>
        <v>Jul</v>
      </c>
      <c r="D336" t="s">
        <v>1087</v>
      </c>
      <c r="E336" s="10" t="s">
        <v>965</v>
      </c>
      <c r="F336" t="s">
        <v>17</v>
      </c>
      <c r="G336" t="s">
        <v>89</v>
      </c>
      <c r="H336" t="s">
        <v>131</v>
      </c>
      <c r="I336">
        <v>4</v>
      </c>
      <c r="J336" s="3">
        <v>213.46</v>
      </c>
      <c r="K336" s="2">
        <v>0</v>
      </c>
      <c r="L336" s="3">
        <v>853.84</v>
      </c>
      <c r="M336" s="3">
        <v>90.91</v>
      </c>
      <c r="N336" t="s">
        <v>40</v>
      </c>
      <c r="O336" s="3"/>
      <c r="P336" s="3"/>
    </row>
    <row r="337" spans="1:16" x14ac:dyDescent="0.3">
      <c r="A337" t="s">
        <v>1088</v>
      </c>
      <c r="B337" s="9" t="s">
        <v>1089</v>
      </c>
      <c r="C337" s="20" t="str">
        <f t="shared" si="5"/>
        <v>Dec</v>
      </c>
      <c r="D337" t="s">
        <v>1090</v>
      </c>
      <c r="E337" s="10" t="s">
        <v>269</v>
      </c>
      <c r="F337" t="s">
        <v>25</v>
      </c>
      <c r="G337" t="s">
        <v>26</v>
      </c>
      <c r="H337" t="s">
        <v>27</v>
      </c>
      <c r="I337">
        <v>3</v>
      </c>
      <c r="J337" s="3">
        <v>118.57</v>
      </c>
      <c r="K337" s="2">
        <v>0.05</v>
      </c>
      <c r="L337" s="3">
        <v>337.92</v>
      </c>
      <c r="M337" s="3">
        <v>31.69</v>
      </c>
      <c r="N337" t="s">
        <v>20</v>
      </c>
      <c r="O337" s="3"/>
      <c r="P337" s="3"/>
    </row>
    <row r="338" spans="1:16" x14ac:dyDescent="0.3">
      <c r="A338" t="s">
        <v>1091</v>
      </c>
      <c r="B338" s="9" t="s">
        <v>147</v>
      </c>
      <c r="C338" s="20" t="str">
        <f t="shared" si="5"/>
        <v>Nov</v>
      </c>
      <c r="D338" t="s">
        <v>1092</v>
      </c>
      <c r="E338" s="10" t="s">
        <v>402</v>
      </c>
      <c r="F338" t="s">
        <v>32</v>
      </c>
      <c r="G338" t="s">
        <v>26</v>
      </c>
      <c r="H338" t="s">
        <v>27</v>
      </c>
      <c r="I338">
        <v>3</v>
      </c>
      <c r="J338" s="3">
        <v>39.340000000000003</v>
      </c>
      <c r="K338" s="2">
        <v>0.1</v>
      </c>
      <c r="L338" s="3">
        <v>106.22</v>
      </c>
      <c r="M338" s="3">
        <v>23.54</v>
      </c>
      <c r="N338" t="s">
        <v>40</v>
      </c>
      <c r="O338" s="3"/>
      <c r="P338" s="3"/>
    </row>
    <row r="339" spans="1:16" x14ac:dyDescent="0.3">
      <c r="A339" t="s">
        <v>1093</v>
      </c>
      <c r="B339" s="9" t="s">
        <v>705</v>
      </c>
      <c r="C339" s="20" t="str">
        <f t="shared" si="5"/>
        <v>Mar</v>
      </c>
      <c r="D339" t="s">
        <v>1094</v>
      </c>
      <c r="E339" s="10" t="s">
        <v>83</v>
      </c>
      <c r="F339" t="s">
        <v>32</v>
      </c>
      <c r="G339" t="s">
        <v>33</v>
      </c>
      <c r="H339" t="s">
        <v>69</v>
      </c>
      <c r="I339">
        <v>3</v>
      </c>
      <c r="J339" s="3">
        <v>33.79</v>
      </c>
      <c r="K339" s="2">
        <v>0</v>
      </c>
      <c r="L339" s="3">
        <v>101.37</v>
      </c>
      <c r="M339" s="3">
        <v>26.71</v>
      </c>
      <c r="N339" t="s">
        <v>35</v>
      </c>
      <c r="O339" s="3"/>
      <c r="P339" s="3"/>
    </row>
    <row r="340" spans="1:16" x14ac:dyDescent="0.3">
      <c r="A340" t="s">
        <v>1095</v>
      </c>
      <c r="B340" s="9" t="s">
        <v>782</v>
      </c>
      <c r="C340" s="20" t="str">
        <f t="shared" si="5"/>
        <v>Jan</v>
      </c>
      <c r="D340" t="s">
        <v>1096</v>
      </c>
      <c r="E340" s="10" t="s">
        <v>754</v>
      </c>
      <c r="F340" t="s">
        <v>25</v>
      </c>
      <c r="G340" t="s">
        <v>18</v>
      </c>
      <c r="H340" t="s">
        <v>19</v>
      </c>
      <c r="I340">
        <v>2</v>
      </c>
      <c r="J340" s="3">
        <v>93.1</v>
      </c>
      <c r="K340" s="2">
        <v>0.05</v>
      </c>
      <c r="L340" s="3">
        <v>176.89</v>
      </c>
      <c r="M340" s="3">
        <v>42.88</v>
      </c>
      <c r="N340" t="s">
        <v>40</v>
      </c>
      <c r="O340" s="3"/>
      <c r="P340" s="3"/>
    </row>
    <row r="341" spans="1:16" x14ac:dyDescent="0.3">
      <c r="A341" t="s">
        <v>1097</v>
      </c>
      <c r="B341" s="9" t="s">
        <v>1098</v>
      </c>
      <c r="C341" s="20" t="str">
        <f t="shared" si="5"/>
        <v>Nov</v>
      </c>
      <c r="D341" t="s">
        <v>1030</v>
      </c>
      <c r="E341" s="10" t="s">
        <v>138</v>
      </c>
      <c r="F341" t="s">
        <v>17</v>
      </c>
      <c r="G341" t="s">
        <v>89</v>
      </c>
      <c r="H341" t="s">
        <v>131</v>
      </c>
      <c r="I341">
        <v>4</v>
      </c>
      <c r="J341" s="3">
        <v>105.05</v>
      </c>
      <c r="K341" s="2">
        <v>0.15</v>
      </c>
      <c r="L341" s="3">
        <v>357.17</v>
      </c>
      <c r="M341" s="3">
        <v>69.69</v>
      </c>
      <c r="N341" t="s">
        <v>40</v>
      </c>
      <c r="O341" s="3"/>
      <c r="P341" s="3"/>
    </row>
    <row r="342" spans="1:16" x14ac:dyDescent="0.3">
      <c r="A342" t="s">
        <v>1099</v>
      </c>
      <c r="B342" s="9" t="s">
        <v>86</v>
      </c>
      <c r="C342" s="20" t="str">
        <f t="shared" si="5"/>
        <v>Feb</v>
      </c>
      <c r="D342" t="s">
        <v>912</v>
      </c>
      <c r="E342" s="10" t="s">
        <v>130</v>
      </c>
      <c r="F342" t="s">
        <v>59</v>
      </c>
      <c r="G342" t="s">
        <v>89</v>
      </c>
      <c r="H342" t="s">
        <v>150</v>
      </c>
      <c r="I342">
        <v>7</v>
      </c>
      <c r="J342" s="3">
        <v>131.13</v>
      </c>
      <c r="K342" s="2">
        <v>0</v>
      </c>
      <c r="L342" s="3">
        <v>917.91</v>
      </c>
      <c r="M342" s="3">
        <v>257.74</v>
      </c>
      <c r="N342" t="s">
        <v>40</v>
      </c>
      <c r="O342" s="3"/>
      <c r="P342" s="3"/>
    </row>
    <row r="343" spans="1:16" x14ac:dyDescent="0.3">
      <c r="A343" t="s">
        <v>1100</v>
      </c>
      <c r="B343" s="9" t="s">
        <v>1101</v>
      </c>
      <c r="C343" s="20" t="str">
        <f t="shared" si="5"/>
        <v>Jul</v>
      </c>
      <c r="D343" t="s">
        <v>1102</v>
      </c>
      <c r="E343" s="10" t="s">
        <v>1103</v>
      </c>
      <c r="F343" t="s">
        <v>25</v>
      </c>
      <c r="G343" t="s">
        <v>26</v>
      </c>
      <c r="H343" t="s">
        <v>118</v>
      </c>
      <c r="I343">
        <v>1</v>
      </c>
      <c r="J343" s="3">
        <v>77.72</v>
      </c>
      <c r="K343" s="2">
        <v>0.15</v>
      </c>
      <c r="L343" s="3">
        <v>66.06</v>
      </c>
      <c r="M343" s="3">
        <v>11.46</v>
      </c>
      <c r="N343" t="s">
        <v>20</v>
      </c>
      <c r="O343" s="3"/>
      <c r="P343" s="3"/>
    </row>
    <row r="344" spans="1:16" x14ac:dyDescent="0.3">
      <c r="A344" t="s">
        <v>1104</v>
      </c>
      <c r="B344" s="9" t="s">
        <v>1105</v>
      </c>
      <c r="C344" s="20" t="str">
        <f t="shared" si="5"/>
        <v>Oct</v>
      </c>
      <c r="D344" t="s">
        <v>490</v>
      </c>
      <c r="E344" s="10" t="s">
        <v>1106</v>
      </c>
      <c r="F344" t="s">
        <v>59</v>
      </c>
      <c r="G344" t="s">
        <v>18</v>
      </c>
      <c r="H344" t="s">
        <v>45</v>
      </c>
      <c r="I344">
        <v>5</v>
      </c>
      <c r="J344" s="3">
        <v>36.1</v>
      </c>
      <c r="K344" s="2">
        <v>0.15</v>
      </c>
      <c r="L344" s="3">
        <v>153.41999999999999</v>
      </c>
      <c r="M344" s="3">
        <v>33.33</v>
      </c>
      <c r="N344" t="s">
        <v>20</v>
      </c>
      <c r="O344" s="3"/>
      <c r="P344" s="3"/>
    </row>
    <row r="345" spans="1:16" x14ac:dyDescent="0.3">
      <c r="A345" t="s">
        <v>1107</v>
      </c>
      <c r="B345" s="9" t="s">
        <v>1108</v>
      </c>
      <c r="C345" s="20" t="str">
        <f t="shared" si="5"/>
        <v>Dec</v>
      </c>
      <c r="D345" t="s">
        <v>1090</v>
      </c>
      <c r="E345" s="10" t="s">
        <v>197</v>
      </c>
      <c r="F345" t="s">
        <v>17</v>
      </c>
      <c r="G345" t="s">
        <v>33</v>
      </c>
      <c r="H345" t="s">
        <v>50</v>
      </c>
      <c r="I345">
        <v>1</v>
      </c>
      <c r="J345" s="3">
        <v>148.65</v>
      </c>
      <c r="K345" s="2">
        <v>0.1</v>
      </c>
      <c r="L345" s="3">
        <v>133.78</v>
      </c>
      <c r="M345" s="3">
        <v>29.52</v>
      </c>
      <c r="N345" t="s">
        <v>20</v>
      </c>
      <c r="O345" s="3"/>
      <c r="P345" s="3"/>
    </row>
    <row r="346" spans="1:16" x14ac:dyDescent="0.3">
      <c r="A346" t="s">
        <v>1109</v>
      </c>
      <c r="B346" s="9" t="s">
        <v>534</v>
      </c>
      <c r="C346" s="20" t="str">
        <f t="shared" si="5"/>
        <v>Mar</v>
      </c>
      <c r="D346" t="s">
        <v>1110</v>
      </c>
      <c r="E346" s="10" t="s">
        <v>1084</v>
      </c>
      <c r="F346" t="s">
        <v>32</v>
      </c>
      <c r="G346" t="s">
        <v>26</v>
      </c>
      <c r="H346" t="s">
        <v>27</v>
      </c>
      <c r="I346">
        <v>3</v>
      </c>
      <c r="J346" s="3">
        <v>182.83</v>
      </c>
      <c r="K346" s="2">
        <v>0</v>
      </c>
      <c r="L346" s="3">
        <v>548.49</v>
      </c>
      <c r="M346" s="3">
        <v>45.77</v>
      </c>
      <c r="N346" t="s">
        <v>20</v>
      </c>
      <c r="O346" s="3"/>
      <c r="P346" s="3"/>
    </row>
    <row r="347" spans="1:16" x14ac:dyDescent="0.3">
      <c r="A347" t="s">
        <v>1111</v>
      </c>
      <c r="B347" s="9" t="s">
        <v>1112</v>
      </c>
      <c r="C347" s="20" t="str">
        <f t="shared" si="5"/>
        <v>May</v>
      </c>
      <c r="D347" t="s">
        <v>1113</v>
      </c>
      <c r="E347" s="10" t="s">
        <v>1114</v>
      </c>
      <c r="F347" t="s">
        <v>59</v>
      </c>
      <c r="G347" t="s">
        <v>89</v>
      </c>
      <c r="H347" t="s">
        <v>90</v>
      </c>
      <c r="I347">
        <v>2</v>
      </c>
      <c r="J347" s="3">
        <v>167.43</v>
      </c>
      <c r="K347" s="2">
        <v>0.1</v>
      </c>
      <c r="L347" s="3">
        <v>301.37</v>
      </c>
      <c r="M347" s="3">
        <v>37.659999999999997</v>
      </c>
      <c r="N347" t="s">
        <v>35</v>
      </c>
      <c r="O347" s="3"/>
      <c r="P347" s="3"/>
    </row>
    <row r="348" spans="1:16" x14ac:dyDescent="0.3">
      <c r="A348" t="s">
        <v>1115</v>
      </c>
      <c r="B348" s="9" t="s">
        <v>1116</v>
      </c>
      <c r="C348" s="20" t="str">
        <f t="shared" si="5"/>
        <v>Feb</v>
      </c>
      <c r="D348" t="s">
        <v>148</v>
      </c>
      <c r="E348" s="10" t="s">
        <v>839</v>
      </c>
      <c r="F348" t="s">
        <v>32</v>
      </c>
      <c r="G348" t="s">
        <v>18</v>
      </c>
      <c r="H348" t="s">
        <v>45</v>
      </c>
      <c r="I348">
        <v>2</v>
      </c>
      <c r="J348" s="3">
        <v>88.47</v>
      </c>
      <c r="K348" s="2">
        <v>0.1</v>
      </c>
      <c r="L348" s="3">
        <v>159.25</v>
      </c>
      <c r="M348" s="3">
        <v>29.02</v>
      </c>
      <c r="N348" t="s">
        <v>35</v>
      </c>
      <c r="O348" s="3"/>
      <c r="P348" s="3"/>
    </row>
    <row r="349" spans="1:16" x14ac:dyDescent="0.3">
      <c r="A349" t="s">
        <v>1117</v>
      </c>
      <c r="B349" s="9" t="s">
        <v>1118</v>
      </c>
      <c r="C349" s="20" t="str">
        <f t="shared" si="5"/>
        <v>Feb</v>
      </c>
      <c r="D349" t="s">
        <v>1119</v>
      </c>
      <c r="E349" s="10" t="s">
        <v>201</v>
      </c>
      <c r="F349" t="s">
        <v>59</v>
      </c>
      <c r="G349" t="s">
        <v>18</v>
      </c>
      <c r="H349" t="s">
        <v>79</v>
      </c>
      <c r="I349">
        <v>8</v>
      </c>
      <c r="J349" s="3">
        <v>146.07</v>
      </c>
      <c r="K349" s="2">
        <v>0</v>
      </c>
      <c r="L349" s="3">
        <v>1168.56</v>
      </c>
      <c r="M349" s="3">
        <v>266.58999999999997</v>
      </c>
      <c r="N349" t="s">
        <v>35</v>
      </c>
      <c r="O349" s="3"/>
      <c r="P349" s="3"/>
    </row>
    <row r="350" spans="1:16" x14ac:dyDescent="0.3">
      <c r="A350" t="s">
        <v>1120</v>
      </c>
      <c r="B350" s="9" t="s">
        <v>1108</v>
      </c>
      <c r="C350" s="20" t="str">
        <f t="shared" si="5"/>
        <v>Dec</v>
      </c>
      <c r="D350" t="s">
        <v>1121</v>
      </c>
      <c r="E350" s="10" t="s">
        <v>1122</v>
      </c>
      <c r="F350" t="s">
        <v>64</v>
      </c>
      <c r="G350" t="s">
        <v>18</v>
      </c>
      <c r="H350" t="s">
        <v>45</v>
      </c>
      <c r="I350">
        <v>8</v>
      </c>
      <c r="J350" s="3">
        <v>245.85</v>
      </c>
      <c r="K350" s="2">
        <v>0.15</v>
      </c>
      <c r="L350" s="3">
        <v>1671.78</v>
      </c>
      <c r="M350" s="3">
        <v>184.83</v>
      </c>
      <c r="N350" t="s">
        <v>35</v>
      </c>
      <c r="O350" s="3"/>
      <c r="P350" s="3"/>
    </row>
    <row r="351" spans="1:16" x14ac:dyDescent="0.3">
      <c r="A351" t="s">
        <v>1123</v>
      </c>
      <c r="B351" s="9" t="s">
        <v>1124</v>
      </c>
      <c r="C351" s="20" t="str">
        <f t="shared" si="5"/>
        <v>Dec</v>
      </c>
      <c r="D351" t="s">
        <v>975</v>
      </c>
      <c r="E351" s="10" t="s">
        <v>31</v>
      </c>
      <c r="F351" t="s">
        <v>32</v>
      </c>
      <c r="G351" t="s">
        <v>89</v>
      </c>
      <c r="H351" t="s">
        <v>90</v>
      </c>
      <c r="I351">
        <v>6</v>
      </c>
      <c r="J351" s="3">
        <v>203.41</v>
      </c>
      <c r="K351" s="2">
        <v>0.1</v>
      </c>
      <c r="L351" s="3">
        <v>1098.4100000000001</v>
      </c>
      <c r="M351" s="3">
        <v>164.38</v>
      </c>
      <c r="N351" t="s">
        <v>35</v>
      </c>
      <c r="O351" s="3"/>
      <c r="P351" s="3"/>
    </row>
    <row r="352" spans="1:16" x14ac:dyDescent="0.3">
      <c r="A352" t="s">
        <v>1125</v>
      </c>
      <c r="B352" s="9" t="s">
        <v>96</v>
      </c>
      <c r="C352" s="20" t="str">
        <f t="shared" si="5"/>
        <v>Aug</v>
      </c>
      <c r="D352" t="s">
        <v>1126</v>
      </c>
      <c r="E352" s="10" t="s">
        <v>1127</v>
      </c>
      <c r="F352" t="s">
        <v>25</v>
      </c>
      <c r="G352" t="s">
        <v>89</v>
      </c>
      <c r="H352" t="s">
        <v>150</v>
      </c>
      <c r="I352">
        <v>3</v>
      </c>
      <c r="J352" s="3">
        <v>218.32</v>
      </c>
      <c r="K352" s="2">
        <v>0.15</v>
      </c>
      <c r="L352" s="3">
        <v>556.72</v>
      </c>
      <c r="M352" s="3">
        <v>162.83000000000001</v>
      </c>
      <c r="N352" t="s">
        <v>40</v>
      </c>
      <c r="O352" s="3"/>
      <c r="P352" s="3"/>
    </row>
    <row r="353" spans="1:16" x14ac:dyDescent="0.3">
      <c r="A353" t="s">
        <v>1128</v>
      </c>
      <c r="B353" s="9" t="s">
        <v>1129</v>
      </c>
      <c r="C353" s="20" t="str">
        <f t="shared" si="5"/>
        <v>May</v>
      </c>
      <c r="D353" t="s">
        <v>1110</v>
      </c>
      <c r="E353" s="10" t="s">
        <v>1130</v>
      </c>
      <c r="F353" t="s">
        <v>64</v>
      </c>
      <c r="G353" t="s">
        <v>33</v>
      </c>
      <c r="H353" t="s">
        <v>50</v>
      </c>
      <c r="I353">
        <v>5</v>
      </c>
      <c r="J353" s="3">
        <v>100.89</v>
      </c>
      <c r="K353" s="2">
        <v>0.15</v>
      </c>
      <c r="L353" s="3">
        <v>428.78</v>
      </c>
      <c r="M353" s="3">
        <v>63.55</v>
      </c>
      <c r="N353" t="s">
        <v>35</v>
      </c>
      <c r="O353" s="3"/>
      <c r="P353" s="3"/>
    </row>
    <row r="354" spans="1:16" x14ac:dyDescent="0.3">
      <c r="A354" t="s">
        <v>1131</v>
      </c>
      <c r="B354" s="9" t="s">
        <v>203</v>
      </c>
      <c r="C354" s="20" t="str">
        <f t="shared" si="5"/>
        <v>Sep</v>
      </c>
      <c r="D354" t="s">
        <v>1132</v>
      </c>
      <c r="E354" s="10" t="s">
        <v>240</v>
      </c>
      <c r="F354" t="s">
        <v>64</v>
      </c>
      <c r="G354" t="s">
        <v>18</v>
      </c>
      <c r="H354" t="s">
        <v>79</v>
      </c>
      <c r="I354">
        <v>2</v>
      </c>
      <c r="J354" s="3">
        <v>152.88999999999999</v>
      </c>
      <c r="K354" s="2">
        <v>0.1</v>
      </c>
      <c r="L354" s="3">
        <v>275.2</v>
      </c>
      <c r="M354" s="3">
        <v>70.77</v>
      </c>
      <c r="N354" t="s">
        <v>20</v>
      </c>
      <c r="O354" s="3"/>
      <c r="P354" s="3"/>
    </row>
    <row r="355" spans="1:16" x14ac:dyDescent="0.3">
      <c r="A355" t="s">
        <v>1133</v>
      </c>
      <c r="B355" s="9" t="s">
        <v>940</v>
      </c>
      <c r="C355" s="20" t="str">
        <f t="shared" si="5"/>
        <v>Apr</v>
      </c>
      <c r="D355" t="s">
        <v>1134</v>
      </c>
      <c r="E355" s="10" t="s">
        <v>1061</v>
      </c>
      <c r="F355" t="s">
        <v>25</v>
      </c>
      <c r="G355" t="s">
        <v>26</v>
      </c>
      <c r="H355" t="s">
        <v>118</v>
      </c>
      <c r="I355">
        <v>7</v>
      </c>
      <c r="J355" s="3">
        <v>178.86</v>
      </c>
      <c r="K355" s="2">
        <v>0.05</v>
      </c>
      <c r="L355" s="3">
        <v>1189.42</v>
      </c>
      <c r="M355" s="3">
        <v>274.77</v>
      </c>
      <c r="N355" t="s">
        <v>20</v>
      </c>
      <c r="O355" s="3"/>
      <c r="P355" s="3"/>
    </row>
    <row r="356" spans="1:16" x14ac:dyDescent="0.3">
      <c r="A356" t="s">
        <v>1135</v>
      </c>
      <c r="B356" s="9" t="s">
        <v>1136</v>
      </c>
      <c r="C356" s="20" t="str">
        <f t="shared" si="5"/>
        <v>Apr</v>
      </c>
      <c r="D356" t="s">
        <v>647</v>
      </c>
      <c r="E356" s="10" t="s">
        <v>1137</v>
      </c>
      <c r="F356" t="s">
        <v>64</v>
      </c>
      <c r="G356" t="s">
        <v>26</v>
      </c>
      <c r="H356" t="s">
        <v>84</v>
      </c>
      <c r="I356">
        <v>3</v>
      </c>
      <c r="J356" s="3">
        <v>244.27</v>
      </c>
      <c r="K356" s="2">
        <v>0</v>
      </c>
      <c r="L356" s="3">
        <v>732.81</v>
      </c>
      <c r="M356" s="3">
        <v>131.65</v>
      </c>
      <c r="N356" t="s">
        <v>20</v>
      </c>
      <c r="O356" s="3"/>
      <c r="P356" s="3"/>
    </row>
    <row r="357" spans="1:16" x14ac:dyDescent="0.3">
      <c r="A357" t="s">
        <v>1138</v>
      </c>
      <c r="B357" s="9" t="s">
        <v>223</v>
      </c>
      <c r="C357" s="20" t="str">
        <f t="shared" si="5"/>
        <v>Jun</v>
      </c>
      <c r="D357" t="s">
        <v>978</v>
      </c>
      <c r="E357" s="10" t="s">
        <v>1139</v>
      </c>
      <c r="F357" t="s">
        <v>25</v>
      </c>
      <c r="G357" t="s">
        <v>18</v>
      </c>
      <c r="H357" t="s">
        <v>45</v>
      </c>
      <c r="I357">
        <v>4</v>
      </c>
      <c r="J357" s="3">
        <v>249.34</v>
      </c>
      <c r="K357" s="2">
        <v>0</v>
      </c>
      <c r="L357" s="3">
        <v>997.36</v>
      </c>
      <c r="M357" s="3">
        <v>163.02000000000001</v>
      </c>
      <c r="N357" t="s">
        <v>35</v>
      </c>
      <c r="O357" s="3"/>
      <c r="P357" s="3"/>
    </row>
    <row r="358" spans="1:16" x14ac:dyDescent="0.3">
      <c r="A358" t="s">
        <v>1140</v>
      </c>
      <c r="B358" s="9" t="s">
        <v>929</v>
      </c>
      <c r="C358" s="20" t="str">
        <f t="shared" si="5"/>
        <v>May</v>
      </c>
      <c r="D358" t="s">
        <v>1141</v>
      </c>
      <c r="E358" s="10" t="s">
        <v>1142</v>
      </c>
      <c r="F358" t="s">
        <v>17</v>
      </c>
      <c r="G358" t="s">
        <v>33</v>
      </c>
      <c r="H358" t="s">
        <v>74</v>
      </c>
      <c r="I358">
        <v>7</v>
      </c>
      <c r="J358" s="3">
        <v>109.09</v>
      </c>
      <c r="K358" s="2">
        <v>0</v>
      </c>
      <c r="L358" s="3">
        <v>763.63</v>
      </c>
      <c r="M358" s="3">
        <v>67.28</v>
      </c>
      <c r="N358" t="s">
        <v>35</v>
      </c>
      <c r="O358" s="3"/>
      <c r="P358" s="3"/>
    </row>
    <row r="359" spans="1:16" x14ac:dyDescent="0.3">
      <c r="A359" t="s">
        <v>1143</v>
      </c>
      <c r="B359" s="9" t="s">
        <v>1144</v>
      </c>
      <c r="C359" s="20" t="str">
        <f t="shared" si="5"/>
        <v>May</v>
      </c>
      <c r="D359" t="s">
        <v>1145</v>
      </c>
      <c r="E359" s="10" t="s">
        <v>262</v>
      </c>
      <c r="F359" t="s">
        <v>59</v>
      </c>
      <c r="G359" t="s">
        <v>26</v>
      </c>
      <c r="H359" t="s">
        <v>84</v>
      </c>
      <c r="I359">
        <v>6</v>
      </c>
      <c r="J359" s="3">
        <v>218.75</v>
      </c>
      <c r="K359" s="2">
        <v>0.05</v>
      </c>
      <c r="L359" s="3">
        <v>1246.8800000000001</v>
      </c>
      <c r="M359" s="3">
        <v>268.74</v>
      </c>
      <c r="N359" t="s">
        <v>40</v>
      </c>
      <c r="O359" s="3"/>
      <c r="P359" s="3"/>
    </row>
    <row r="360" spans="1:16" x14ac:dyDescent="0.3">
      <c r="A360" t="s">
        <v>1146</v>
      </c>
      <c r="B360" s="9" t="s">
        <v>420</v>
      </c>
      <c r="C360" s="20" t="str">
        <f t="shared" si="5"/>
        <v>Aug</v>
      </c>
      <c r="D360" t="s">
        <v>1147</v>
      </c>
      <c r="E360" s="10" t="s">
        <v>524</v>
      </c>
      <c r="F360" t="s">
        <v>59</v>
      </c>
      <c r="G360" t="s">
        <v>33</v>
      </c>
      <c r="H360" t="s">
        <v>50</v>
      </c>
      <c r="I360">
        <v>6</v>
      </c>
      <c r="J360" s="3">
        <v>57.05</v>
      </c>
      <c r="K360" s="2">
        <v>0.1</v>
      </c>
      <c r="L360" s="3">
        <v>308.07</v>
      </c>
      <c r="M360" s="3">
        <v>51.36</v>
      </c>
      <c r="N360" t="s">
        <v>40</v>
      </c>
      <c r="O360" s="3"/>
      <c r="P360" s="3"/>
    </row>
    <row r="361" spans="1:16" x14ac:dyDescent="0.3">
      <c r="A361" t="s">
        <v>1148</v>
      </c>
      <c r="B361" s="9" t="s">
        <v>1112</v>
      </c>
      <c r="C361" s="20" t="str">
        <f t="shared" si="5"/>
        <v>May</v>
      </c>
      <c r="D361" t="s">
        <v>436</v>
      </c>
      <c r="E361" s="10" t="s">
        <v>1149</v>
      </c>
      <c r="F361" t="s">
        <v>64</v>
      </c>
      <c r="G361" t="s">
        <v>33</v>
      </c>
      <c r="H361" t="s">
        <v>74</v>
      </c>
      <c r="I361">
        <v>4</v>
      </c>
      <c r="J361" s="3">
        <v>137.86000000000001</v>
      </c>
      <c r="K361" s="2">
        <v>0.1</v>
      </c>
      <c r="L361" s="3">
        <v>496.3</v>
      </c>
      <c r="M361" s="3">
        <v>83.47</v>
      </c>
      <c r="N361" t="s">
        <v>35</v>
      </c>
      <c r="O361" s="3"/>
      <c r="P361" s="3"/>
    </row>
    <row r="362" spans="1:16" x14ac:dyDescent="0.3">
      <c r="A362" t="s">
        <v>1150</v>
      </c>
      <c r="B362" s="9" t="s">
        <v>626</v>
      </c>
      <c r="C362" s="20" t="str">
        <f t="shared" si="5"/>
        <v>Nov</v>
      </c>
      <c r="D362" t="s">
        <v>1066</v>
      </c>
      <c r="E362" s="10" t="s">
        <v>178</v>
      </c>
      <c r="F362" t="s">
        <v>32</v>
      </c>
      <c r="G362" t="s">
        <v>89</v>
      </c>
      <c r="H362" t="s">
        <v>150</v>
      </c>
      <c r="I362">
        <v>7</v>
      </c>
      <c r="J362" s="3">
        <v>141.97999999999999</v>
      </c>
      <c r="K362" s="2">
        <v>0.1</v>
      </c>
      <c r="L362" s="3">
        <v>894.47</v>
      </c>
      <c r="M362" s="3">
        <v>222.51</v>
      </c>
      <c r="N362" t="s">
        <v>20</v>
      </c>
      <c r="O362" s="3"/>
      <c r="P362" s="3"/>
    </row>
    <row r="363" spans="1:16" x14ac:dyDescent="0.3">
      <c r="A363" t="s">
        <v>1151</v>
      </c>
      <c r="B363" s="9" t="s">
        <v>929</v>
      </c>
      <c r="C363" s="20" t="str">
        <f t="shared" si="5"/>
        <v>May</v>
      </c>
      <c r="D363" t="s">
        <v>1152</v>
      </c>
      <c r="E363" s="10" t="s">
        <v>1153</v>
      </c>
      <c r="F363" t="s">
        <v>64</v>
      </c>
      <c r="G363" t="s">
        <v>26</v>
      </c>
      <c r="H363" t="s">
        <v>118</v>
      </c>
      <c r="I363">
        <v>1</v>
      </c>
      <c r="J363" s="3">
        <v>235.11</v>
      </c>
      <c r="K363" s="2">
        <v>0.05</v>
      </c>
      <c r="L363" s="3">
        <v>223.35</v>
      </c>
      <c r="M363" s="3">
        <v>36.54</v>
      </c>
      <c r="N363" t="s">
        <v>20</v>
      </c>
      <c r="O363" s="3"/>
      <c r="P363" s="3"/>
    </row>
    <row r="364" spans="1:16" x14ac:dyDescent="0.3">
      <c r="A364" t="s">
        <v>1154</v>
      </c>
      <c r="B364" s="9" t="s">
        <v>1155</v>
      </c>
      <c r="C364" s="20" t="str">
        <f t="shared" si="5"/>
        <v>Sep</v>
      </c>
      <c r="D364" t="s">
        <v>451</v>
      </c>
      <c r="E364" s="10" t="s">
        <v>478</v>
      </c>
      <c r="F364" t="s">
        <v>59</v>
      </c>
      <c r="G364" t="s">
        <v>26</v>
      </c>
      <c r="H364" t="s">
        <v>27</v>
      </c>
      <c r="I364">
        <v>1</v>
      </c>
      <c r="J364" s="3">
        <v>31.67</v>
      </c>
      <c r="K364" s="2">
        <v>0</v>
      </c>
      <c r="L364" s="3">
        <v>31.67</v>
      </c>
      <c r="M364" s="3">
        <v>7.15</v>
      </c>
      <c r="N364" t="s">
        <v>40</v>
      </c>
      <c r="O364" s="3"/>
      <c r="P364" s="3"/>
    </row>
    <row r="365" spans="1:16" x14ac:dyDescent="0.3">
      <c r="A365" t="s">
        <v>1156</v>
      </c>
      <c r="B365" s="9" t="s">
        <v>940</v>
      </c>
      <c r="C365" s="20" t="str">
        <f t="shared" si="5"/>
        <v>Apr</v>
      </c>
      <c r="D365" t="s">
        <v>843</v>
      </c>
      <c r="E365" s="10" t="s">
        <v>1157</v>
      </c>
      <c r="F365" t="s">
        <v>25</v>
      </c>
      <c r="G365" t="s">
        <v>18</v>
      </c>
      <c r="H365" t="s">
        <v>45</v>
      </c>
      <c r="I365">
        <v>2</v>
      </c>
      <c r="J365" s="3">
        <v>35.630000000000003</v>
      </c>
      <c r="K365" s="2">
        <v>0.15</v>
      </c>
      <c r="L365" s="3">
        <v>60.57</v>
      </c>
      <c r="M365" s="3">
        <v>16.260000000000002</v>
      </c>
      <c r="N365" t="s">
        <v>40</v>
      </c>
      <c r="O365" s="3"/>
      <c r="P365" s="3"/>
    </row>
    <row r="366" spans="1:16" x14ac:dyDescent="0.3">
      <c r="A366" t="s">
        <v>1158</v>
      </c>
      <c r="B366" s="9" t="s">
        <v>1159</v>
      </c>
      <c r="C366" s="20" t="str">
        <f t="shared" si="5"/>
        <v>Aug</v>
      </c>
      <c r="D366" t="s">
        <v>1160</v>
      </c>
      <c r="E366" s="10" t="s">
        <v>1161</v>
      </c>
      <c r="F366" t="s">
        <v>17</v>
      </c>
      <c r="G366" t="s">
        <v>18</v>
      </c>
      <c r="H366" t="s">
        <v>19</v>
      </c>
      <c r="I366">
        <v>7</v>
      </c>
      <c r="J366" s="3">
        <v>43.03</v>
      </c>
      <c r="K366" s="2">
        <v>0</v>
      </c>
      <c r="L366" s="3">
        <v>301.20999999999998</v>
      </c>
      <c r="M366" s="3">
        <v>26.87</v>
      </c>
      <c r="N366" t="s">
        <v>40</v>
      </c>
      <c r="O366" s="3"/>
      <c r="P366" s="3"/>
    </row>
    <row r="367" spans="1:16" x14ac:dyDescent="0.3">
      <c r="A367" t="s">
        <v>1162</v>
      </c>
      <c r="B367" s="9" t="s">
        <v>708</v>
      </c>
      <c r="C367" s="20" t="str">
        <f t="shared" si="5"/>
        <v>Oct</v>
      </c>
      <c r="D367" t="s">
        <v>1147</v>
      </c>
      <c r="E367" s="10" t="s">
        <v>1163</v>
      </c>
      <c r="F367" t="s">
        <v>25</v>
      </c>
      <c r="G367" t="s">
        <v>26</v>
      </c>
      <c r="H367" t="s">
        <v>84</v>
      </c>
      <c r="I367">
        <v>5</v>
      </c>
      <c r="J367" s="3">
        <v>249.83</v>
      </c>
      <c r="K367" s="2">
        <v>0</v>
      </c>
      <c r="L367" s="3">
        <v>1249.1500000000001</v>
      </c>
      <c r="M367" s="3">
        <v>197.91</v>
      </c>
      <c r="N367" t="s">
        <v>20</v>
      </c>
      <c r="O367" s="3"/>
      <c r="P367" s="3"/>
    </row>
    <row r="368" spans="1:16" x14ac:dyDescent="0.3">
      <c r="A368" t="s">
        <v>1164</v>
      </c>
      <c r="B368" s="9" t="s">
        <v>497</v>
      </c>
      <c r="C368" s="20" t="str">
        <f t="shared" si="5"/>
        <v>Jun</v>
      </c>
      <c r="D368" t="s">
        <v>802</v>
      </c>
      <c r="E368" s="10" t="s">
        <v>723</v>
      </c>
      <c r="F368" t="s">
        <v>64</v>
      </c>
      <c r="G368" t="s">
        <v>33</v>
      </c>
      <c r="H368" t="s">
        <v>74</v>
      </c>
      <c r="I368">
        <v>2</v>
      </c>
      <c r="J368" s="3">
        <v>14</v>
      </c>
      <c r="K368" s="2">
        <v>0</v>
      </c>
      <c r="L368" s="3">
        <v>28</v>
      </c>
      <c r="M368" s="3">
        <v>4.13</v>
      </c>
      <c r="N368" t="s">
        <v>35</v>
      </c>
      <c r="O368" s="3"/>
      <c r="P368" s="3"/>
    </row>
    <row r="369" spans="1:16" x14ac:dyDescent="0.3">
      <c r="A369" t="s">
        <v>1165</v>
      </c>
      <c r="B369" s="9" t="s">
        <v>743</v>
      </c>
      <c r="C369" s="20" t="str">
        <f t="shared" si="5"/>
        <v>Oct</v>
      </c>
      <c r="D369" t="s">
        <v>1166</v>
      </c>
      <c r="E369" s="10" t="s">
        <v>1167</v>
      </c>
      <c r="F369" t="s">
        <v>59</v>
      </c>
      <c r="G369" t="s">
        <v>33</v>
      </c>
      <c r="H369" t="s">
        <v>34</v>
      </c>
      <c r="I369">
        <v>7</v>
      </c>
      <c r="J369" s="3">
        <v>77.13</v>
      </c>
      <c r="K369" s="2">
        <v>0.1</v>
      </c>
      <c r="L369" s="3">
        <v>485.92</v>
      </c>
      <c r="M369" s="3">
        <v>92.82</v>
      </c>
      <c r="N369" t="s">
        <v>35</v>
      </c>
      <c r="O369" s="3"/>
      <c r="P369" s="3"/>
    </row>
    <row r="370" spans="1:16" x14ac:dyDescent="0.3">
      <c r="A370" t="s">
        <v>1168</v>
      </c>
      <c r="B370" s="9" t="s">
        <v>639</v>
      </c>
      <c r="C370" s="20" t="str">
        <f t="shared" si="5"/>
        <v>Nov</v>
      </c>
      <c r="D370" t="s">
        <v>424</v>
      </c>
      <c r="E370" s="10" t="s">
        <v>109</v>
      </c>
      <c r="F370" t="s">
        <v>25</v>
      </c>
      <c r="G370" t="s">
        <v>26</v>
      </c>
      <c r="H370" t="s">
        <v>118</v>
      </c>
      <c r="I370">
        <v>2</v>
      </c>
      <c r="J370" s="3">
        <v>183.41</v>
      </c>
      <c r="K370" s="2">
        <v>0.1</v>
      </c>
      <c r="L370" s="3">
        <v>330.14</v>
      </c>
      <c r="M370" s="3">
        <v>54.38</v>
      </c>
      <c r="N370" t="s">
        <v>35</v>
      </c>
      <c r="O370" s="3"/>
      <c r="P370" s="3"/>
    </row>
    <row r="371" spans="1:16" x14ac:dyDescent="0.3">
      <c r="A371" t="s">
        <v>1169</v>
      </c>
      <c r="B371" s="9" t="s">
        <v>1170</v>
      </c>
      <c r="C371" s="20" t="str">
        <f t="shared" si="5"/>
        <v>Feb</v>
      </c>
      <c r="D371" t="s">
        <v>171</v>
      </c>
      <c r="E371" s="10" t="s">
        <v>808</v>
      </c>
      <c r="F371" t="s">
        <v>17</v>
      </c>
      <c r="G371" t="s">
        <v>18</v>
      </c>
      <c r="H371" t="s">
        <v>45</v>
      </c>
      <c r="I371">
        <v>1</v>
      </c>
      <c r="J371" s="3">
        <v>248.45</v>
      </c>
      <c r="K371" s="2">
        <v>0</v>
      </c>
      <c r="L371" s="3">
        <v>248.45</v>
      </c>
      <c r="M371" s="3">
        <v>48.68</v>
      </c>
      <c r="N371" t="s">
        <v>20</v>
      </c>
      <c r="O371" s="3"/>
      <c r="P371" s="3"/>
    </row>
    <row r="372" spans="1:16" x14ac:dyDescent="0.3">
      <c r="A372" t="s">
        <v>1171</v>
      </c>
      <c r="B372" s="9" t="s">
        <v>782</v>
      </c>
      <c r="C372" s="20" t="str">
        <f t="shared" si="5"/>
        <v>Jan</v>
      </c>
      <c r="D372" t="s">
        <v>356</v>
      </c>
      <c r="E372" s="10" t="s">
        <v>679</v>
      </c>
      <c r="F372" t="s">
        <v>64</v>
      </c>
      <c r="G372" t="s">
        <v>89</v>
      </c>
      <c r="H372" t="s">
        <v>90</v>
      </c>
      <c r="I372">
        <v>3</v>
      </c>
      <c r="J372" s="3">
        <v>187.53</v>
      </c>
      <c r="K372" s="2">
        <v>0.1</v>
      </c>
      <c r="L372" s="3">
        <v>506.33</v>
      </c>
      <c r="M372" s="3">
        <v>45.44</v>
      </c>
      <c r="N372" t="s">
        <v>40</v>
      </c>
      <c r="O372" s="3"/>
      <c r="P372" s="3"/>
    </row>
    <row r="373" spans="1:16" x14ac:dyDescent="0.3">
      <c r="A373" t="s">
        <v>1172</v>
      </c>
      <c r="B373" s="9" t="s">
        <v>66</v>
      </c>
      <c r="C373" s="20" t="str">
        <f t="shared" si="5"/>
        <v>Mar</v>
      </c>
      <c r="D373" t="s">
        <v>1147</v>
      </c>
      <c r="E373" s="10" t="s">
        <v>1173</v>
      </c>
      <c r="F373" t="s">
        <v>25</v>
      </c>
      <c r="G373" t="s">
        <v>26</v>
      </c>
      <c r="H373" t="s">
        <v>84</v>
      </c>
      <c r="I373">
        <v>3</v>
      </c>
      <c r="J373" s="3">
        <v>55.14</v>
      </c>
      <c r="K373" s="2">
        <v>0</v>
      </c>
      <c r="L373" s="3">
        <v>165.42</v>
      </c>
      <c r="M373" s="3">
        <v>38.630000000000003</v>
      </c>
      <c r="N373" t="s">
        <v>35</v>
      </c>
      <c r="O373" s="3"/>
      <c r="P373" s="3"/>
    </row>
    <row r="374" spans="1:16" x14ac:dyDescent="0.3">
      <c r="A374" t="s">
        <v>1174</v>
      </c>
      <c r="B374" s="9" t="s">
        <v>1029</v>
      </c>
      <c r="C374" s="20" t="str">
        <f t="shared" si="5"/>
        <v>Dec</v>
      </c>
      <c r="D374" t="s">
        <v>424</v>
      </c>
      <c r="E374" s="10" t="s">
        <v>138</v>
      </c>
      <c r="F374" t="s">
        <v>64</v>
      </c>
      <c r="G374" t="s">
        <v>26</v>
      </c>
      <c r="H374" t="s">
        <v>84</v>
      </c>
      <c r="I374">
        <v>3</v>
      </c>
      <c r="J374" s="3">
        <v>197.34</v>
      </c>
      <c r="K374" s="2">
        <v>0</v>
      </c>
      <c r="L374" s="3">
        <v>592.02</v>
      </c>
      <c r="M374" s="3">
        <v>109.94</v>
      </c>
      <c r="N374" t="s">
        <v>35</v>
      </c>
      <c r="O374" s="3"/>
      <c r="P374" s="3"/>
    </row>
    <row r="375" spans="1:16" x14ac:dyDescent="0.3">
      <c r="A375" t="s">
        <v>1175</v>
      </c>
      <c r="B375" s="9" t="s">
        <v>1118</v>
      </c>
      <c r="C375" s="20" t="str">
        <f t="shared" si="5"/>
        <v>Feb</v>
      </c>
      <c r="D375" t="s">
        <v>1176</v>
      </c>
      <c r="E375" s="10" t="s">
        <v>1041</v>
      </c>
      <c r="F375" t="s">
        <v>17</v>
      </c>
      <c r="G375" t="s">
        <v>26</v>
      </c>
      <c r="H375" t="s">
        <v>118</v>
      </c>
      <c r="I375">
        <v>3</v>
      </c>
      <c r="J375" s="3">
        <v>217.48</v>
      </c>
      <c r="K375" s="2">
        <v>0.05</v>
      </c>
      <c r="L375" s="3">
        <v>619.82000000000005</v>
      </c>
      <c r="M375" s="3">
        <v>110.74</v>
      </c>
      <c r="N375" t="s">
        <v>35</v>
      </c>
      <c r="O375" s="3"/>
      <c r="P375" s="3"/>
    </row>
    <row r="376" spans="1:16" x14ac:dyDescent="0.3">
      <c r="A376" t="s">
        <v>1177</v>
      </c>
      <c r="B376" s="9" t="s">
        <v>1129</v>
      </c>
      <c r="C376" s="20" t="str">
        <f t="shared" si="5"/>
        <v>May</v>
      </c>
      <c r="D376" t="s">
        <v>1178</v>
      </c>
      <c r="E376" s="10" t="s">
        <v>1179</v>
      </c>
      <c r="F376" t="s">
        <v>64</v>
      </c>
      <c r="G376" t="s">
        <v>33</v>
      </c>
      <c r="H376" t="s">
        <v>69</v>
      </c>
      <c r="I376">
        <v>8</v>
      </c>
      <c r="J376" s="3">
        <v>214.57</v>
      </c>
      <c r="K376" s="2">
        <v>0.05</v>
      </c>
      <c r="L376" s="3">
        <v>1630.73</v>
      </c>
      <c r="M376" s="3">
        <v>140.82</v>
      </c>
      <c r="N376" t="s">
        <v>40</v>
      </c>
      <c r="O376" s="3"/>
      <c r="P376" s="3"/>
    </row>
    <row r="377" spans="1:16" x14ac:dyDescent="0.3">
      <c r="A377" t="s">
        <v>1180</v>
      </c>
      <c r="B377" s="9" t="s">
        <v>124</v>
      </c>
      <c r="C377" s="20" t="str">
        <f t="shared" si="5"/>
        <v>Jun</v>
      </c>
      <c r="D377" t="s">
        <v>1181</v>
      </c>
      <c r="E377" s="10" t="s">
        <v>1182</v>
      </c>
      <c r="F377" t="s">
        <v>64</v>
      </c>
      <c r="G377" t="s">
        <v>33</v>
      </c>
      <c r="H377" t="s">
        <v>74</v>
      </c>
      <c r="I377">
        <v>7</v>
      </c>
      <c r="J377" s="3">
        <v>157.31</v>
      </c>
      <c r="K377" s="2">
        <v>0.1</v>
      </c>
      <c r="L377" s="3">
        <v>991.05</v>
      </c>
      <c r="M377" s="3">
        <v>282.22000000000003</v>
      </c>
      <c r="N377" t="s">
        <v>20</v>
      </c>
      <c r="O377" s="3"/>
      <c r="P377" s="3"/>
    </row>
    <row r="378" spans="1:16" x14ac:dyDescent="0.3">
      <c r="A378" t="s">
        <v>1183</v>
      </c>
      <c r="B378" s="9" t="s">
        <v>331</v>
      </c>
      <c r="C378" s="20" t="str">
        <f t="shared" si="5"/>
        <v>Nov</v>
      </c>
      <c r="D378" t="s">
        <v>1082</v>
      </c>
      <c r="E378" s="10" t="s">
        <v>947</v>
      </c>
      <c r="F378" t="s">
        <v>17</v>
      </c>
      <c r="G378" t="s">
        <v>18</v>
      </c>
      <c r="H378" t="s">
        <v>79</v>
      </c>
      <c r="I378">
        <v>4</v>
      </c>
      <c r="J378" s="3">
        <v>27.69</v>
      </c>
      <c r="K378" s="2">
        <v>0.15</v>
      </c>
      <c r="L378" s="3">
        <v>94.15</v>
      </c>
      <c r="M378" s="3">
        <v>9.77</v>
      </c>
      <c r="N378" t="s">
        <v>20</v>
      </c>
      <c r="O378" s="3"/>
      <c r="P378" s="3"/>
    </row>
    <row r="379" spans="1:16" x14ac:dyDescent="0.3">
      <c r="A379" t="s">
        <v>1184</v>
      </c>
      <c r="B379" s="9" t="s">
        <v>1025</v>
      </c>
      <c r="C379" s="20" t="str">
        <f t="shared" si="5"/>
        <v>Aug</v>
      </c>
      <c r="D379" t="s">
        <v>1185</v>
      </c>
      <c r="E379" s="10" t="s">
        <v>922</v>
      </c>
      <c r="F379" t="s">
        <v>17</v>
      </c>
      <c r="G379" t="s">
        <v>26</v>
      </c>
      <c r="H379" t="s">
        <v>118</v>
      </c>
      <c r="I379">
        <v>5</v>
      </c>
      <c r="J379" s="3">
        <v>69.239999999999995</v>
      </c>
      <c r="K379" s="2">
        <v>0.05</v>
      </c>
      <c r="L379" s="3">
        <v>328.89</v>
      </c>
      <c r="M379" s="3">
        <v>61.49</v>
      </c>
      <c r="N379" t="s">
        <v>20</v>
      </c>
      <c r="O379" s="3"/>
      <c r="P379" s="3"/>
    </row>
    <row r="380" spans="1:16" x14ac:dyDescent="0.3">
      <c r="A380" t="s">
        <v>1186</v>
      </c>
      <c r="B380" s="9" t="s">
        <v>1187</v>
      </c>
      <c r="C380" s="20" t="str">
        <f t="shared" si="5"/>
        <v>May</v>
      </c>
      <c r="D380" t="s">
        <v>1188</v>
      </c>
      <c r="E380" s="10" t="s">
        <v>109</v>
      </c>
      <c r="F380" t="s">
        <v>32</v>
      </c>
      <c r="G380" t="s">
        <v>26</v>
      </c>
      <c r="H380" t="s">
        <v>27</v>
      </c>
      <c r="I380">
        <v>6</v>
      </c>
      <c r="J380" s="3">
        <v>153.08000000000001</v>
      </c>
      <c r="K380" s="2">
        <v>0.1</v>
      </c>
      <c r="L380" s="3">
        <v>826.63</v>
      </c>
      <c r="M380" s="3">
        <v>230.69</v>
      </c>
      <c r="N380" t="s">
        <v>40</v>
      </c>
      <c r="O380" s="3"/>
      <c r="P380" s="3"/>
    </row>
    <row r="381" spans="1:16" x14ac:dyDescent="0.3">
      <c r="A381" t="s">
        <v>1189</v>
      </c>
      <c r="B381" s="9" t="s">
        <v>1190</v>
      </c>
      <c r="C381" s="20" t="str">
        <f t="shared" si="5"/>
        <v>Feb</v>
      </c>
      <c r="D381" t="s">
        <v>1178</v>
      </c>
      <c r="E381" s="10" t="s">
        <v>965</v>
      </c>
      <c r="F381" t="s">
        <v>17</v>
      </c>
      <c r="G381" t="s">
        <v>26</v>
      </c>
      <c r="H381" t="s">
        <v>84</v>
      </c>
      <c r="I381">
        <v>1</v>
      </c>
      <c r="J381" s="3">
        <v>165.73</v>
      </c>
      <c r="K381" s="2">
        <v>0.1</v>
      </c>
      <c r="L381" s="3">
        <v>149.16</v>
      </c>
      <c r="M381" s="3">
        <v>27.62</v>
      </c>
      <c r="N381" t="s">
        <v>35</v>
      </c>
      <c r="O381" s="3"/>
      <c r="P381" s="3"/>
    </row>
    <row r="382" spans="1:16" x14ac:dyDescent="0.3">
      <c r="A382" t="s">
        <v>1191</v>
      </c>
      <c r="B382" s="9" t="s">
        <v>1192</v>
      </c>
      <c r="C382" s="20" t="str">
        <f t="shared" si="5"/>
        <v>Jun</v>
      </c>
      <c r="D382" t="s">
        <v>1193</v>
      </c>
      <c r="E382" s="10" t="s">
        <v>655</v>
      </c>
      <c r="F382" t="s">
        <v>25</v>
      </c>
      <c r="G382" t="s">
        <v>26</v>
      </c>
      <c r="H382" t="s">
        <v>84</v>
      </c>
      <c r="I382">
        <v>2</v>
      </c>
      <c r="J382" s="3">
        <v>92.02</v>
      </c>
      <c r="K382" s="2">
        <v>0.1</v>
      </c>
      <c r="L382" s="3">
        <v>165.64</v>
      </c>
      <c r="M382" s="3">
        <v>16.5</v>
      </c>
      <c r="N382" t="s">
        <v>40</v>
      </c>
      <c r="O382" s="3"/>
      <c r="P382" s="3"/>
    </row>
    <row r="383" spans="1:16" x14ac:dyDescent="0.3">
      <c r="A383" t="s">
        <v>1194</v>
      </c>
      <c r="B383" s="9" t="s">
        <v>188</v>
      </c>
      <c r="C383" s="20" t="str">
        <f t="shared" si="5"/>
        <v>Feb</v>
      </c>
      <c r="D383" t="s">
        <v>1195</v>
      </c>
      <c r="E383" s="10" t="s">
        <v>679</v>
      </c>
      <c r="F383" t="s">
        <v>17</v>
      </c>
      <c r="G383" t="s">
        <v>89</v>
      </c>
      <c r="H383" t="s">
        <v>131</v>
      </c>
      <c r="I383">
        <v>2</v>
      </c>
      <c r="J383" s="3">
        <v>57.93</v>
      </c>
      <c r="K383" s="2">
        <v>0.05</v>
      </c>
      <c r="L383" s="3">
        <v>110.07</v>
      </c>
      <c r="M383" s="3">
        <v>11.08</v>
      </c>
      <c r="N383" t="s">
        <v>20</v>
      </c>
      <c r="O383" s="3"/>
      <c r="P383" s="3"/>
    </row>
    <row r="384" spans="1:16" x14ac:dyDescent="0.3">
      <c r="A384" t="s">
        <v>1196</v>
      </c>
      <c r="B384" s="9" t="s">
        <v>14</v>
      </c>
      <c r="C384" s="20" t="str">
        <f t="shared" si="5"/>
        <v>Aug</v>
      </c>
      <c r="D384" t="s">
        <v>640</v>
      </c>
      <c r="E384" s="10" t="s">
        <v>262</v>
      </c>
      <c r="F384" t="s">
        <v>59</v>
      </c>
      <c r="G384" t="s">
        <v>26</v>
      </c>
      <c r="H384" t="s">
        <v>118</v>
      </c>
      <c r="I384">
        <v>6</v>
      </c>
      <c r="J384" s="3">
        <v>92.03</v>
      </c>
      <c r="K384" s="2">
        <v>0</v>
      </c>
      <c r="L384" s="3">
        <v>552.17999999999995</v>
      </c>
      <c r="M384" s="3">
        <v>82.05</v>
      </c>
      <c r="N384" t="s">
        <v>40</v>
      </c>
      <c r="O384" s="3"/>
      <c r="P384" s="3"/>
    </row>
    <row r="385" spans="1:16" x14ac:dyDescent="0.3">
      <c r="A385" t="s">
        <v>1197</v>
      </c>
      <c r="B385" s="9" t="s">
        <v>1198</v>
      </c>
      <c r="C385" s="20" t="str">
        <f t="shared" si="5"/>
        <v>Jul</v>
      </c>
      <c r="D385" t="s">
        <v>181</v>
      </c>
      <c r="E385" s="10" t="s">
        <v>336</v>
      </c>
      <c r="F385" t="s">
        <v>32</v>
      </c>
      <c r="G385" t="s">
        <v>33</v>
      </c>
      <c r="H385" t="s">
        <v>50</v>
      </c>
      <c r="I385">
        <v>7</v>
      </c>
      <c r="J385" s="3">
        <v>107.36</v>
      </c>
      <c r="K385" s="2">
        <v>0</v>
      </c>
      <c r="L385" s="3">
        <v>751.52</v>
      </c>
      <c r="M385" s="3">
        <v>204.45</v>
      </c>
      <c r="N385" t="s">
        <v>40</v>
      </c>
      <c r="O385" s="3"/>
      <c r="P385" s="3"/>
    </row>
    <row r="386" spans="1:16" x14ac:dyDescent="0.3">
      <c r="A386" t="s">
        <v>1199</v>
      </c>
      <c r="B386" s="9" t="s">
        <v>583</v>
      </c>
      <c r="C386" s="20" t="str">
        <f t="shared" ref="C386:C449" si="6">TEXT(B:B, "mmm")</f>
        <v>Jun</v>
      </c>
      <c r="D386" t="s">
        <v>444</v>
      </c>
      <c r="E386" s="10" t="s">
        <v>645</v>
      </c>
      <c r="F386" t="s">
        <v>59</v>
      </c>
      <c r="G386" t="s">
        <v>89</v>
      </c>
      <c r="H386" t="s">
        <v>90</v>
      </c>
      <c r="I386">
        <v>4</v>
      </c>
      <c r="J386" s="3">
        <v>154.72</v>
      </c>
      <c r="K386" s="2">
        <v>0.15</v>
      </c>
      <c r="L386" s="3">
        <v>526.04999999999995</v>
      </c>
      <c r="M386" s="3">
        <v>99.69</v>
      </c>
      <c r="N386" t="s">
        <v>35</v>
      </c>
      <c r="O386" s="3"/>
      <c r="P386" s="3"/>
    </row>
    <row r="387" spans="1:16" x14ac:dyDescent="0.3">
      <c r="A387" t="s">
        <v>1200</v>
      </c>
      <c r="B387" s="9" t="s">
        <v>210</v>
      </c>
      <c r="C387" s="20" t="str">
        <f t="shared" si="6"/>
        <v>Mar</v>
      </c>
      <c r="D387" t="s">
        <v>1201</v>
      </c>
      <c r="E387" s="10" t="s">
        <v>880</v>
      </c>
      <c r="F387" t="s">
        <v>17</v>
      </c>
      <c r="G387" t="s">
        <v>18</v>
      </c>
      <c r="H387" t="s">
        <v>79</v>
      </c>
      <c r="I387">
        <v>3</v>
      </c>
      <c r="J387" s="3">
        <v>81.150000000000006</v>
      </c>
      <c r="K387" s="2">
        <v>0.1</v>
      </c>
      <c r="L387" s="3">
        <v>219.11</v>
      </c>
      <c r="M387" s="3">
        <v>59.06</v>
      </c>
      <c r="N387" t="s">
        <v>35</v>
      </c>
      <c r="O387" s="3"/>
      <c r="P387" s="3"/>
    </row>
    <row r="388" spans="1:16" x14ac:dyDescent="0.3">
      <c r="A388" t="s">
        <v>1202</v>
      </c>
      <c r="B388" s="9" t="s">
        <v>461</v>
      </c>
      <c r="C388" s="20" t="str">
        <f t="shared" si="6"/>
        <v>Nov</v>
      </c>
      <c r="D388" t="s">
        <v>1203</v>
      </c>
      <c r="E388" s="10" t="s">
        <v>425</v>
      </c>
      <c r="F388" t="s">
        <v>59</v>
      </c>
      <c r="G388" t="s">
        <v>89</v>
      </c>
      <c r="H388" t="s">
        <v>150</v>
      </c>
      <c r="I388">
        <v>2</v>
      </c>
      <c r="J388" s="3">
        <v>177.84</v>
      </c>
      <c r="K388" s="2">
        <v>0</v>
      </c>
      <c r="L388" s="3">
        <v>355.68</v>
      </c>
      <c r="M388" s="3">
        <v>63.29</v>
      </c>
      <c r="N388" t="s">
        <v>35</v>
      </c>
      <c r="O388" s="3"/>
      <c r="P388" s="3"/>
    </row>
    <row r="389" spans="1:16" x14ac:dyDescent="0.3">
      <c r="A389" t="s">
        <v>1204</v>
      </c>
      <c r="B389" s="9" t="s">
        <v>592</v>
      </c>
      <c r="C389" s="20" t="str">
        <f t="shared" si="6"/>
        <v>Aug</v>
      </c>
      <c r="D389" t="s">
        <v>1205</v>
      </c>
      <c r="E389" s="10" t="s">
        <v>472</v>
      </c>
      <c r="F389" t="s">
        <v>32</v>
      </c>
      <c r="G389" t="s">
        <v>89</v>
      </c>
      <c r="H389" t="s">
        <v>150</v>
      </c>
      <c r="I389">
        <v>4</v>
      </c>
      <c r="J389" s="3">
        <v>165.73</v>
      </c>
      <c r="K389" s="2">
        <v>0.1</v>
      </c>
      <c r="L389" s="3">
        <v>596.63</v>
      </c>
      <c r="M389" s="3">
        <v>118.02</v>
      </c>
      <c r="N389" t="s">
        <v>35</v>
      </c>
      <c r="O389" s="3"/>
      <c r="P389" s="3"/>
    </row>
    <row r="390" spans="1:16" x14ac:dyDescent="0.3">
      <c r="A390" t="s">
        <v>1206</v>
      </c>
      <c r="B390" s="9" t="s">
        <v>1207</v>
      </c>
      <c r="C390" s="20" t="str">
        <f t="shared" si="6"/>
        <v>Apr</v>
      </c>
      <c r="D390" t="s">
        <v>1208</v>
      </c>
      <c r="E390" s="10" t="s">
        <v>1209</v>
      </c>
      <c r="F390" t="s">
        <v>59</v>
      </c>
      <c r="G390" t="s">
        <v>18</v>
      </c>
      <c r="H390" t="s">
        <v>19</v>
      </c>
      <c r="I390">
        <v>1</v>
      </c>
      <c r="J390" s="3">
        <v>149.31</v>
      </c>
      <c r="K390" s="2">
        <v>0.05</v>
      </c>
      <c r="L390" s="3">
        <v>141.84</v>
      </c>
      <c r="M390" s="3">
        <v>36.47</v>
      </c>
      <c r="N390" t="s">
        <v>35</v>
      </c>
      <c r="O390" s="3"/>
      <c r="P390" s="3"/>
    </row>
    <row r="391" spans="1:16" x14ac:dyDescent="0.3">
      <c r="A391" t="s">
        <v>1210</v>
      </c>
      <c r="B391" s="9" t="s">
        <v>918</v>
      </c>
      <c r="C391" s="20" t="str">
        <f t="shared" si="6"/>
        <v>May</v>
      </c>
      <c r="D391" t="s">
        <v>218</v>
      </c>
      <c r="E391" s="10" t="s">
        <v>1211</v>
      </c>
      <c r="F391" t="s">
        <v>25</v>
      </c>
      <c r="G391" t="s">
        <v>33</v>
      </c>
      <c r="H391" t="s">
        <v>69</v>
      </c>
      <c r="I391">
        <v>6</v>
      </c>
      <c r="J391" s="3">
        <v>63.41</v>
      </c>
      <c r="K391" s="2">
        <v>0.05</v>
      </c>
      <c r="L391" s="3">
        <v>361.44</v>
      </c>
      <c r="M391" s="3">
        <v>106.11</v>
      </c>
      <c r="N391" t="s">
        <v>40</v>
      </c>
      <c r="O391" s="3"/>
      <c r="P391" s="3"/>
    </row>
    <row r="392" spans="1:16" x14ac:dyDescent="0.3">
      <c r="A392" t="s">
        <v>1212</v>
      </c>
      <c r="B392" s="9" t="s">
        <v>690</v>
      </c>
      <c r="C392" s="20" t="str">
        <f t="shared" si="6"/>
        <v>Jul</v>
      </c>
      <c r="D392" t="s">
        <v>1213</v>
      </c>
      <c r="E392" s="10" t="s">
        <v>1214</v>
      </c>
      <c r="F392" t="s">
        <v>25</v>
      </c>
      <c r="G392" t="s">
        <v>33</v>
      </c>
      <c r="H392" t="s">
        <v>69</v>
      </c>
      <c r="I392">
        <v>1</v>
      </c>
      <c r="J392" s="3">
        <v>177.11</v>
      </c>
      <c r="K392" s="2">
        <v>0</v>
      </c>
      <c r="L392" s="3">
        <v>177.11</v>
      </c>
      <c r="M392" s="3">
        <v>18.260000000000002</v>
      </c>
      <c r="N392" t="s">
        <v>20</v>
      </c>
      <c r="O392" s="3"/>
      <c r="P392" s="3"/>
    </row>
    <row r="393" spans="1:16" x14ac:dyDescent="0.3">
      <c r="A393" t="s">
        <v>1215</v>
      </c>
      <c r="B393" s="9" t="s">
        <v>1216</v>
      </c>
      <c r="C393" s="20" t="str">
        <f t="shared" si="6"/>
        <v>Oct</v>
      </c>
      <c r="D393" t="s">
        <v>1217</v>
      </c>
      <c r="E393" s="10" t="s">
        <v>1218</v>
      </c>
      <c r="F393" t="s">
        <v>25</v>
      </c>
      <c r="G393" t="s">
        <v>89</v>
      </c>
      <c r="H393" t="s">
        <v>90</v>
      </c>
      <c r="I393">
        <v>5</v>
      </c>
      <c r="J393" s="3">
        <v>179.84</v>
      </c>
      <c r="K393" s="2">
        <v>0.15</v>
      </c>
      <c r="L393" s="3">
        <v>764.32</v>
      </c>
      <c r="M393" s="3">
        <v>87.45</v>
      </c>
      <c r="N393" t="s">
        <v>35</v>
      </c>
      <c r="O393" s="3"/>
      <c r="P393" s="3"/>
    </row>
    <row r="394" spans="1:16" x14ac:dyDescent="0.3">
      <c r="A394" t="s">
        <v>1222</v>
      </c>
      <c r="B394" s="9" t="s">
        <v>1112</v>
      </c>
      <c r="C394" s="20" t="str">
        <f t="shared" si="6"/>
        <v>May</v>
      </c>
      <c r="D394" t="s">
        <v>668</v>
      </c>
      <c r="E394" s="10" t="s">
        <v>1064</v>
      </c>
      <c r="F394" t="s">
        <v>32</v>
      </c>
      <c r="G394" t="s">
        <v>26</v>
      </c>
      <c r="H394" t="s">
        <v>27</v>
      </c>
      <c r="I394">
        <v>1</v>
      </c>
      <c r="J394" s="3">
        <v>85.09</v>
      </c>
      <c r="K394" s="2">
        <v>0</v>
      </c>
      <c r="L394" s="3">
        <v>85.09</v>
      </c>
      <c r="M394" s="3">
        <v>17.850000000000001</v>
      </c>
      <c r="N394" t="s">
        <v>20</v>
      </c>
      <c r="O394" s="3"/>
      <c r="P394" s="3"/>
    </row>
    <row r="395" spans="1:16" x14ac:dyDescent="0.3">
      <c r="A395" t="s">
        <v>1223</v>
      </c>
      <c r="B395" s="9" t="s">
        <v>904</v>
      </c>
      <c r="C395" s="20" t="str">
        <f t="shared" si="6"/>
        <v>Apr</v>
      </c>
      <c r="D395" t="s">
        <v>465</v>
      </c>
      <c r="E395" s="10" t="s">
        <v>1224</v>
      </c>
      <c r="F395" t="s">
        <v>25</v>
      </c>
      <c r="G395" t="s">
        <v>89</v>
      </c>
      <c r="H395" t="s">
        <v>131</v>
      </c>
      <c r="I395">
        <v>7</v>
      </c>
      <c r="J395" s="3">
        <v>87.69</v>
      </c>
      <c r="K395" s="2">
        <v>0</v>
      </c>
      <c r="L395" s="3">
        <v>613.83000000000004</v>
      </c>
      <c r="M395" s="3">
        <v>114.83</v>
      </c>
      <c r="N395" t="s">
        <v>20</v>
      </c>
      <c r="O395" s="3"/>
      <c r="P395" s="3"/>
    </row>
    <row r="396" spans="1:16" x14ac:dyDescent="0.3">
      <c r="A396" t="s">
        <v>1225</v>
      </c>
      <c r="B396" s="9" t="s">
        <v>1226</v>
      </c>
      <c r="C396" s="20" t="str">
        <f t="shared" si="6"/>
        <v>Nov</v>
      </c>
      <c r="D396" t="s">
        <v>1227</v>
      </c>
      <c r="E396" s="10" t="s">
        <v>1228</v>
      </c>
      <c r="F396" t="s">
        <v>17</v>
      </c>
      <c r="G396" t="s">
        <v>26</v>
      </c>
      <c r="H396" t="s">
        <v>118</v>
      </c>
      <c r="I396">
        <v>3</v>
      </c>
      <c r="J396" s="3">
        <v>230.86</v>
      </c>
      <c r="K396" s="2">
        <v>0.15</v>
      </c>
      <c r="L396" s="3">
        <v>588.69000000000005</v>
      </c>
      <c r="M396" s="3">
        <v>73.88</v>
      </c>
      <c r="N396" t="s">
        <v>35</v>
      </c>
      <c r="O396" s="3"/>
      <c r="P396" s="3"/>
    </row>
    <row r="397" spans="1:16" x14ac:dyDescent="0.3">
      <c r="A397" t="s">
        <v>1229</v>
      </c>
      <c r="B397" s="9" t="s">
        <v>368</v>
      </c>
      <c r="C397" s="20" t="str">
        <f t="shared" si="6"/>
        <v>Jul</v>
      </c>
      <c r="D397" t="s">
        <v>1230</v>
      </c>
      <c r="E397" s="10" t="s">
        <v>1231</v>
      </c>
      <c r="F397" t="s">
        <v>64</v>
      </c>
      <c r="G397" t="s">
        <v>33</v>
      </c>
      <c r="H397" t="s">
        <v>34</v>
      </c>
      <c r="I397">
        <v>5</v>
      </c>
      <c r="J397" s="3">
        <v>113.13</v>
      </c>
      <c r="K397" s="2">
        <v>0.1</v>
      </c>
      <c r="L397" s="3">
        <v>509.08</v>
      </c>
      <c r="M397" s="3">
        <v>42.17</v>
      </c>
      <c r="N397" t="s">
        <v>40</v>
      </c>
      <c r="O397" s="3"/>
      <c r="P397" s="3"/>
    </row>
    <row r="398" spans="1:16" x14ac:dyDescent="0.3">
      <c r="A398" t="s">
        <v>1232</v>
      </c>
      <c r="B398" s="9" t="s">
        <v>29</v>
      </c>
      <c r="C398" s="20" t="str">
        <f t="shared" si="6"/>
        <v>Jun</v>
      </c>
      <c r="D398" t="s">
        <v>321</v>
      </c>
      <c r="E398" s="10" t="s">
        <v>343</v>
      </c>
      <c r="F398" t="s">
        <v>59</v>
      </c>
      <c r="G398" t="s">
        <v>18</v>
      </c>
      <c r="H398" t="s">
        <v>45</v>
      </c>
      <c r="I398">
        <v>4</v>
      </c>
      <c r="J398" s="3">
        <v>174.52</v>
      </c>
      <c r="K398" s="2">
        <v>0.05</v>
      </c>
      <c r="L398" s="3">
        <v>663.18</v>
      </c>
      <c r="M398" s="3">
        <v>110.4</v>
      </c>
      <c r="N398" t="s">
        <v>40</v>
      </c>
      <c r="O398" s="3"/>
      <c r="P398" s="3"/>
    </row>
    <row r="399" spans="1:16" x14ac:dyDescent="0.3">
      <c r="A399" t="s">
        <v>1233</v>
      </c>
      <c r="B399" s="9" t="s">
        <v>850</v>
      </c>
      <c r="C399" s="20" t="str">
        <f t="shared" si="6"/>
        <v>Mar</v>
      </c>
      <c r="D399" t="s">
        <v>129</v>
      </c>
      <c r="E399" s="10" t="s">
        <v>518</v>
      </c>
      <c r="F399" t="s">
        <v>32</v>
      </c>
      <c r="G399" t="s">
        <v>89</v>
      </c>
      <c r="H399" t="s">
        <v>131</v>
      </c>
      <c r="I399">
        <v>6</v>
      </c>
      <c r="J399" s="3">
        <v>163.97</v>
      </c>
      <c r="K399" s="2">
        <v>0.15</v>
      </c>
      <c r="L399" s="3">
        <v>836.25</v>
      </c>
      <c r="M399" s="3">
        <v>230.41</v>
      </c>
      <c r="N399" t="s">
        <v>20</v>
      </c>
      <c r="O399" s="3"/>
      <c r="P399" s="3"/>
    </row>
    <row r="400" spans="1:16" x14ac:dyDescent="0.3">
      <c r="A400" t="s">
        <v>1234</v>
      </c>
      <c r="B400" s="9" t="s">
        <v>256</v>
      </c>
      <c r="C400" s="20" t="str">
        <f t="shared" si="6"/>
        <v>Mar</v>
      </c>
      <c r="D400" t="s">
        <v>417</v>
      </c>
      <c r="E400" s="10" t="s">
        <v>1235</v>
      </c>
      <c r="F400" t="s">
        <v>25</v>
      </c>
      <c r="G400" t="s">
        <v>33</v>
      </c>
      <c r="H400" t="s">
        <v>50</v>
      </c>
      <c r="I400">
        <v>7</v>
      </c>
      <c r="J400" s="3">
        <v>145.51</v>
      </c>
      <c r="K400" s="2">
        <v>0</v>
      </c>
      <c r="L400" s="3">
        <v>1018.57</v>
      </c>
      <c r="M400" s="3">
        <v>214.24</v>
      </c>
      <c r="N400" t="s">
        <v>35</v>
      </c>
      <c r="O400" s="3"/>
      <c r="P400" s="3"/>
    </row>
    <row r="401" spans="1:16" x14ac:dyDescent="0.3">
      <c r="A401" t="s">
        <v>1236</v>
      </c>
      <c r="B401" s="9" t="s">
        <v>111</v>
      </c>
      <c r="C401" s="20" t="str">
        <f t="shared" si="6"/>
        <v>Apr</v>
      </c>
      <c r="D401" t="s">
        <v>1237</v>
      </c>
      <c r="E401" s="10" t="s">
        <v>347</v>
      </c>
      <c r="F401" t="s">
        <v>25</v>
      </c>
      <c r="G401" t="s">
        <v>33</v>
      </c>
      <c r="H401" t="s">
        <v>50</v>
      </c>
      <c r="I401">
        <v>5</v>
      </c>
      <c r="J401" s="3">
        <v>174.04</v>
      </c>
      <c r="K401" s="2">
        <v>0.05</v>
      </c>
      <c r="L401" s="3">
        <v>826.69</v>
      </c>
      <c r="M401" s="3">
        <v>121.33</v>
      </c>
      <c r="N401" t="s">
        <v>35</v>
      </c>
      <c r="O401" s="3"/>
      <c r="P401" s="3"/>
    </row>
    <row r="402" spans="1:16" x14ac:dyDescent="0.3">
      <c r="A402" t="s">
        <v>1238</v>
      </c>
      <c r="B402" s="9" t="s">
        <v>483</v>
      </c>
      <c r="C402" s="20" t="str">
        <f t="shared" si="6"/>
        <v>Feb</v>
      </c>
      <c r="D402" t="s">
        <v>1239</v>
      </c>
      <c r="E402" s="10" t="s">
        <v>1240</v>
      </c>
      <c r="F402" t="s">
        <v>17</v>
      </c>
      <c r="G402" t="s">
        <v>18</v>
      </c>
      <c r="H402" t="s">
        <v>45</v>
      </c>
      <c r="I402">
        <v>6</v>
      </c>
      <c r="J402" s="3">
        <v>25.61</v>
      </c>
      <c r="K402" s="2">
        <v>0.15</v>
      </c>
      <c r="L402" s="3">
        <v>130.61000000000001</v>
      </c>
      <c r="M402" s="3">
        <v>19.32</v>
      </c>
      <c r="N402" t="s">
        <v>35</v>
      </c>
      <c r="O402" s="3"/>
      <c r="P402" s="3"/>
    </row>
    <row r="403" spans="1:16" x14ac:dyDescent="0.3">
      <c r="A403" t="s">
        <v>1241</v>
      </c>
      <c r="B403" s="9" t="s">
        <v>1242</v>
      </c>
      <c r="C403" s="20" t="str">
        <f t="shared" si="6"/>
        <v>Jun</v>
      </c>
      <c r="D403" t="s">
        <v>417</v>
      </c>
      <c r="E403" s="10" t="s">
        <v>761</v>
      </c>
      <c r="F403" t="s">
        <v>64</v>
      </c>
      <c r="G403" t="s">
        <v>18</v>
      </c>
      <c r="H403" t="s">
        <v>79</v>
      </c>
      <c r="I403">
        <v>2</v>
      </c>
      <c r="J403" s="3">
        <v>214.1</v>
      </c>
      <c r="K403" s="2">
        <v>0.1</v>
      </c>
      <c r="L403" s="3">
        <v>385.38</v>
      </c>
      <c r="M403" s="3">
        <v>39.4</v>
      </c>
      <c r="N403" t="s">
        <v>35</v>
      </c>
      <c r="O403" s="3"/>
      <c r="P403" s="3"/>
    </row>
    <row r="404" spans="1:16" x14ac:dyDescent="0.3">
      <c r="A404" t="s">
        <v>1243</v>
      </c>
      <c r="B404" s="9" t="s">
        <v>71</v>
      </c>
      <c r="C404" s="20" t="str">
        <f t="shared" si="6"/>
        <v>Feb</v>
      </c>
      <c r="D404" t="s">
        <v>1244</v>
      </c>
      <c r="E404" s="10" t="s">
        <v>1245</v>
      </c>
      <c r="F404" t="s">
        <v>32</v>
      </c>
      <c r="G404" t="s">
        <v>26</v>
      </c>
      <c r="H404" t="s">
        <v>27</v>
      </c>
      <c r="I404">
        <v>2</v>
      </c>
      <c r="J404" s="3">
        <v>56.04</v>
      </c>
      <c r="K404" s="2">
        <v>0.15</v>
      </c>
      <c r="L404" s="3">
        <v>95.27</v>
      </c>
      <c r="M404" s="3">
        <v>26.21</v>
      </c>
      <c r="N404" t="s">
        <v>20</v>
      </c>
      <c r="O404" s="3"/>
      <c r="P404" s="3"/>
    </row>
    <row r="405" spans="1:16" x14ac:dyDescent="0.3">
      <c r="A405" t="s">
        <v>1246</v>
      </c>
      <c r="B405" s="9" t="s">
        <v>461</v>
      </c>
      <c r="C405" s="20" t="str">
        <f t="shared" si="6"/>
        <v>Nov</v>
      </c>
      <c r="D405" t="s">
        <v>1247</v>
      </c>
      <c r="E405" s="10" t="s">
        <v>594</v>
      </c>
      <c r="F405" t="s">
        <v>25</v>
      </c>
      <c r="G405" t="s">
        <v>89</v>
      </c>
      <c r="H405" t="s">
        <v>90</v>
      </c>
      <c r="I405">
        <v>3</v>
      </c>
      <c r="J405" s="3">
        <v>108.53</v>
      </c>
      <c r="K405" s="2">
        <v>0</v>
      </c>
      <c r="L405" s="3">
        <v>325.58999999999997</v>
      </c>
      <c r="M405" s="3">
        <v>63.76</v>
      </c>
      <c r="N405" t="s">
        <v>40</v>
      </c>
      <c r="O405" s="3"/>
      <c r="P405" s="3"/>
    </row>
    <row r="406" spans="1:16" x14ac:dyDescent="0.3">
      <c r="A406" t="s">
        <v>1248</v>
      </c>
      <c r="B406" s="9" t="s">
        <v>493</v>
      </c>
      <c r="C406" s="20" t="str">
        <f t="shared" si="6"/>
        <v>Jan</v>
      </c>
      <c r="D406" t="s">
        <v>389</v>
      </c>
      <c r="E406" s="10" t="s">
        <v>233</v>
      </c>
      <c r="F406" t="s">
        <v>32</v>
      </c>
      <c r="G406" t="s">
        <v>18</v>
      </c>
      <c r="H406" t="s">
        <v>45</v>
      </c>
      <c r="I406">
        <v>3</v>
      </c>
      <c r="J406" s="3">
        <v>166.44</v>
      </c>
      <c r="K406" s="2">
        <v>0.15</v>
      </c>
      <c r="L406" s="3">
        <v>424.42</v>
      </c>
      <c r="M406" s="3">
        <v>75.36</v>
      </c>
      <c r="N406" t="s">
        <v>35</v>
      </c>
      <c r="O406" s="3"/>
      <c r="P406" s="3"/>
    </row>
    <row r="407" spans="1:16" x14ac:dyDescent="0.3">
      <c r="A407" t="s">
        <v>1249</v>
      </c>
      <c r="B407" s="9" t="s">
        <v>108</v>
      </c>
      <c r="C407" s="20" t="str">
        <f t="shared" si="6"/>
        <v>May</v>
      </c>
      <c r="D407" t="s">
        <v>1060</v>
      </c>
      <c r="E407" s="10" t="s">
        <v>1250</v>
      </c>
      <c r="F407" t="s">
        <v>32</v>
      </c>
      <c r="G407" t="s">
        <v>33</v>
      </c>
      <c r="H407" t="s">
        <v>74</v>
      </c>
      <c r="I407">
        <v>6</v>
      </c>
      <c r="J407" s="3">
        <v>87.08</v>
      </c>
      <c r="K407" s="2">
        <v>0.05</v>
      </c>
      <c r="L407" s="3">
        <v>496.36</v>
      </c>
      <c r="M407" s="3">
        <v>78.8</v>
      </c>
      <c r="N407" t="s">
        <v>40</v>
      </c>
      <c r="O407" s="3"/>
      <c r="P407" s="3"/>
    </row>
    <row r="408" spans="1:16" x14ac:dyDescent="0.3">
      <c r="A408" t="s">
        <v>1251</v>
      </c>
      <c r="B408" s="9" t="s">
        <v>1252</v>
      </c>
      <c r="C408" s="20" t="str">
        <f t="shared" si="6"/>
        <v>Oct</v>
      </c>
      <c r="D408" t="s">
        <v>211</v>
      </c>
      <c r="E408" s="10" t="s">
        <v>521</v>
      </c>
      <c r="F408" t="s">
        <v>59</v>
      </c>
      <c r="G408" t="s">
        <v>89</v>
      </c>
      <c r="H408" t="s">
        <v>150</v>
      </c>
      <c r="I408">
        <v>1</v>
      </c>
      <c r="J408" s="3">
        <v>106.49</v>
      </c>
      <c r="K408" s="2">
        <v>0.05</v>
      </c>
      <c r="L408" s="3">
        <v>101.17</v>
      </c>
      <c r="M408" s="3">
        <v>16.43</v>
      </c>
      <c r="N408" t="s">
        <v>40</v>
      </c>
      <c r="O408" s="3"/>
      <c r="P408" s="3"/>
    </row>
    <row r="409" spans="1:16" x14ac:dyDescent="0.3">
      <c r="A409" t="s">
        <v>1253</v>
      </c>
      <c r="B409" s="9" t="s">
        <v>1254</v>
      </c>
      <c r="C409" s="20" t="str">
        <f t="shared" si="6"/>
        <v>Dec</v>
      </c>
      <c r="D409" t="s">
        <v>1255</v>
      </c>
      <c r="E409" s="10" t="s">
        <v>1064</v>
      </c>
      <c r="F409" t="s">
        <v>17</v>
      </c>
      <c r="G409" t="s">
        <v>18</v>
      </c>
      <c r="H409" t="s">
        <v>79</v>
      </c>
      <c r="I409">
        <v>1</v>
      </c>
      <c r="J409" s="3">
        <v>178.27</v>
      </c>
      <c r="K409" s="2">
        <v>0.05</v>
      </c>
      <c r="L409" s="3">
        <v>169.36</v>
      </c>
      <c r="M409" s="3">
        <v>39.450000000000003</v>
      </c>
      <c r="N409" t="s">
        <v>40</v>
      </c>
      <c r="O409" s="3"/>
      <c r="P409" s="3"/>
    </row>
    <row r="410" spans="1:16" x14ac:dyDescent="0.3">
      <c r="A410" t="s">
        <v>1256</v>
      </c>
      <c r="B410" s="9" t="s">
        <v>943</v>
      </c>
      <c r="C410" s="20" t="str">
        <f t="shared" si="6"/>
        <v>Feb</v>
      </c>
      <c r="D410" t="s">
        <v>1257</v>
      </c>
      <c r="E410" s="10" t="s">
        <v>1258</v>
      </c>
      <c r="F410" t="s">
        <v>25</v>
      </c>
      <c r="G410" t="s">
        <v>18</v>
      </c>
      <c r="H410" t="s">
        <v>45</v>
      </c>
      <c r="I410">
        <v>5</v>
      </c>
      <c r="J410" s="3">
        <v>117.57</v>
      </c>
      <c r="K410" s="2">
        <v>0</v>
      </c>
      <c r="L410" s="3">
        <v>587.85</v>
      </c>
      <c r="M410" s="3">
        <v>59.88</v>
      </c>
      <c r="N410" t="s">
        <v>35</v>
      </c>
      <c r="O410" s="3"/>
      <c r="P410" s="3"/>
    </row>
    <row r="411" spans="1:16" x14ac:dyDescent="0.3">
      <c r="A411" t="s">
        <v>1259</v>
      </c>
      <c r="B411" s="9" t="s">
        <v>1260</v>
      </c>
      <c r="C411" s="20" t="str">
        <f t="shared" si="6"/>
        <v>May</v>
      </c>
      <c r="D411" t="s">
        <v>511</v>
      </c>
      <c r="E411" s="10" t="s">
        <v>1261</v>
      </c>
      <c r="F411" t="s">
        <v>32</v>
      </c>
      <c r="G411" t="s">
        <v>26</v>
      </c>
      <c r="H411" t="s">
        <v>27</v>
      </c>
      <c r="I411">
        <v>2</v>
      </c>
      <c r="J411" s="3">
        <v>228.88</v>
      </c>
      <c r="K411" s="2">
        <v>0</v>
      </c>
      <c r="L411" s="3">
        <v>457.76</v>
      </c>
      <c r="M411" s="3">
        <v>111.12</v>
      </c>
      <c r="N411" t="s">
        <v>40</v>
      </c>
      <c r="O411" s="3"/>
      <c r="P411" s="3"/>
    </row>
    <row r="412" spans="1:16" x14ac:dyDescent="0.3">
      <c r="A412" t="s">
        <v>1262</v>
      </c>
      <c r="B412" s="9" t="s">
        <v>1263</v>
      </c>
      <c r="C412" s="20" t="str">
        <f t="shared" si="6"/>
        <v>Dec</v>
      </c>
      <c r="D412" t="s">
        <v>1063</v>
      </c>
      <c r="E412" s="10" t="s">
        <v>1264</v>
      </c>
      <c r="F412" t="s">
        <v>64</v>
      </c>
      <c r="G412" t="s">
        <v>18</v>
      </c>
      <c r="H412" t="s">
        <v>45</v>
      </c>
      <c r="I412">
        <v>6</v>
      </c>
      <c r="J412" s="3">
        <v>135.22</v>
      </c>
      <c r="K412" s="2">
        <v>0.1</v>
      </c>
      <c r="L412" s="3">
        <v>730.19</v>
      </c>
      <c r="M412" s="3">
        <v>88.88</v>
      </c>
      <c r="N412" t="s">
        <v>20</v>
      </c>
      <c r="O412" s="3"/>
      <c r="P412" s="3"/>
    </row>
    <row r="413" spans="1:16" x14ac:dyDescent="0.3">
      <c r="A413" t="s">
        <v>1265</v>
      </c>
      <c r="B413" s="9" t="s">
        <v>1112</v>
      </c>
      <c r="C413" s="20" t="str">
        <f t="shared" si="6"/>
        <v>May</v>
      </c>
      <c r="D413" t="s">
        <v>421</v>
      </c>
      <c r="E413" s="10" t="s">
        <v>1163</v>
      </c>
      <c r="F413" t="s">
        <v>25</v>
      </c>
      <c r="G413" t="s">
        <v>26</v>
      </c>
      <c r="H413" t="s">
        <v>118</v>
      </c>
      <c r="I413">
        <v>1</v>
      </c>
      <c r="J413" s="3">
        <v>77.12</v>
      </c>
      <c r="K413" s="2">
        <v>0.1</v>
      </c>
      <c r="L413" s="3">
        <v>69.41</v>
      </c>
      <c r="M413" s="3">
        <v>20.28</v>
      </c>
      <c r="N413" t="s">
        <v>40</v>
      </c>
      <c r="O413" s="3"/>
      <c r="P413" s="3"/>
    </row>
    <row r="414" spans="1:16" x14ac:dyDescent="0.3">
      <c r="A414" t="s">
        <v>1266</v>
      </c>
      <c r="B414" s="9" t="s">
        <v>1267</v>
      </c>
      <c r="C414" s="20" t="str">
        <f t="shared" si="6"/>
        <v>Aug</v>
      </c>
      <c r="D414" t="s">
        <v>1268</v>
      </c>
      <c r="E414" s="10" t="s">
        <v>1269</v>
      </c>
      <c r="F414" t="s">
        <v>17</v>
      </c>
      <c r="G414" t="s">
        <v>33</v>
      </c>
      <c r="H414" t="s">
        <v>34</v>
      </c>
      <c r="I414">
        <v>4</v>
      </c>
      <c r="J414" s="3">
        <v>208.87</v>
      </c>
      <c r="K414" s="2">
        <v>0</v>
      </c>
      <c r="L414" s="3">
        <v>835.48</v>
      </c>
      <c r="M414" s="3">
        <v>239.65</v>
      </c>
      <c r="N414" t="s">
        <v>40</v>
      </c>
      <c r="O414" s="3"/>
      <c r="P414" s="3"/>
    </row>
    <row r="415" spans="1:16" x14ac:dyDescent="0.3">
      <c r="A415" t="s">
        <v>1270</v>
      </c>
      <c r="B415" s="9" t="s">
        <v>355</v>
      </c>
      <c r="C415" s="20" t="str">
        <f t="shared" si="6"/>
        <v>Jan</v>
      </c>
      <c r="D415" t="s">
        <v>1271</v>
      </c>
      <c r="E415" s="10" t="s">
        <v>1272</v>
      </c>
      <c r="F415" t="s">
        <v>64</v>
      </c>
      <c r="G415" t="s">
        <v>33</v>
      </c>
      <c r="H415" t="s">
        <v>34</v>
      </c>
      <c r="I415">
        <v>1</v>
      </c>
      <c r="J415" s="3">
        <v>237.03</v>
      </c>
      <c r="K415" s="2">
        <v>0</v>
      </c>
      <c r="L415" s="3">
        <v>237.03</v>
      </c>
      <c r="M415" s="3">
        <v>27.99</v>
      </c>
      <c r="N415" t="s">
        <v>40</v>
      </c>
      <c r="O415" s="3"/>
      <c r="P415" s="3"/>
    </row>
    <row r="416" spans="1:16" x14ac:dyDescent="0.3">
      <c r="A416" t="s">
        <v>1273</v>
      </c>
      <c r="B416" s="9" t="s">
        <v>530</v>
      </c>
      <c r="C416" s="20" t="str">
        <f t="shared" si="6"/>
        <v>Mar</v>
      </c>
      <c r="D416" t="s">
        <v>994</v>
      </c>
      <c r="E416" s="10" t="s">
        <v>1274</v>
      </c>
      <c r="F416" t="s">
        <v>25</v>
      </c>
      <c r="G416" t="s">
        <v>26</v>
      </c>
      <c r="H416" t="s">
        <v>27</v>
      </c>
      <c r="I416">
        <v>3</v>
      </c>
      <c r="J416" s="3">
        <v>115.58</v>
      </c>
      <c r="K416" s="2">
        <v>0.05</v>
      </c>
      <c r="L416" s="3">
        <v>329.4</v>
      </c>
      <c r="M416" s="3">
        <v>42.12</v>
      </c>
      <c r="N416" t="s">
        <v>35</v>
      </c>
      <c r="O416" s="3"/>
      <c r="P416" s="3"/>
    </row>
    <row r="417" spans="1:16" x14ac:dyDescent="0.3">
      <c r="A417" t="s">
        <v>1275</v>
      </c>
      <c r="B417" s="9" t="s">
        <v>1276</v>
      </c>
      <c r="C417" s="20" t="str">
        <f t="shared" si="6"/>
        <v>Jul</v>
      </c>
      <c r="D417" t="s">
        <v>1277</v>
      </c>
      <c r="E417" s="10" t="s">
        <v>1278</v>
      </c>
      <c r="F417" t="s">
        <v>32</v>
      </c>
      <c r="G417" t="s">
        <v>26</v>
      </c>
      <c r="H417" t="s">
        <v>84</v>
      </c>
      <c r="I417">
        <v>1</v>
      </c>
      <c r="J417" s="3">
        <v>141.72999999999999</v>
      </c>
      <c r="K417" s="2">
        <v>0.15</v>
      </c>
      <c r="L417" s="3">
        <v>120.47</v>
      </c>
      <c r="M417" s="3">
        <v>19.510000000000002</v>
      </c>
      <c r="N417" t="s">
        <v>40</v>
      </c>
      <c r="O417" s="3"/>
      <c r="P417" s="3"/>
    </row>
    <row r="418" spans="1:16" x14ac:dyDescent="0.3">
      <c r="A418" t="s">
        <v>1279</v>
      </c>
      <c r="B418" s="9" t="s">
        <v>1280</v>
      </c>
      <c r="C418" s="20" t="str">
        <f t="shared" si="6"/>
        <v>Apr</v>
      </c>
      <c r="D418" t="s">
        <v>314</v>
      </c>
      <c r="E418" s="10" t="s">
        <v>594</v>
      </c>
      <c r="F418" t="s">
        <v>17</v>
      </c>
      <c r="G418" t="s">
        <v>89</v>
      </c>
      <c r="H418" t="s">
        <v>150</v>
      </c>
      <c r="I418">
        <v>8</v>
      </c>
      <c r="J418" s="3">
        <v>99.07</v>
      </c>
      <c r="K418" s="2">
        <v>0.05</v>
      </c>
      <c r="L418" s="3">
        <v>752.93</v>
      </c>
      <c r="M418" s="3">
        <v>211.21</v>
      </c>
      <c r="N418" t="s">
        <v>20</v>
      </c>
      <c r="O418" s="3"/>
      <c r="P418" s="3"/>
    </row>
    <row r="419" spans="1:16" x14ac:dyDescent="0.3">
      <c r="A419" t="s">
        <v>1281</v>
      </c>
      <c r="B419" s="9" t="s">
        <v>506</v>
      </c>
      <c r="C419" s="20" t="str">
        <f t="shared" si="6"/>
        <v>Feb</v>
      </c>
      <c r="D419" t="s">
        <v>93</v>
      </c>
      <c r="E419" s="10" t="s">
        <v>182</v>
      </c>
      <c r="F419" t="s">
        <v>17</v>
      </c>
      <c r="G419" t="s">
        <v>33</v>
      </c>
      <c r="H419" t="s">
        <v>74</v>
      </c>
      <c r="I419">
        <v>4</v>
      </c>
      <c r="J419" s="3">
        <v>222.32</v>
      </c>
      <c r="K419" s="2">
        <v>0.15</v>
      </c>
      <c r="L419" s="3">
        <v>755.89</v>
      </c>
      <c r="M419" s="3">
        <v>102.88</v>
      </c>
      <c r="N419" t="s">
        <v>35</v>
      </c>
      <c r="O419" s="3"/>
      <c r="P419" s="3"/>
    </row>
    <row r="420" spans="1:16" x14ac:dyDescent="0.3">
      <c r="A420" t="s">
        <v>1282</v>
      </c>
      <c r="B420" s="9" t="s">
        <v>506</v>
      </c>
      <c r="C420" s="20" t="str">
        <f t="shared" si="6"/>
        <v>Feb</v>
      </c>
      <c r="D420" t="s">
        <v>1283</v>
      </c>
      <c r="E420" s="10" t="s">
        <v>1027</v>
      </c>
      <c r="F420" t="s">
        <v>25</v>
      </c>
      <c r="G420" t="s">
        <v>26</v>
      </c>
      <c r="H420" t="s">
        <v>118</v>
      </c>
      <c r="I420">
        <v>7</v>
      </c>
      <c r="J420" s="3">
        <v>224.59</v>
      </c>
      <c r="K420" s="2">
        <v>0</v>
      </c>
      <c r="L420" s="3">
        <v>1572.13</v>
      </c>
      <c r="M420" s="3">
        <v>328.72</v>
      </c>
      <c r="N420" t="s">
        <v>35</v>
      </c>
      <c r="O420" s="3"/>
      <c r="P420" s="3"/>
    </row>
    <row r="421" spans="1:16" x14ac:dyDescent="0.3">
      <c r="A421" t="s">
        <v>1284</v>
      </c>
      <c r="B421" s="9" t="s">
        <v>1276</v>
      </c>
      <c r="C421" s="20" t="str">
        <f t="shared" si="6"/>
        <v>Jul</v>
      </c>
      <c r="D421" t="s">
        <v>177</v>
      </c>
      <c r="E421" s="10" t="s">
        <v>546</v>
      </c>
      <c r="F421" t="s">
        <v>17</v>
      </c>
      <c r="G421" t="s">
        <v>18</v>
      </c>
      <c r="H421" t="s">
        <v>45</v>
      </c>
      <c r="I421">
        <v>7</v>
      </c>
      <c r="J421" s="3">
        <v>136.26</v>
      </c>
      <c r="K421" s="2">
        <v>0.05</v>
      </c>
      <c r="L421" s="3">
        <v>906.13</v>
      </c>
      <c r="M421" s="3">
        <v>180</v>
      </c>
      <c r="N421" t="s">
        <v>40</v>
      </c>
      <c r="O421" s="3"/>
      <c r="P421" s="3"/>
    </row>
    <row r="422" spans="1:16" x14ac:dyDescent="0.3">
      <c r="A422" t="s">
        <v>1285</v>
      </c>
      <c r="B422" s="9" t="s">
        <v>128</v>
      </c>
      <c r="C422" s="20" t="str">
        <f t="shared" si="6"/>
        <v>Jul</v>
      </c>
      <c r="D422" t="s">
        <v>490</v>
      </c>
      <c r="E422" s="10" t="s">
        <v>1286</v>
      </c>
      <c r="F422" t="s">
        <v>25</v>
      </c>
      <c r="G422" t="s">
        <v>26</v>
      </c>
      <c r="H422" t="s">
        <v>84</v>
      </c>
      <c r="I422">
        <v>7</v>
      </c>
      <c r="J422" s="3">
        <v>126.86</v>
      </c>
      <c r="K422" s="2">
        <v>0</v>
      </c>
      <c r="L422" s="3">
        <v>888.02</v>
      </c>
      <c r="M422" s="3">
        <v>261.79000000000002</v>
      </c>
      <c r="N422" t="s">
        <v>20</v>
      </c>
      <c r="O422" s="3"/>
      <c r="P422" s="3"/>
    </row>
    <row r="423" spans="1:16" x14ac:dyDescent="0.3">
      <c r="A423" t="s">
        <v>1287</v>
      </c>
      <c r="B423" s="9" t="s">
        <v>1049</v>
      </c>
      <c r="C423" s="20" t="str">
        <f t="shared" si="6"/>
        <v>Aug</v>
      </c>
      <c r="D423" t="s">
        <v>1288</v>
      </c>
      <c r="E423" s="10" t="s">
        <v>618</v>
      </c>
      <c r="F423" t="s">
        <v>32</v>
      </c>
      <c r="G423" t="s">
        <v>18</v>
      </c>
      <c r="H423" t="s">
        <v>79</v>
      </c>
      <c r="I423">
        <v>5</v>
      </c>
      <c r="J423" s="3">
        <v>83.45</v>
      </c>
      <c r="K423" s="2">
        <v>0.15</v>
      </c>
      <c r="L423" s="3">
        <v>354.66</v>
      </c>
      <c r="M423" s="3">
        <v>43.15</v>
      </c>
      <c r="N423" t="s">
        <v>20</v>
      </c>
      <c r="O423" s="3"/>
      <c r="P423" s="3"/>
    </row>
    <row r="424" spans="1:16" x14ac:dyDescent="0.3">
      <c r="A424" t="s">
        <v>1289</v>
      </c>
      <c r="B424" s="9" t="s">
        <v>1129</v>
      </c>
      <c r="C424" s="20" t="str">
        <f t="shared" si="6"/>
        <v>May</v>
      </c>
      <c r="D424" t="s">
        <v>1290</v>
      </c>
      <c r="E424" s="10" t="s">
        <v>1291</v>
      </c>
      <c r="F424" t="s">
        <v>59</v>
      </c>
      <c r="G424" t="s">
        <v>26</v>
      </c>
      <c r="H424" t="s">
        <v>27</v>
      </c>
      <c r="I424">
        <v>8</v>
      </c>
      <c r="J424" s="3">
        <v>143.5</v>
      </c>
      <c r="K424" s="2">
        <v>0.1</v>
      </c>
      <c r="L424" s="3">
        <v>1033.2</v>
      </c>
      <c r="M424" s="3">
        <v>156.04</v>
      </c>
      <c r="N424" t="s">
        <v>35</v>
      </c>
      <c r="O424" s="3"/>
      <c r="P424" s="3"/>
    </row>
    <row r="425" spans="1:16" x14ac:dyDescent="0.3">
      <c r="A425" t="s">
        <v>1292</v>
      </c>
      <c r="B425" s="9" t="s">
        <v>264</v>
      </c>
      <c r="C425" s="20" t="str">
        <f t="shared" si="6"/>
        <v>Jan</v>
      </c>
      <c r="D425" t="s">
        <v>1293</v>
      </c>
      <c r="E425" s="10" t="s">
        <v>976</v>
      </c>
      <c r="F425" t="s">
        <v>32</v>
      </c>
      <c r="G425" t="s">
        <v>33</v>
      </c>
      <c r="H425" t="s">
        <v>69</v>
      </c>
      <c r="I425">
        <v>2</v>
      </c>
      <c r="J425" s="3">
        <v>124.67</v>
      </c>
      <c r="K425" s="2">
        <v>0.1</v>
      </c>
      <c r="L425" s="3">
        <v>224.41</v>
      </c>
      <c r="M425" s="3">
        <v>32.18</v>
      </c>
      <c r="N425" t="s">
        <v>35</v>
      </c>
      <c r="O425" s="3"/>
      <c r="P425" s="3"/>
    </row>
    <row r="426" spans="1:16" x14ac:dyDescent="0.3">
      <c r="A426" t="s">
        <v>1294</v>
      </c>
      <c r="B426" s="9" t="s">
        <v>111</v>
      </c>
      <c r="C426" s="20" t="str">
        <f t="shared" si="6"/>
        <v>Apr</v>
      </c>
      <c r="D426" t="s">
        <v>490</v>
      </c>
      <c r="E426" s="10" t="s">
        <v>1295</v>
      </c>
      <c r="F426" t="s">
        <v>64</v>
      </c>
      <c r="G426" t="s">
        <v>33</v>
      </c>
      <c r="H426" t="s">
        <v>74</v>
      </c>
      <c r="I426">
        <v>6</v>
      </c>
      <c r="J426" s="3">
        <v>246.71</v>
      </c>
      <c r="K426" s="2">
        <v>0.15</v>
      </c>
      <c r="L426" s="3">
        <v>1258.22</v>
      </c>
      <c r="M426" s="3">
        <v>244.65</v>
      </c>
      <c r="N426" t="s">
        <v>40</v>
      </c>
      <c r="O426" s="3"/>
      <c r="P426" s="3"/>
    </row>
    <row r="427" spans="1:16" x14ac:dyDescent="0.3">
      <c r="A427" t="s">
        <v>1296</v>
      </c>
      <c r="B427" s="9" t="s">
        <v>957</v>
      </c>
      <c r="C427" s="20" t="str">
        <f t="shared" si="6"/>
        <v>Nov</v>
      </c>
      <c r="D427" t="s">
        <v>144</v>
      </c>
      <c r="E427" s="10" t="s">
        <v>1209</v>
      </c>
      <c r="F427" t="s">
        <v>25</v>
      </c>
      <c r="G427" t="s">
        <v>33</v>
      </c>
      <c r="H427" t="s">
        <v>50</v>
      </c>
      <c r="I427">
        <v>1</v>
      </c>
      <c r="J427" s="3">
        <v>91.66</v>
      </c>
      <c r="K427" s="2">
        <v>0.1</v>
      </c>
      <c r="L427" s="3">
        <v>82.49</v>
      </c>
      <c r="M427" s="3">
        <v>9.8000000000000007</v>
      </c>
      <c r="N427" t="s">
        <v>40</v>
      </c>
      <c r="O427" s="3"/>
      <c r="P427" s="3"/>
    </row>
    <row r="428" spans="1:16" x14ac:dyDescent="0.3">
      <c r="A428" t="s">
        <v>1297</v>
      </c>
      <c r="B428" s="9" t="s">
        <v>1298</v>
      </c>
      <c r="C428" s="20" t="str">
        <f t="shared" si="6"/>
        <v>Apr</v>
      </c>
      <c r="D428" t="s">
        <v>1299</v>
      </c>
      <c r="E428" s="10" t="s">
        <v>1300</v>
      </c>
      <c r="F428" t="s">
        <v>64</v>
      </c>
      <c r="G428" t="s">
        <v>26</v>
      </c>
      <c r="H428" t="s">
        <v>118</v>
      </c>
      <c r="I428">
        <v>2</v>
      </c>
      <c r="J428" s="3">
        <v>86.54</v>
      </c>
      <c r="K428" s="2">
        <v>0.1</v>
      </c>
      <c r="L428" s="3">
        <v>155.77000000000001</v>
      </c>
      <c r="M428" s="3">
        <v>40.67</v>
      </c>
      <c r="N428" t="s">
        <v>35</v>
      </c>
      <c r="O428" s="3"/>
      <c r="P428" s="3"/>
    </row>
    <row r="429" spans="1:16" x14ac:dyDescent="0.3">
      <c r="A429" t="s">
        <v>1301</v>
      </c>
      <c r="B429" s="9" t="s">
        <v>611</v>
      </c>
      <c r="C429" s="20" t="str">
        <f t="shared" si="6"/>
        <v>Jul</v>
      </c>
      <c r="D429" t="s">
        <v>1302</v>
      </c>
      <c r="E429" s="10" t="s">
        <v>1303</v>
      </c>
      <c r="F429" t="s">
        <v>25</v>
      </c>
      <c r="G429" t="s">
        <v>33</v>
      </c>
      <c r="H429" t="s">
        <v>34</v>
      </c>
      <c r="I429">
        <v>3</v>
      </c>
      <c r="J429" s="3">
        <v>190.96</v>
      </c>
      <c r="K429" s="2">
        <v>0</v>
      </c>
      <c r="L429" s="3">
        <v>572.88</v>
      </c>
      <c r="M429" s="3">
        <v>150.4</v>
      </c>
      <c r="N429" t="s">
        <v>20</v>
      </c>
      <c r="O429" s="3"/>
      <c r="P429" s="3"/>
    </row>
    <row r="430" spans="1:16" x14ac:dyDescent="0.3">
      <c r="A430" t="s">
        <v>1304</v>
      </c>
      <c r="B430" s="9" t="s">
        <v>1216</v>
      </c>
      <c r="C430" s="20" t="str">
        <f t="shared" si="6"/>
        <v>Oct</v>
      </c>
      <c r="D430" t="s">
        <v>1305</v>
      </c>
      <c r="E430" s="10" t="s">
        <v>927</v>
      </c>
      <c r="F430" t="s">
        <v>32</v>
      </c>
      <c r="G430" t="s">
        <v>33</v>
      </c>
      <c r="H430" t="s">
        <v>34</v>
      </c>
      <c r="I430">
        <v>8</v>
      </c>
      <c r="J430" s="3">
        <v>180.97</v>
      </c>
      <c r="K430" s="2">
        <v>0</v>
      </c>
      <c r="L430" s="3">
        <v>1447.76</v>
      </c>
      <c r="M430" s="3">
        <v>282.41000000000003</v>
      </c>
      <c r="N430" t="s">
        <v>40</v>
      </c>
      <c r="O430" s="3"/>
      <c r="P430" s="3"/>
    </row>
    <row r="431" spans="1:16" x14ac:dyDescent="0.3">
      <c r="A431" t="s">
        <v>1306</v>
      </c>
      <c r="B431" s="9" t="s">
        <v>1307</v>
      </c>
      <c r="C431" s="20" t="str">
        <f t="shared" si="6"/>
        <v>Jan</v>
      </c>
      <c r="D431" t="s">
        <v>894</v>
      </c>
      <c r="E431" s="10" t="s">
        <v>1308</v>
      </c>
      <c r="F431" t="s">
        <v>32</v>
      </c>
      <c r="G431" t="s">
        <v>89</v>
      </c>
      <c r="H431" t="s">
        <v>150</v>
      </c>
      <c r="I431">
        <v>7</v>
      </c>
      <c r="J431" s="3">
        <v>63.1</v>
      </c>
      <c r="K431" s="2">
        <v>0.15</v>
      </c>
      <c r="L431" s="3">
        <v>375.44</v>
      </c>
      <c r="M431" s="3">
        <v>53.23</v>
      </c>
      <c r="N431" t="s">
        <v>40</v>
      </c>
      <c r="O431" s="3"/>
      <c r="P431" s="3"/>
    </row>
    <row r="432" spans="1:16" x14ac:dyDescent="0.3">
      <c r="A432" t="s">
        <v>1309</v>
      </c>
      <c r="B432" s="9" t="s">
        <v>665</v>
      </c>
      <c r="C432" s="20" t="str">
        <f t="shared" si="6"/>
        <v>Aug</v>
      </c>
      <c r="D432" t="s">
        <v>1310</v>
      </c>
      <c r="E432" s="10" t="s">
        <v>1295</v>
      </c>
      <c r="F432" t="s">
        <v>32</v>
      </c>
      <c r="G432" t="s">
        <v>33</v>
      </c>
      <c r="H432" t="s">
        <v>34</v>
      </c>
      <c r="I432">
        <v>7</v>
      </c>
      <c r="J432" s="3">
        <v>25.62</v>
      </c>
      <c r="K432" s="2">
        <v>0.1</v>
      </c>
      <c r="L432" s="3">
        <v>161.41</v>
      </c>
      <c r="M432" s="3">
        <v>27.31</v>
      </c>
      <c r="N432" t="s">
        <v>20</v>
      </c>
      <c r="O432" s="3"/>
      <c r="P432" s="3"/>
    </row>
    <row r="433" spans="1:16" x14ac:dyDescent="0.3">
      <c r="A433" t="s">
        <v>1311</v>
      </c>
      <c r="B433" s="9" t="s">
        <v>1260</v>
      </c>
      <c r="C433" s="20" t="str">
        <f t="shared" si="6"/>
        <v>May</v>
      </c>
      <c r="D433" t="s">
        <v>1312</v>
      </c>
      <c r="E433" s="10" t="s">
        <v>495</v>
      </c>
      <c r="F433" t="s">
        <v>25</v>
      </c>
      <c r="G433" t="s">
        <v>18</v>
      </c>
      <c r="H433" t="s">
        <v>45</v>
      </c>
      <c r="I433">
        <v>5</v>
      </c>
      <c r="J433" s="3">
        <v>80.290000000000006</v>
      </c>
      <c r="K433" s="2">
        <v>0.1</v>
      </c>
      <c r="L433" s="3">
        <v>361.31</v>
      </c>
      <c r="M433" s="3">
        <v>43.02</v>
      </c>
      <c r="N433" t="s">
        <v>35</v>
      </c>
      <c r="O433" s="3"/>
      <c r="P433" s="3"/>
    </row>
    <row r="434" spans="1:16" x14ac:dyDescent="0.3">
      <c r="A434" t="s">
        <v>1313</v>
      </c>
      <c r="B434" s="9" t="s">
        <v>1190</v>
      </c>
      <c r="C434" s="20" t="str">
        <f t="shared" si="6"/>
        <v>Feb</v>
      </c>
      <c r="D434" t="s">
        <v>1314</v>
      </c>
      <c r="E434" s="10" t="s">
        <v>1315</v>
      </c>
      <c r="F434" t="s">
        <v>17</v>
      </c>
      <c r="G434" t="s">
        <v>26</v>
      </c>
      <c r="H434" t="s">
        <v>27</v>
      </c>
      <c r="I434">
        <v>5</v>
      </c>
      <c r="J434" s="3">
        <v>184.01</v>
      </c>
      <c r="K434" s="2">
        <v>0.05</v>
      </c>
      <c r="L434" s="3">
        <v>874.05</v>
      </c>
      <c r="M434" s="3">
        <v>245.92</v>
      </c>
      <c r="N434" t="s">
        <v>40</v>
      </c>
      <c r="O434" s="3"/>
      <c r="P434" s="3"/>
    </row>
    <row r="435" spans="1:16" x14ac:dyDescent="0.3">
      <c r="A435" t="s">
        <v>1318</v>
      </c>
      <c r="B435" s="9" t="s">
        <v>286</v>
      </c>
      <c r="C435" s="20" t="str">
        <f t="shared" si="6"/>
        <v>Mar</v>
      </c>
      <c r="D435" t="s">
        <v>1087</v>
      </c>
      <c r="E435" s="10" t="s">
        <v>343</v>
      </c>
      <c r="F435" t="s">
        <v>59</v>
      </c>
      <c r="G435" t="s">
        <v>33</v>
      </c>
      <c r="H435" t="s">
        <v>74</v>
      </c>
      <c r="I435">
        <v>8</v>
      </c>
      <c r="J435" s="3">
        <v>228.75</v>
      </c>
      <c r="K435" s="2">
        <v>0.15</v>
      </c>
      <c r="L435" s="3">
        <v>1555.5</v>
      </c>
      <c r="M435" s="3">
        <v>376.68</v>
      </c>
      <c r="N435" t="s">
        <v>35</v>
      </c>
      <c r="O435" s="3"/>
      <c r="P435" s="3"/>
    </row>
    <row r="436" spans="1:16" x14ac:dyDescent="0.3">
      <c r="A436" t="s">
        <v>1319</v>
      </c>
      <c r="B436" s="9" t="s">
        <v>1280</v>
      </c>
      <c r="C436" s="20" t="str">
        <f t="shared" si="6"/>
        <v>Apr</v>
      </c>
      <c r="D436" t="s">
        <v>608</v>
      </c>
      <c r="E436" s="10" t="s">
        <v>1320</v>
      </c>
      <c r="F436" t="s">
        <v>59</v>
      </c>
      <c r="G436" t="s">
        <v>89</v>
      </c>
      <c r="H436" t="s">
        <v>90</v>
      </c>
      <c r="I436">
        <v>5</v>
      </c>
      <c r="J436" s="3">
        <v>20.39</v>
      </c>
      <c r="K436" s="2">
        <v>0.1</v>
      </c>
      <c r="L436" s="3">
        <v>91.76</v>
      </c>
      <c r="M436" s="3">
        <v>27.01</v>
      </c>
      <c r="N436" t="s">
        <v>20</v>
      </c>
      <c r="O436" s="3"/>
      <c r="P436" s="3"/>
    </row>
    <row r="437" spans="1:16" x14ac:dyDescent="0.3">
      <c r="A437" t="s">
        <v>1321</v>
      </c>
      <c r="B437" s="9" t="s">
        <v>217</v>
      </c>
      <c r="C437" s="20" t="str">
        <f t="shared" si="6"/>
        <v>Dec</v>
      </c>
      <c r="D437" t="s">
        <v>1322</v>
      </c>
      <c r="E437" s="10" t="s">
        <v>1323</v>
      </c>
      <c r="F437" t="s">
        <v>32</v>
      </c>
      <c r="G437" t="s">
        <v>89</v>
      </c>
      <c r="H437" t="s">
        <v>150</v>
      </c>
      <c r="I437">
        <v>8</v>
      </c>
      <c r="J437" s="3">
        <v>214.38</v>
      </c>
      <c r="K437" s="2">
        <v>0.05</v>
      </c>
      <c r="L437" s="3">
        <v>1629.29</v>
      </c>
      <c r="M437" s="3">
        <v>184.17</v>
      </c>
      <c r="N437" t="s">
        <v>20</v>
      </c>
      <c r="O437" s="3"/>
      <c r="P437" s="3"/>
    </row>
    <row r="438" spans="1:16" x14ac:dyDescent="0.3">
      <c r="A438" t="s">
        <v>1324</v>
      </c>
      <c r="B438" s="9" t="s">
        <v>155</v>
      </c>
      <c r="C438" s="20" t="str">
        <f t="shared" si="6"/>
        <v>Sep</v>
      </c>
      <c r="D438" t="s">
        <v>287</v>
      </c>
      <c r="E438" s="10" t="s">
        <v>666</v>
      </c>
      <c r="F438" t="s">
        <v>32</v>
      </c>
      <c r="G438" t="s">
        <v>33</v>
      </c>
      <c r="H438" t="s">
        <v>34</v>
      </c>
      <c r="I438">
        <v>8</v>
      </c>
      <c r="J438" s="3">
        <v>155.52000000000001</v>
      </c>
      <c r="K438" s="2">
        <v>0.05</v>
      </c>
      <c r="L438" s="3">
        <v>1181.95</v>
      </c>
      <c r="M438" s="3">
        <v>347.16</v>
      </c>
      <c r="N438" t="s">
        <v>40</v>
      </c>
      <c r="O438" s="3"/>
      <c r="P438" s="3"/>
    </row>
    <row r="439" spans="1:16" x14ac:dyDescent="0.3">
      <c r="A439" t="s">
        <v>1325</v>
      </c>
      <c r="B439" s="9" t="s">
        <v>1011</v>
      </c>
      <c r="C439" s="20" t="str">
        <f t="shared" si="6"/>
        <v>Jun</v>
      </c>
      <c r="D439" t="s">
        <v>753</v>
      </c>
      <c r="E439" s="10" t="s">
        <v>922</v>
      </c>
      <c r="F439" t="s">
        <v>32</v>
      </c>
      <c r="G439" t="s">
        <v>26</v>
      </c>
      <c r="H439" t="s">
        <v>118</v>
      </c>
      <c r="I439">
        <v>4</v>
      </c>
      <c r="J439" s="3">
        <v>106.81</v>
      </c>
      <c r="K439" s="2">
        <v>0.1</v>
      </c>
      <c r="L439" s="3">
        <v>384.52</v>
      </c>
      <c r="M439" s="3">
        <v>98.67</v>
      </c>
      <c r="N439" t="s">
        <v>40</v>
      </c>
      <c r="O439" s="3"/>
      <c r="P439" s="3"/>
    </row>
    <row r="440" spans="1:16" x14ac:dyDescent="0.3">
      <c r="A440" t="s">
        <v>1326</v>
      </c>
      <c r="B440" s="9" t="s">
        <v>1298</v>
      </c>
      <c r="C440" s="20" t="str">
        <f t="shared" si="6"/>
        <v>Apr</v>
      </c>
      <c r="D440" t="s">
        <v>1327</v>
      </c>
      <c r="E440" s="10" t="s">
        <v>995</v>
      </c>
      <c r="F440" t="s">
        <v>59</v>
      </c>
      <c r="G440" t="s">
        <v>33</v>
      </c>
      <c r="H440" t="s">
        <v>69</v>
      </c>
      <c r="I440">
        <v>3</v>
      </c>
      <c r="J440" s="3">
        <v>153.25</v>
      </c>
      <c r="K440" s="2">
        <v>0</v>
      </c>
      <c r="L440" s="3">
        <v>459.75</v>
      </c>
      <c r="M440" s="3">
        <v>90.31</v>
      </c>
      <c r="N440" t="s">
        <v>20</v>
      </c>
      <c r="O440" s="3"/>
      <c r="P440" s="3"/>
    </row>
    <row r="441" spans="1:16" x14ac:dyDescent="0.3">
      <c r="A441" t="s">
        <v>1328</v>
      </c>
      <c r="B441" s="9" t="s">
        <v>643</v>
      </c>
      <c r="C441" s="20" t="str">
        <f t="shared" si="6"/>
        <v>Aug</v>
      </c>
      <c r="D441" t="s">
        <v>1329</v>
      </c>
      <c r="E441" s="10" t="s">
        <v>546</v>
      </c>
      <c r="F441" t="s">
        <v>59</v>
      </c>
      <c r="G441" t="s">
        <v>89</v>
      </c>
      <c r="H441" t="s">
        <v>90</v>
      </c>
      <c r="I441">
        <v>1</v>
      </c>
      <c r="J441" s="3">
        <v>166.29</v>
      </c>
      <c r="K441" s="2">
        <v>0.05</v>
      </c>
      <c r="L441" s="3">
        <v>157.97999999999999</v>
      </c>
      <c r="M441" s="3">
        <v>29.48</v>
      </c>
      <c r="N441" t="s">
        <v>35</v>
      </c>
      <c r="O441" s="3"/>
      <c r="P441" s="3"/>
    </row>
    <row r="442" spans="1:16" x14ac:dyDescent="0.3">
      <c r="A442" t="s">
        <v>1330</v>
      </c>
      <c r="B442" s="9" t="s">
        <v>111</v>
      </c>
      <c r="C442" s="20" t="str">
        <f t="shared" si="6"/>
        <v>Apr</v>
      </c>
      <c r="D442" t="s">
        <v>1331</v>
      </c>
      <c r="E442" s="10" t="s">
        <v>1332</v>
      </c>
      <c r="F442" t="s">
        <v>25</v>
      </c>
      <c r="G442" t="s">
        <v>26</v>
      </c>
      <c r="H442" t="s">
        <v>84</v>
      </c>
      <c r="I442">
        <v>6</v>
      </c>
      <c r="J442" s="3">
        <v>35.44</v>
      </c>
      <c r="K442" s="2">
        <v>0</v>
      </c>
      <c r="L442" s="3">
        <v>212.64</v>
      </c>
      <c r="M442" s="3">
        <v>29.2</v>
      </c>
      <c r="N442" t="s">
        <v>35</v>
      </c>
      <c r="O442" s="3"/>
      <c r="P442" s="3"/>
    </row>
    <row r="443" spans="1:16" x14ac:dyDescent="0.3">
      <c r="A443" t="s">
        <v>1333</v>
      </c>
      <c r="B443" s="9" t="s">
        <v>286</v>
      </c>
      <c r="C443" s="20" t="str">
        <f t="shared" si="6"/>
        <v>Mar</v>
      </c>
      <c r="D443" t="s">
        <v>328</v>
      </c>
      <c r="E443" s="10" t="s">
        <v>315</v>
      </c>
      <c r="F443" t="s">
        <v>59</v>
      </c>
      <c r="G443" t="s">
        <v>33</v>
      </c>
      <c r="H443" t="s">
        <v>74</v>
      </c>
      <c r="I443">
        <v>4</v>
      </c>
      <c r="J443" s="3">
        <v>66.86</v>
      </c>
      <c r="K443" s="2">
        <v>0</v>
      </c>
      <c r="L443" s="3">
        <v>267.44</v>
      </c>
      <c r="M443" s="3">
        <v>65.73</v>
      </c>
      <c r="N443" t="s">
        <v>20</v>
      </c>
      <c r="O443" s="3"/>
      <c r="P443" s="3"/>
    </row>
    <row r="444" spans="1:16" x14ac:dyDescent="0.3">
      <c r="A444" t="s">
        <v>1334</v>
      </c>
      <c r="B444" s="9" t="s">
        <v>1335</v>
      </c>
      <c r="C444" s="20" t="str">
        <f t="shared" si="6"/>
        <v>Apr</v>
      </c>
      <c r="D444" t="s">
        <v>886</v>
      </c>
      <c r="E444" s="10" t="s">
        <v>54</v>
      </c>
      <c r="F444" t="s">
        <v>32</v>
      </c>
      <c r="G444" t="s">
        <v>26</v>
      </c>
      <c r="H444" t="s">
        <v>27</v>
      </c>
      <c r="I444">
        <v>2</v>
      </c>
      <c r="J444" s="3">
        <v>207.03</v>
      </c>
      <c r="K444" s="2">
        <v>0.15</v>
      </c>
      <c r="L444" s="3">
        <v>351.95</v>
      </c>
      <c r="M444" s="3">
        <v>74.69</v>
      </c>
      <c r="N444" t="s">
        <v>35</v>
      </c>
      <c r="O444" s="3"/>
      <c r="P444" s="3"/>
    </row>
    <row r="445" spans="1:16" x14ac:dyDescent="0.3">
      <c r="A445" t="s">
        <v>1336</v>
      </c>
      <c r="B445" s="9" t="s">
        <v>554</v>
      </c>
      <c r="C445" s="20" t="str">
        <f t="shared" si="6"/>
        <v>Sep</v>
      </c>
      <c r="D445" t="s">
        <v>486</v>
      </c>
      <c r="E445" s="10" t="s">
        <v>624</v>
      </c>
      <c r="F445" t="s">
        <v>17</v>
      </c>
      <c r="G445" t="s">
        <v>89</v>
      </c>
      <c r="H445" t="s">
        <v>131</v>
      </c>
      <c r="I445">
        <v>6</v>
      </c>
      <c r="J445" s="3">
        <v>49.91</v>
      </c>
      <c r="K445" s="2">
        <v>0.1</v>
      </c>
      <c r="L445" s="3">
        <v>269.51</v>
      </c>
      <c r="M445" s="3">
        <v>58.43</v>
      </c>
      <c r="N445" t="s">
        <v>35</v>
      </c>
      <c r="O445" s="3"/>
      <c r="P445" s="3"/>
    </row>
    <row r="446" spans="1:16" x14ac:dyDescent="0.3">
      <c r="A446" t="s">
        <v>1337</v>
      </c>
      <c r="B446" s="9" t="s">
        <v>489</v>
      </c>
      <c r="C446" s="20" t="str">
        <f t="shared" si="6"/>
        <v>Mar</v>
      </c>
      <c r="D446" t="s">
        <v>369</v>
      </c>
      <c r="E446" s="10" t="s">
        <v>161</v>
      </c>
      <c r="F446" t="s">
        <v>17</v>
      </c>
      <c r="G446" t="s">
        <v>26</v>
      </c>
      <c r="H446" t="s">
        <v>27</v>
      </c>
      <c r="I446">
        <v>4</v>
      </c>
      <c r="J446" s="3">
        <v>94.08</v>
      </c>
      <c r="K446" s="2">
        <v>0.1</v>
      </c>
      <c r="L446" s="3">
        <v>338.69</v>
      </c>
      <c r="M446" s="3">
        <v>94.95</v>
      </c>
      <c r="N446" t="s">
        <v>40</v>
      </c>
      <c r="O446" s="3"/>
      <c r="P446" s="3"/>
    </row>
    <row r="447" spans="1:16" x14ac:dyDescent="0.3">
      <c r="A447" t="s">
        <v>1338</v>
      </c>
      <c r="B447" s="9" t="s">
        <v>715</v>
      </c>
      <c r="C447" s="20" t="str">
        <f t="shared" si="6"/>
        <v>Jun</v>
      </c>
      <c r="D447" t="s">
        <v>1339</v>
      </c>
      <c r="E447" s="10" t="s">
        <v>1235</v>
      </c>
      <c r="F447" t="s">
        <v>17</v>
      </c>
      <c r="G447" t="s">
        <v>18</v>
      </c>
      <c r="H447" t="s">
        <v>45</v>
      </c>
      <c r="I447">
        <v>6</v>
      </c>
      <c r="J447" s="3">
        <v>89.18</v>
      </c>
      <c r="K447" s="2">
        <v>0.05</v>
      </c>
      <c r="L447" s="3">
        <v>508.33</v>
      </c>
      <c r="M447" s="3">
        <v>68.48</v>
      </c>
      <c r="N447" t="s">
        <v>35</v>
      </c>
      <c r="O447" s="3"/>
      <c r="P447" s="3"/>
    </row>
    <row r="448" spans="1:16" x14ac:dyDescent="0.3">
      <c r="A448" t="s">
        <v>1340</v>
      </c>
      <c r="B448" s="9" t="s">
        <v>592</v>
      </c>
      <c r="C448" s="20" t="str">
        <f t="shared" si="6"/>
        <v>Aug</v>
      </c>
      <c r="D448" t="s">
        <v>567</v>
      </c>
      <c r="E448" s="10" t="s">
        <v>1341</v>
      </c>
      <c r="F448" t="s">
        <v>64</v>
      </c>
      <c r="G448" t="s">
        <v>89</v>
      </c>
      <c r="H448" t="s">
        <v>90</v>
      </c>
      <c r="I448">
        <v>1</v>
      </c>
      <c r="J448" s="3">
        <v>91.65</v>
      </c>
      <c r="K448" s="2">
        <v>0.1</v>
      </c>
      <c r="L448" s="3">
        <v>82.49</v>
      </c>
      <c r="M448" s="3">
        <v>23.96</v>
      </c>
      <c r="N448" t="s">
        <v>20</v>
      </c>
      <c r="O448" s="3"/>
      <c r="P448" s="3"/>
    </row>
    <row r="449" spans="1:16" x14ac:dyDescent="0.3">
      <c r="A449" t="s">
        <v>1342</v>
      </c>
      <c r="B449" s="9" t="s">
        <v>782</v>
      </c>
      <c r="C449" s="20" t="str">
        <f t="shared" si="6"/>
        <v>Jan</v>
      </c>
      <c r="D449" t="s">
        <v>1343</v>
      </c>
      <c r="E449" s="10" t="s">
        <v>1344</v>
      </c>
      <c r="F449" t="s">
        <v>17</v>
      </c>
      <c r="G449" t="s">
        <v>33</v>
      </c>
      <c r="H449" t="s">
        <v>34</v>
      </c>
      <c r="I449">
        <v>1</v>
      </c>
      <c r="J449" s="3">
        <v>165.37</v>
      </c>
      <c r="K449" s="2">
        <v>0</v>
      </c>
      <c r="L449" s="3">
        <v>165.37</v>
      </c>
      <c r="M449" s="3">
        <v>25.65</v>
      </c>
      <c r="N449" t="s">
        <v>20</v>
      </c>
      <c r="O449" s="3"/>
      <c r="P449" s="3"/>
    </row>
    <row r="450" spans="1:16" x14ac:dyDescent="0.3">
      <c r="A450" t="s">
        <v>1345</v>
      </c>
      <c r="B450" s="9" t="s">
        <v>701</v>
      </c>
      <c r="C450" s="20" t="str">
        <f t="shared" ref="C450:C513" si="7">TEXT(B:B, "mmm")</f>
        <v>Nov</v>
      </c>
      <c r="D450" t="s">
        <v>1346</v>
      </c>
      <c r="E450" s="10" t="s">
        <v>1347</v>
      </c>
      <c r="F450" t="s">
        <v>25</v>
      </c>
      <c r="G450" t="s">
        <v>33</v>
      </c>
      <c r="H450" t="s">
        <v>74</v>
      </c>
      <c r="I450">
        <v>2</v>
      </c>
      <c r="J450" s="3">
        <v>231.29</v>
      </c>
      <c r="K450" s="2">
        <v>0.1</v>
      </c>
      <c r="L450" s="3">
        <v>416.32</v>
      </c>
      <c r="M450" s="3">
        <v>113.37</v>
      </c>
      <c r="N450" t="s">
        <v>35</v>
      </c>
      <c r="O450" s="3"/>
      <c r="P450" s="3"/>
    </row>
    <row r="451" spans="1:16" x14ac:dyDescent="0.3">
      <c r="A451" t="s">
        <v>1348</v>
      </c>
      <c r="B451" s="9" t="s">
        <v>242</v>
      </c>
      <c r="C451" s="20" t="str">
        <f t="shared" si="7"/>
        <v>Jun</v>
      </c>
      <c r="D451" t="s">
        <v>1247</v>
      </c>
      <c r="E451" s="10" t="s">
        <v>201</v>
      </c>
      <c r="F451" t="s">
        <v>64</v>
      </c>
      <c r="G451" t="s">
        <v>89</v>
      </c>
      <c r="H451" t="s">
        <v>90</v>
      </c>
      <c r="I451">
        <v>5</v>
      </c>
      <c r="J451" s="3">
        <v>109.14</v>
      </c>
      <c r="K451" s="2">
        <v>0.05</v>
      </c>
      <c r="L451" s="3">
        <v>518.41</v>
      </c>
      <c r="M451" s="3">
        <v>56.49</v>
      </c>
      <c r="N451" t="s">
        <v>40</v>
      </c>
      <c r="O451" s="3"/>
      <c r="P451" s="3"/>
    </row>
    <row r="452" spans="1:16" x14ac:dyDescent="0.3">
      <c r="A452" t="s">
        <v>1349</v>
      </c>
      <c r="B452" s="9" t="s">
        <v>1350</v>
      </c>
      <c r="C452" s="20" t="str">
        <f t="shared" si="7"/>
        <v>Sep</v>
      </c>
      <c r="D452" t="s">
        <v>230</v>
      </c>
      <c r="E452" s="10" t="s">
        <v>1278</v>
      </c>
      <c r="F452" t="s">
        <v>25</v>
      </c>
      <c r="G452" t="s">
        <v>89</v>
      </c>
      <c r="H452" t="s">
        <v>150</v>
      </c>
      <c r="I452">
        <v>2</v>
      </c>
      <c r="J452" s="3">
        <v>159.9</v>
      </c>
      <c r="K452" s="2">
        <v>0.1</v>
      </c>
      <c r="L452" s="3">
        <v>287.82</v>
      </c>
      <c r="M452" s="3">
        <v>31.94</v>
      </c>
      <c r="N452" t="s">
        <v>40</v>
      </c>
      <c r="O452" s="3"/>
      <c r="P452" s="3"/>
    </row>
    <row r="453" spans="1:16" x14ac:dyDescent="0.3">
      <c r="A453" t="s">
        <v>1351</v>
      </c>
      <c r="B453" s="9" t="s">
        <v>1352</v>
      </c>
      <c r="C453" s="20" t="str">
        <f t="shared" si="7"/>
        <v>Apr</v>
      </c>
      <c r="D453" t="s">
        <v>1353</v>
      </c>
      <c r="E453" s="10" t="s">
        <v>1354</v>
      </c>
      <c r="F453" t="s">
        <v>25</v>
      </c>
      <c r="G453" t="s">
        <v>18</v>
      </c>
      <c r="H453" t="s">
        <v>45</v>
      </c>
      <c r="I453">
        <v>4</v>
      </c>
      <c r="J453" s="3">
        <v>222.86</v>
      </c>
      <c r="K453" s="2">
        <v>0</v>
      </c>
      <c r="L453" s="3">
        <v>891.44</v>
      </c>
      <c r="M453" s="3">
        <v>267.02</v>
      </c>
      <c r="N453" t="s">
        <v>35</v>
      </c>
      <c r="O453" s="3"/>
      <c r="P453" s="3"/>
    </row>
    <row r="454" spans="1:16" x14ac:dyDescent="0.3">
      <c r="A454" t="s">
        <v>1355</v>
      </c>
      <c r="B454" s="9" t="s">
        <v>1356</v>
      </c>
      <c r="C454" s="20" t="str">
        <f t="shared" si="7"/>
        <v>Dec</v>
      </c>
      <c r="D454" t="s">
        <v>1185</v>
      </c>
      <c r="E454" s="10" t="s">
        <v>965</v>
      </c>
      <c r="F454" t="s">
        <v>32</v>
      </c>
      <c r="G454" t="s">
        <v>26</v>
      </c>
      <c r="H454" t="s">
        <v>84</v>
      </c>
      <c r="I454">
        <v>5</v>
      </c>
      <c r="J454" s="3">
        <v>172.35</v>
      </c>
      <c r="K454" s="2">
        <v>0.05</v>
      </c>
      <c r="L454" s="3">
        <v>818.66</v>
      </c>
      <c r="M454" s="3">
        <v>169.05</v>
      </c>
      <c r="N454" t="s">
        <v>35</v>
      </c>
      <c r="O454" s="3"/>
      <c r="P454" s="3"/>
    </row>
    <row r="455" spans="1:16" x14ac:dyDescent="0.3">
      <c r="A455" t="s">
        <v>1357</v>
      </c>
      <c r="B455" s="9" t="s">
        <v>1358</v>
      </c>
      <c r="C455" s="20" t="str">
        <f t="shared" si="7"/>
        <v>Mar</v>
      </c>
      <c r="D455" t="s">
        <v>1359</v>
      </c>
      <c r="E455" s="10" t="s">
        <v>550</v>
      </c>
      <c r="F455" t="s">
        <v>32</v>
      </c>
      <c r="G455" t="s">
        <v>26</v>
      </c>
      <c r="H455" t="s">
        <v>118</v>
      </c>
      <c r="I455">
        <v>2</v>
      </c>
      <c r="J455" s="3">
        <v>36.19</v>
      </c>
      <c r="K455" s="2">
        <v>0</v>
      </c>
      <c r="L455" s="3">
        <v>72.38</v>
      </c>
      <c r="M455" s="3">
        <v>10.36</v>
      </c>
      <c r="N455" t="s">
        <v>35</v>
      </c>
      <c r="O455" s="3"/>
      <c r="P455" s="3"/>
    </row>
    <row r="456" spans="1:16" x14ac:dyDescent="0.3">
      <c r="A456" t="s">
        <v>1360</v>
      </c>
      <c r="B456" s="9" t="s">
        <v>964</v>
      </c>
      <c r="C456" s="20" t="str">
        <f t="shared" si="7"/>
        <v>Oct</v>
      </c>
      <c r="D456" t="s">
        <v>1361</v>
      </c>
      <c r="E456" s="10" t="s">
        <v>1362</v>
      </c>
      <c r="F456" t="s">
        <v>59</v>
      </c>
      <c r="G456" t="s">
        <v>18</v>
      </c>
      <c r="H456" t="s">
        <v>45</v>
      </c>
      <c r="I456">
        <v>6</v>
      </c>
      <c r="J456" s="3">
        <v>31.84</v>
      </c>
      <c r="K456" s="2">
        <v>0.1</v>
      </c>
      <c r="L456" s="3">
        <v>171.94</v>
      </c>
      <c r="M456" s="3">
        <v>37.799999999999997</v>
      </c>
      <c r="N456" t="s">
        <v>20</v>
      </c>
      <c r="O456" s="3"/>
      <c r="P456" s="3"/>
    </row>
    <row r="457" spans="1:16" x14ac:dyDescent="0.3">
      <c r="A457" t="s">
        <v>1363</v>
      </c>
      <c r="B457" s="9" t="s">
        <v>124</v>
      </c>
      <c r="C457" s="20" t="str">
        <f t="shared" si="7"/>
        <v>Jun</v>
      </c>
      <c r="D457" t="s">
        <v>1364</v>
      </c>
      <c r="E457" s="10" t="s">
        <v>1365</v>
      </c>
      <c r="F457" t="s">
        <v>17</v>
      </c>
      <c r="G457" t="s">
        <v>18</v>
      </c>
      <c r="H457" t="s">
        <v>79</v>
      </c>
      <c r="I457">
        <v>3</v>
      </c>
      <c r="J457" s="3">
        <v>195.99</v>
      </c>
      <c r="K457" s="2">
        <v>0.1</v>
      </c>
      <c r="L457" s="3">
        <v>529.16999999999996</v>
      </c>
      <c r="M457" s="3">
        <v>137.06</v>
      </c>
      <c r="N457" t="s">
        <v>20</v>
      </c>
      <c r="O457" s="3"/>
      <c r="P457" s="3"/>
    </row>
    <row r="458" spans="1:16" x14ac:dyDescent="0.3">
      <c r="A458" t="s">
        <v>1366</v>
      </c>
      <c r="B458" s="9" t="s">
        <v>1367</v>
      </c>
      <c r="C458" s="20" t="str">
        <f t="shared" si="7"/>
        <v>Jan</v>
      </c>
      <c r="D458" t="s">
        <v>1368</v>
      </c>
      <c r="E458" s="10" t="s">
        <v>1369</v>
      </c>
      <c r="F458" t="s">
        <v>64</v>
      </c>
      <c r="G458" t="s">
        <v>33</v>
      </c>
      <c r="H458" t="s">
        <v>69</v>
      </c>
      <c r="I458">
        <v>2</v>
      </c>
      <c r="J458" s="3">
        <v>38.299999999999997</v>
      </c>
      <c r="K458" s="2">
        <v>0.15</v>
      </c>
      <c r="L458" s="3">
        <v>65.11</v>
      </c>
      <c r="M458" s="3">
        <v>9.15</v>
      </c>
      <c r="N458" t="s">
        <v>35</v>
      </c>
      <c r="O458" s="3"/>
      <c r="P458" s="3"/>
    </row>
    <row r="459" spans="1:16" x14ac:dyDescent="0.3">
      <c r="A459" t="s">
        <v>1370</v>
      </c>
      <c r="B459" s="9" t="s">
        <v>1371</v>
      </c>
      <c r="C459" s="20" t="str">
        <f t="shared" si="7"/>
        <v>May</v>
      </c>
      <c r="D459" t="s">
        <v>555</v>
      </c>
      <c r="E459" s="10" t="s">
        <v>1332</v>
      </c>
      <c r="F459" t="s">
        <v>17</v>
      </c>
      <c r="G459" t="s">
        <v>89</v>
      </c>
      <c r="H459" t="s">
        <v>150</v>
      </c>
      <c r="I459">
        <v>7</v>
      </c>
      <c r="J459" s="3">
        <v>128.05000000000001</v>
      </c>
      <c r="K459" s="2">
        <v>0.1</v>
      </c>
      <c r="L459" s="3">
        <v>806.72</v>
      </c>
      <c r="M459" s="3">
        <v>84.21</v>
      </c>
      <c r="N459" t="s">
        <v>40</v>
      </c>
      <c r="O459" s="3"/>
      <c r="P459" s="3"/>
    </row>
    <row r="460" spans="1:16" x14ac:dyDescent="0.3">
      <c r="A460" t="s">
        <v>1372</v>
      </c>
      <c r="B460" s="9" t="s">
        <v>620</v>
      </c>
      <c r="C460" s="20" t="str">
        <f t="shared" si="7"/>
        <v>Sep</v>
      </c>
      <c r="D460" t="s">
        <v>1373</v>
      </c>
      <c r="E460" s="10" t="s">
        <v>568</v>
      </c>
      <c r="F460" t="s">
        <v>64</v>
      </c>
      <c r="G460" t="s">
        <v>26</v>
      </c>
      <c r="H460" t="s">
        <v>27</v>
      </c>
      <c r="I460">
        <v>4</v>
      </c>
      <c r="J460" s="3">
        <v>88.48</v>
      </c>
      <c r="K460" s="2">
        <v>0.05</v>
      </c>
      <c r="L460" s="3">
        <v>336.22</v>
      </c>
      <c r="M460" s="3">
        <v>74.73</v>
      </c>
      <c r="N460" t="s">
        <v>35</v>
      </c>
      <c r="O460" s="3"/>
      <c r="P460" s="3"/>
    </row>
    <row r="461" spans="1:16" x14ac:dyDescent="0.3">
      <c r="A461" t="s">
        <v>1374</v>
      </c>
      <c r="B461" s="9" t="s">
        <v>686</v>
      </c>
      <c r="C461" s="20" t="str">
        <f t="shared" si="7"/>
        <v>Aug</v>
      </c>
      <c r="D461" t="s">
        <v>991</v>
      </c>
      <c r="E461" s="10" t="s">
        <v>1375</v>
      </c>
      <c r="F461" t="s">
        <v>32</v>
      </c>
      <c r="G461" t="s">
        <v>26</v>
      </c>
      <c r="H461" t="s">
        <v>118</v>
      </c>
      <c r="I461">
        <v>5</v>
      </c>
      <c r="J461" s="3">
        <v>25.41</v>
      </c>
      <c r="K461" s="2">
        <v>0</v>
      </c>
      <c r="L461" s="3">
        <v>127.05</v>
      </c>
      <c r="M461" s="3">
        <v>28.23</v>
      </c>
      <c r="N461" t="s">
        <v>40</v>
      </c>
      <c r="O461" s="3"/>
      <c r="P461" s="3"/>
    </row>
    <row r="462" spans="1:16" x14ac:dyDescent="0.3">
      <c r="A462" t="s">
        <v>1376</v>
      </c>
      <c r="B462" s="9" t="s">
        <v>1377</v>
      </c>
      <c r="C462" s="20" t="str">
        <f t="shared" si="7"/>
        <v>Oct</v>
      </c>
      <c r="D462" t="s">
        <v>827</v>
      </c>
      <c r="E462" s="10" t="s">
        <v>161</v>
      </c>
      <c r="F462" t="s">
        <v>59</v>
      </c>
      <c r="G462" t="s">
        <v>26</v>
      </c>
      <c r="H462" t="s">
        <v>84</v>
      </c>
      <c r="I462">
        <v>8</v>
      </c>
      <c r="J462" s="3">
        <v>173.68</v>
      </c>
      <c r="K462" s="2">
        <v>0</v>
      </c>
      <c r="L462" s="3">
        <v>1389.44</v>
      </c>
      <c r="M462" s="3">
        <v>152.4</v>
      </c>
      <c r="N462" t="s">
        <v>40</v>
      </c>
      <c r="O462" s="3"/>
      <c r="P462" s="3"/>
    </row>
    <row r="463" spans="1:16" x14ac:dyDescent="0.3">
      <c r="A463" t="s">
        <v>1378</v>
      </c>
      <c r="B463" s="9" t="s">
        <v>904</v>
      </c>
      <c r="C463" s="20" t="str">
        <f t="shared" si="7"/>
        <v>Apr</v>
      </c>
      <c r="D463" t="s">
        <v>1379</v>
      </c>
      <c r="E463" s="10" t="s">
        <v>546</v>
      </c>
      <c r="F463" t="s">
        <v>59</v>
      </c>
      <c r="G463" t="s">
        <v>26</v>
      </c>
      <c r="H463" t="s">
        <v>27</v>
      </c>
      <c r="I463">
        <v>6</v>
      </c>
      <c r="J463" s="3">
        <v>188.91</v>
      </c>
      <c r="K463" s="2">
        <v>0.1</v>
      </c>
      <c r="L463" s="3">
        <v>1020.11</v>
      </c>
      <c r="M463" s="3">
        <v>84.74</v>
      </c>
      <c r="N463" t="s">
        <v>40</v>
      </c>
      <c r="O463" s="3"/>
      <c r="P463" s="3"/>
    </row>
    <row r="464" spans="1:16" x14ac:dyDescent="0.3">
      <c r="A464" t="s">
        <v>1383</v>
      </c>
      <c r="B464" s="9" t="s">
        <v>1384</v>
      </c>
      <c r="C464" s="20" t="str">
        <f t="shared" si="7"/>
        <v>Jun</v>
      </c>
      <c r="D464" t="s">
        <v>1385</v>
      </c>
      <c r="E464" s="10" t="s">
        <v>962</v>
      </c>
      <c r="F464" t="s">
        <v>17</v>
      </c>
      <c r="G464" t="s">
        <v>89</v>
      </c>
      <c r="H464" t="s">
        <v>131</v>
      </c>
      <c r="I464">
        <v>5</v>
      </c>
      <c r="J464" s="3">
        <v>27.58</v>
      </c>
      <c r="K464" s="2">
        <v>0.05</v>
      </c>
      <c r="L464" s="3">
        <v>131</v>
      </c>
      <c r="M464" s="3">
        <v>28.7</v>
      </c>
      <c r="N464" t="s">
        <v>20</v>
      </c>
      <c r="O464" s="3"/>
      <c r="P464" s="3"/>
    </row>
    <row r="465" spans="1:16" x14ac:dyDescent="0.3">
      <c r="A465" t="s">
        <v>1386</v>
      </c>
      <c r="B465" s="9" t="s">
        <v>1025</v>
      </c>
      <c r="C465" s="20" t="str">
        <f t="shared" si="7"/>
        <v>Aug</v>
      </c>
      <c r="D465" t="s">
        <v>1387</v>
      </c>
      <c r="E465" s="10" t="s">
        <v>394</v>
      </c>
      <c r="F465" t="s">
        <v>32</v>
      </c>
      <c r="G465" t="s">
        <v>26</v>
      </c>
      <c r="H465" t="s">
        <v>27</v>
      </c>
      <c r="I465">
        <v>3</v>
      </c>
      <c r="J465" s="3">
        <v>116.81</v>
      </c>
      <c r="K465" s="2">
        <v>0</v>
      </c>
      <c r="L465" s="3">
        <v>350.43</v>
      </c>
      <c r="M465" s="3">
        <v>39.94</v>
      </c>
      <c r="N465" t="s">
        <v>40</v>
      </c>
      <c r="O465" s="3"/>
      <c r="P465" s="3"/>
    </row>
    <row r="466" spans="1:16" x14ac:dyDescent="0.3">
      <c r="A466" t="s">
        <v>1388</v>
      </c>
      <c r="B466" s="9" t="s">
        <v>630</v>
      </c>
      <c r="C466" s="20" t="str">
        <f t="shared" si="7"/>
        <v>Oct</v>
      </c>
      <c r="D466" t="s">
        <v>1389</v>
      </c>
      <c r="E466" s="10" t="s">
        <v>718</v>
      </c>
      <c r="F466" t="s">
        <v>59</v>
      </c>
      <c r="G466" t="s">
        <v>18</v>
      </c>
      <c r="H466" t="s">
        <v>19</v>
      </c>
      <c r="I466">
        <v>7</v>
      </c>
      <c r="J466" s="3">
        <v>25.18</v>
      </c>
      <c r="K466" s="2">
        <v>0.05</v>
      </c>
      <c r="L466" s="3">
        <v>167.45</v>
      </c>
      <c r="M466" s="3">
        <v>19.489999999999998</v>
      </c>
      <c r="N466" t="s">
        <v>20</v>
      </c>
      <c r="O466" s="3"/>
      <c r="P466" s="3"/>
    </row>
    <row r="467" spans="1:16" x14ac:dyDescent="0.3">
      <c r="A467" t="s">
        <v>1390</v>
      </c>
      <c r="B467" s="9" t="s">
        <v>540</v>
      </c>
      <c r="C467" s="20" t="str">
        <f t="shared" si="7"/>
        <v>Apr</v>
      </c>
      <c r="D467" t="s">
        <v>1391</v>
      </c>
      <c r="E467" s="10" t="s">
        <v>1392</v>
      </c>
      <c r="F467" t="s">
        <v>64</v>
      </c>
      <c r="G467" t="s">
        <v>18</v>
      </c>
      <c r="H467" t="s">
        <v>45</v>
      </c>
      <c r="I467">
        <v>4</v>
      </c>
      <c r="J467" s="3">
        <v>132.6</v>
      </c>
      <c r="K467" s="2">
        <v>0.05</v>
      </c>
      <c r="L467" s="3">
        <v>503.88</v>
      </c>
      <c r="M467" s="3">
        <v>105.29</v>
      </c>
      <c r="N467" t="s">
        <v>40</v>
      </c>
      <c r="O467" s="3"/>
      <c r="P467" s="3"/>
    </row>
    <row r="468" spans="1:16" x14ac:dyDescent="0.3">
      <c r="A468" t="s">
        <v>1393</v>
      </c>
      <c r="B468" s="9" t="s">
        <v>1394</v>
      </c>
      <c r="C468" s="20" t="str">
        <f t="shared" si="7"/>
        <v>Dec</v>
      </c>
      <c r="D468" t="s">
        <v>1395</v>
      </c>
      <c r="E468" s="10" t="s">
        <v>1269</v>
      </c>
      <c r="F468" t="s">
        <v>59</v>
      </c>
      <c r="G468" t="s">
        <v>26</v>
      </c>
      <c r="H468" t="s">
        <v>118</v>
      </c>
      <c r="I468">
        <v>5</v>
      </c>
      <c r="J468" s="3">
        <v>197.93</v>
      </c>
      <c r="K468" s="2">
        <v>0.1</v>
      </c>
      <c r="L468" s="3">
        <v>890.69</v>
      </c>
      <c r="M468" s="3">
        <v>102.4</v>
      </c>
      <c r="N468" t="s">
        <v>35</v>
      </c>
      <c r="O468" s="3"/>
      <c r="P468" s="3"/>
    </row>
    <row r="469" spans="1:16" x14ac:dyDescent="0.3">
      <c r="A469" t="s">
        <v>1396</v>
      </c>
      <c r="B469" s="9" t="s">
        <v>76</v>
      </c>
      <c r="C469" s="20" t="str">
        <f t="shared" si="7"/>
        <v>Apr</v>
      </c>
      <c r="D469" t="s">
        <v>950</v>
      </c>
      <c r="E469" s="10" t="s">
        <v>786</v>
      </c>
      <c r="F469" t="s">
        <v>25</v>
      </c>
      <c r="G469" t="s">
        <v>89</v>
      </c>
      <c r="H469" t="s">
        <v>150</v>
      </c>
      <c r="I469">
        <v>2</v>
      </c>
      <c r="J469" s="3">
        <v>166.4</v>
      </c>
      <c r="K469" s="2">
        <v>0.15</v>
      </c>
      <c r="L469" s="3">
        <v>282.88</v>
      </c>
      <c r="M469" s="3">
        <v>50.43</v>
      </c>
      <c r="N469" t="s">
        <v>40</v>
      </c>
      <c r="O469" s="3"/>
      <c r="P469" s="3"/>
    </row>
    <row r="470" spans="1:16" x14ac:dyDescent="0.3">
      <c r="A470" t="s">
        <v>1397</v>
      </c>
      <c r="B470" s="9" t="s">
        <v>743</v>
      </c>
      <c r="C470" s="20" t="str">
        <f t="shared" si="7"/>
        <v>Oct</v>
      </c>
      <c r="D470" t="s">
        <v>698</v>
      </c>
      <c r="E470" s="10" t="s">
        <v>1153</v>
      </c>
      <c r="F470" t="s">
        <v>64</v>
      </c>
      <c r="G470" t="s">
        <v>89</v>
      </c>
      <c r="H470" t="s">
        <v>150</v>
      </c>
      <c r="I470">
        <v>2</v>
      </c>
      <c r="J470" s="3">
        <v>66.22</v>
      </c>
      <c r="K470" s="2">
        <v>0.05</v>
      </c>
      <c r="L470" s="3">
        <v>125.82</v>
      </c>
      <c r="M470" s="3">
        <v>23.99</v>
      </c>
      <c r="N470" t="s">
        <v>20</v>
      </c>
      <c r="O470" s="3"/>
      <c r="P470" s="3"/>
    </row>
    <row r="471" spans="1:16" x14ac:dyDescent="0.3">
      <c r="A471" t="s">
        <v>1398</v>
      </c>
      <c r="B471" s="9" t="s">
        <v>793</v>
      </c>
      <c r="C471" s="20" t="str">
        <f t="shared" si="7"/>
        <v>Apr</v>
      </c>
      <c r="D471" t="s">
        <v>1364</v>
      </c>
      <c r="E471" s="10" t="s">
        <v>902</v>
      </c>
      <c r="F471" t="s">
        <v>32</v>
      </c>
      <c r="G471" t="s">
        <v>89</v>
      </c>
      <c r="H471" t="s">
        <v>131</v>
      </c>
      <c r="I471">
        <v>8</v>
      </c>
      <c r="J471" s="3">
        <v>159.03</v>
      </c>
      <c r="K471" s="2">
        <v>0.15</v>
      </c>
      <c r="L471" s="3">
        <v>1081.4000000000001</v>
      </c>
      <c r="M471" s="3">
        <v>110.41</v>
      </c>
      <c r="N471" t="s">
        <v>40</v>
      </c>
      <c r="O471" s="3"/>
      <c r="P471" s="3"/>
    </row>
    <row r="472" spans="1:16" x14ac:dyDescent="0.3">
      <c r="A472" t="s">
        <v>1399</v>
      </c>
      <c r="B472" s="9" t="s">
        <v>731</v>
      </c>
      <c r="C472" s="20" t="str">
        <f t="shared" si="7"/>
        <v>Oct</v>
      </c>
      <c r="D472" t="s">
        <v>623</v>
      </c>
      <c r="E472" s="10" t="s">
        <v>1400</v>
      </c>
      <c r="F472" t="s">
        <v>64</v>
      </c>
      <c r="G472" t="s">
        <v>89</v>
      </c>
      <c r="H472" t="s">
        <v>150</v>
      </c>
      <c r="I472">
        <v>7</v>
      </c>
      <c r="J472" s="3">
        <v>124.42</v>
      </c>
      <c r="K472" s="2">
        <v>0.05</v>
      </c>
      <c r="L472" s="3">
        <v>827.39</v>
      </c>
      <c r="M472" s="3">
        <v>98.3</v>
      </c>
      <c r="N472" t="s">
        <v>40</v>
      </c>
      <c r="O472" s="3"/>
      <c r="P472" s="3"/>
    </row>
    <row r="473" spans="1:16" x14ac:dyDescent="0.3">
      <c r="A473" t="s">
        <v>1401</v>
      </c>
      <c r="B473" s="9" t="s">
        <v>1059</v>
      </c>
      <c r="C473" s="20" t="str">
        <f t="shared" si="7"/>
        <v>Aug</v>
      </c>
      <c r="D473" t="s">
        <v>185</v>
      </c>
      <c r="E473" s="10" t="s">
        <v>858</v>
      </c>
      <c r="F473" t="s">
        <v>32</v>
      </c>
      <c r="G473" t="s">
        <v>33</v>
      </c>
      <c r="H473" t="s">
        <v>74</v>
      </c>
      <c r="I473">
        <v>6</v>
      </c>
      <c r="J473" s="3">
        <v>18.899999999999999</v>
      </c>
      <c r="K473" s="2">
        <v>0.1</v>
      </c>
      <c r="L473" s="3">
        <v>102.06</v>
      </c>
      <c r="M473" s="3">
        <v>25.63</v>
      </c>
      <c r="N473" t="s">
        <v>20</v>
      </c>
      <c r="O473" s="3"/>
      <c r="P473" s="3"/>
    </row>
    <row r="474" spans="1:16" x14ac:dyDescent="0.3">
      <c r="A474" t="s">
        <v>1402</v>
      </c>
      <c r="B474" s="9" t="s">
        <v>320</v>
      </c>
      <c r="C474" s="20" t="str">
        <f t="shared" si="7"/>
        <v>Jun</v>
      </c>
      <c r="D474" t="s">
        <v>647</v>
      </c>
      <c r="E474" s="10" t="s">
        <v>1022</v>
      </c>
      <c r="F474" t="s">
        <v>59</v>
      </c>
      <c r="G474" t="s">
        <v>26</v>
      </c>
      <c r="H474" t="s">
        <v>27</v>
      </c>
      <c r="I474">
        <v>1</v>
      </c>
      <c r="J474" s="3">
        <v>198.14</v>
      </c>
      <c r="K474" s="2">
        <v>0.1</v>
      </c>
      <c r="L474" s="3">
        <v>178.33</v>
      </c>
      <c r="M474" s="3">
        <v>36.74</v>
      </c>
      <c r="N474" t="s">
        <v>20</v>
      </c>
      <c r="O474" s="3"/>
      <c r="P474" s="3"/>
    </row>
    <row r="475" spans="1:16" x14ac:dyDescent="0.3">
      <c r="A475" t="s">
        <v>1403</v>
      </c>
      <c r="B475" s="9" t="s">
        <v>223</v>
      </c>
      <c r="C475" s="20" t="str">
        <f t="shared" si="7"/>
        <v>Jun</v>
      </c>
      <c r="D475" t="s">
        <v>1404</v>
      </c>
      <c r="E475" s="10" t="s">
        <v>333</v>
      </c>
      <c r="F475" t="s">
        <v>64</v>
      </c>
      <c r="G475" t="s">
        <v>18</v>
      </c>
      <c r="H475" t="s">
        <v>19</v>
      </c>
      <c r="I475">
        <v>3</v>
      </c>
      <c r="J475" s="3">
        <v>62.33</v>
      </c>
      <c r="K475" s="2">
        <v>0.05</v>
      </c>
      <c r="L475" s="3">
        <v>177.64</v>
      </c>
      <c r="M475" s="3">
        <v>32.58</v>
      </c>
      <c r="N475" t="s">
        <v>35</v>
      </c>
      <c r="O475" s="3"/>
      <c r="P475" s="3"/>
    </row>
    <row r="476" spans="1:16" x14ac:dyDescent="0.3">
      <c r="A476" t="s">
        <v>1405</v>
      </c>
      <c r="B476" s="9" t="s">
        <v>506</v>
      </c>
      <c r="C476" s="20" t="str">
        <f t="shared" si="7"/>
        <v>Feb</v>
      </c>
      <c r="D476" t="s">
        <v>1406</v>
      </c>
      <c r="E476" s="10" t="s">
        <v>703</v>
      </c>
      <c r="F476" t="s">
        <v>17</v>
      </c>
      <c r="G476" t="s">
        <v>18</v>
      </c>
      <c r="H476" t="s">
        <v>79</v>
      </c>
      <c r="I476">
        <v>1</v>
      </c>
      <c r="J476" s="3">
        <v>228.82</v>
      </c>
      <c r="K476" s="2">
        <v>0.15</v>
      </c>
      <c r="L476" s="3">
        <v>194.5</v>
      </c>
      <c r="M476" s="3">
        <v>33.75</v>
      </c>
      <c r="N476" t="s">
        <v>20</v>
      </c>
      <c r="O476" s="3"/>
      <c r="P476" s="3"/>
    </row>
    <row r="477" spans="1:16" x14ac:dyDescent="0.3">
      <c r="A477" t="s">
        <v>1407</v>
      </c>
      <c r="B477" s="9" t="s">
        <v>1408</v>
      </c>
      <c r="C477" s="20" t="str">
        <f t="shared" si="7"/>
        <v>Apr</v>
      </c>
      <c r="D477" t="s">
        <v>794</v>
      </c>
      <c r="E477" s="10" t="s">
        <v>528</v>
      </c>
      <c r="F477" t="s">
        <v>17</v>
      </c>
      <c r="G477" t="s">
        <v>89</v>
      </c>
      <c r="H477" t="s">
        <v>90</v>
      </c>
      <c r="I477">
        <v>7</v>
      </c>
      <c r="J477" s="3">
        <v>34.01</v>
      </c>
      <c r="K477" s="2">
        <v>0</v>
      </c>
      <c r="L477" s="3">
        <v>238.07</v>
      </c>
      <c r="M477" s="3">
        <v>47.65</v>
      </c>
      <c r="N477" t="s">
        <v>35</v>
      </c>
      <c r="O477" s="3"/>
      <c r="P477" s="3"/>
    </row>
    <row r="478" spans="1:16" x14ac:dyDescent="0.3">
      <c r="A478" t="s">
        <v>1409</v>
      </c>
      <c r="B478" s="9" t="s">
        <v>128</v>
      </c>
      <c r="C478" s="20" t="str">
        <f t="shared" si="7"/>
        <v>Jul</v>
      </c>
      <c r="D478" t="s">
        <v>1368</v>
      </c>
      <c r="E478" s="10" t="s">
        <v>322</v>
      </c>
      <c r="F478" t="s">
        <v>17</v>
      </c>
      <c r="G478" t="s">
        <v>26</v>
      </c>
      <c r="H478" t="s">
        <v>27</v>
      </c>
      <c r="I478">
        <v>3</v>
      </c>
      <c r="J478" s="3">
        <v>202.12</v>
      </c>
      <c r="K478" s="2">
        <v>0.1</v>
      </c>
      <c r="L478" s="3">
        <v>545.72</v>
      </c>
      <c r="M478" s="3">
        <v>129.94999999999999</v>
      </c>
      <c r="N478" t="s">
        <v>20</v>
      </c>
      <c r="O478" s="3"/>
      <c r="P478" s="3"/>
    </row>
    <row r="479" spans="1:16" x14ac:dyDescent="0.3">
      <c r="A479" t="s">
        <v>1413</v>
      </c>
      <c r="B479" s="9" t="s">
        <v>1170</v>
      </c>
      <c r="C479" s="20" t="str">
        <f t="shared" si="7"/>
        <v>Feb</v>
      </c>
      <c r="D479" t="s">
        <v>1102</v>
      </c>
      <c r="E479" s="10" t="s">
        <v>674</v>
      </c>
      <c r="F479" t="s">
        <v>25</v>
      </c>
      <c r="G479" t="s">
        <v>89</v>
      </c>
      <c r="H479" t="s">
        <v>131</v>
      </c>
      <c r="I479">
        <v>4</v>
      </c>
      <c r="J479" s="3">
        <v>116.13</v>
      </c>
      <c r="K479" s="2">
        <v>0</v>
      </c>
      <c r="L479" s="3">
        <v>464.52</v>
      </c>
      <c r="M479" s="3">
        <v>97.87</v>
      </c>
      <c r="N479" t="s">
        <v>35</v>
      </c>
      <c r="O479" s="3"/>
      <c r="P479" s="3"/>
    </row>
    <row r="480" spans="1:16" x14ac:dyDescent="0.3">
      <c r="A480" t="s">
        <v>1414</v>
      </c>
      <c r="B480" s="9" t="s">
        <v>1415</v>
      </c>
      <c r="C480" s="20" t="str">
        <f t="shared" si="7"/>
        <v>Sep</v>
      </c>
      <c r="D480" t="s">
        <v>1391</v>
      </c>
      <c r="E480" s="10" t="s">
        <v>601</v>
      </c>
      <c r="F480" t="s">
        <v>59</v>
      </c>
      <c r="G480" t="s">
        <v>33</v>
      </c>
      <c r="H480" t="s">
        <v>69</v>
      </c>
      <c r="I480">
        <v>2</v>
      </c>
      <c r="J480" s="3">
        <v>28.53</v>
      </c>
      <c r="K480" s="2">
        <v>0.1</v>
      </c>
      <c r="L480" s="3">
        <v>51.35</v>
      </c>
      <c r="M480" s="3">
        <v>13.27</v>
      </c>
      <c r="N480" t="s">
        <v>35</v>
      </c>
      <c r="O480" s="3"/>
      <c r="P480" s="3"/>
    </row>
    <row r="481" spans="1:16" x14ac:dyDescent="0.3">
      <c r="A481" t="s">
        <v>1416</v>
      </c>
      <c r="B481" s="9" t="s">
        <v>275</v>
      </c>
      <c r="C481" s="20" t="str">
        <f t="shared" si="7"/>
        <v>Oct</v>
      </c>
      <c r="D481" t="s">
        <v>1079</v>
      </c>
      <c r="E481" s="10" t="s">
        <v>634</v>
      </c>
      <c r="F481" t="s">
        <v>25</v>
      </c>
      <c r="G481" t="s">
        <v>26</v>
      </c>
      <c r="H481" t="s">
        <v>118</v>
      </c>
      <c r="I481">
        <v>6</v>
      </c>
      <c r="J481" s="3">
        <v>229.3</v>
      </c>
      <c r="K481" s="2">
        <v>0</v>
      </c>
      <c r="L481" s="3">
        <v>1375.8</v>
      </c>
      <c r="M481" s="3">
        <v>171.14</v>
      </c>
      <c r="N481" t="s">
        <v>40</v>
      </c>
      <c r="O481" s="3"/>
      <c r="P481" s="3"/>
    </row>
    <row r="482" spans="1:16" x14ac:dyDescent="0.3">
      <c r="A482" t="s">
        <v>1417</v>
      </c>
      <c r="B482" s="9" t="s">
        <v>1418</v>
      </c>
      <c r="C482" s="20" t="str">
        <f t="shared" si="7"/>
        <v>Sep</v>
      </c>
      <c r="D482" t="s">
        <v>224</v>
      </c>
      <c r="E482" s="10" t="s">
        <v>1419</v>
      </c>
      <c r="F482" t="s">
        <v>59</v>
      </c>
      <c r="G482" t="s">
        <v>18</v>
      </c>
      <c r="H482" t="s">
        <v>45</v>
      </c>
      <c r="I482">
        <v>6</v>
      </c>
      <c r="J482" s="3">
        <v>125.67</v>
      </c>
      <c r="K482" s="2">
        <v>0.05</v>
      </c>
      <c r="L482" s="3">
        <v>716.32</v>
      </c>
      <c r="M482" s="3">
        <v>207.31</v>
      </c>
      <c r="N482" t="s">
        <v>35</v>
      </c>
      <c r="O482" s="3"/>
      <c r="P482" s="3"/>
    </row>
    <row r="483" spans="1:16" x14ac:dyDescent="0.3">
      <c r="A483" t="s">
        <v>1420</v>
      </c>
      <c r="B483" s="9" t="s">
        <v>457</v>
      </c>
      <c r="C483" s="20" t="str">
        <f t="shared" si="7"/>
        <v>Jan</v>
      </c>
      <c r="D483" t="s">
        <v>181</v>
      </c>
      <c r="E483" s="10" t="s">
        <v>227</v>
      </c>
      <c r="F483" t="s">
        <v>64</v>
      </c>
      <c r="G483" t="s">
        <v>89</v>
      </c>
      <c r="H483" t="s">
        <v>150</v>
      </c>
      <c r="I483">
        <v>4</v>
      </c>
      <c r="J483" s="3">
        <v>116.04</v>
      </c>
      <c r="K483" s="2">
        <v>0.15</v>
      </c>
      <c r="L483" s="3">
        <v>394.54</v>
      </c>
      <c r="M483" s="3">
        <v>58.14</v>
      </c>
      <c r="N483" t="s">
        <v>40</v>
      </c>
      <c r="O483" s="3"/>
      <c r="P483" s="3"/>
    </row>
    <row r="484" spans="1:16" x14ac:dyDescent="0.3">
      <c r="A484" t="s">
        <v>1421</v>
      </c>
      <c r="B484" s="9" t="s">
        <v>108</v>
      </c>
      <c r="C484" s="20" t="str">
        <f t="shared" si="7"/>
        <v>May</v>
      </c>
      <c r="D484" t="s">
        <v>1422</v>
      </c>
      <c r="E484" s="10" t="s">
        <v>1423</v>
      </c>
      <c r="F484" t="s">
        <v>64</v>
      </c>
      <c r="G484" t="s">
        <v>33</v>
      </c>
      <c r="H484" t="s">
        <v>34</v>
      </c>
      <c r="I484">
        <v>6</v>
      </c>
      <c r="J484" s="3">
        <v>22.69</v>
      </c>
      <c r="K484" s="2">
        <v>0.15</v>
      </c>
      <c r="L484" s="3">
        <v>115.72</v>
      </c>
      <c r="M484" s="3">
        <v>32.04</v>
      </c>
      <c r="N484" t="s">
        <v>20</v>
      </c>
      <c r="O484" s="3"/>
      <c r="P484" s="3"/>
    </row>
    <row r="485" spans="1:16" x14ac:dyDescent="0.3">
      <c r="A485" t="s">
        <v>1424</v>
      </c>
      <c r="B485" s="9" t="s">
        <v>924</v>
      </c>
      <c r="C485" s="20" t="str">
        <f t="shared" si="7"/>
        <v>Apr</v>
      </c>
      <c r="D485" t="s">
        <v>831</v>
      </c>
      <c r="E485" s="10" t="s">
        <v>641</v>
      </c>
      <c r="F485" t="s">
        <v>25</v>
      </c>
      <c r="G485" t="s">
        <v>26</v>
      </c>
      <c r="H485" t="s">
        <v>118</v>
      </c>
      <c r="I485">
        <v>6</v>
      </c>
      <c r="J485" s="3">
        <v>187.1</v>
      </c>
      <c r="K485" s="2">
        <v>0.1</v>
      </c>
      <c r="L485" s="3">
        <v>1010.34</v>
      </c>
      <c r="M485" s="3">
        <v>134.28</v>
      </c>
      <c r="N485" t="s">
        <v>35</v>
      </c>
      <c r="O485" s="3"/>
      <c r="P485" s="3"/>
    </row>
    <row r="486" spans="1:16" x14ac:dyDescent="0.3">
      <c r="A486" t="s">
        <v>1425</v>
      </c>
      <c r="B486" s="9" t="s">
        <v>506</v>
      </c>
      <c r="C486" s="20" t="str">
        <f t="shared" si="7"/>
        <v>Feb</v>
      </c>
      <c r="D486" t="s">
        <v>1003</v>
      </c>
      <c r="E486" s="10" t="s">
        <v>1426</v>
      </c>
      <c r="F486" t="s">
        <v>25</v>
      </c>
      <c r="G486" t="s">
        <v>26</v>
      </c>
      <c r="H486" t="s">
        <v>118</v>
      </c>
      <c r="I486">
        <v>5</v>
      </c>
      <c r="J486" s="3">
        <v>23.37</v>
      </c>
      <c r="K486" s="2">
        <v>0.05</v>
      </c>
      <c r="L486" s="3">
        <v>111.01</v>
      </c>
      <c r="M486" s="3">
        <v>25.4</v>
      </c>
      <c r="N486" t="s">
        <v>35</v>
      </c>
      <c r="O486" s="3"/>
      <c r="P486" s="3"/>
    </row>
    <row r="487" spans="1:16" x14ac:dyDescent="0.3">
      <c r="A487" t="s">
        <v>1427</v>
      </c>
      <c r="B487" s="9" t="s">
        <v>1428</v>
      </c>
      <c r="C487" s="20" t="str">
        <f t="shared" si="7"/>
        <v>Jun</v>
      </c>
      <c r="D487" t="s">
        <v>1132</v>
      </c>
      <c r="E487" s="10" t="s">
        <v>445</v>
      </c>
      <c r="F487" t="s">
        <v>32</v>
      </c>
      <c r="G487" t="s">
        <v>26</v>
      </c>
      <c r="H487" t="s">
        <v>27</v>
      </c>
      <c r="I487">
        <v>3</v>
      </c>
      <c r="J487" s="3">
        <v>107.1</v>
      </c>
      <c r="K487" s="2">
        <v>0.05</v>
      </c>
      <c r="L487" s="3">
        <v>305.23</v>
      </c>
      <c r="M487" s="3">
        <v>59.68</v>
      </c>
      <c r="N487" t="s">
        <v>40</v>
      </c>
      <c r="O487" s="3"/>
      <c r="P487" s="3"/>
    </row>
    <row r="488" spans="1:16" x14ac:dyDescent="0.3">
      <c r="A488" t="s">
        <v>1429</v>
      </c>
      <c r="B488" s="9" t="s">
        <v>1049</v>
      </c>
      <c r="C488" s="20" t="str">
        <f t="shared" si="7"/>
        <v>Aug</v>
      </c>
      <c r="D488" t="s">
        <v>1430</v>
      </c>
      <c r="E488" s="10" t="s">
        <v>1431</v>
      </c>
      <c r="F488" t="s">
        <v>59</v>
      </c>
      <c r="G488" t="s">
        <v>18</v>
      </c>
      <c r="H488" t="s">
        <v>45</v>
      </c>
      <c r="I488">
        <v>5</v>
      </c>
      <c r="J488" s="3">
        <v>125.26</v>
      </c>
      <c r="K488" s="2">
        <v>0.1</v>
      </c>
      <c r="L488" s="3">
        <v>563.66999999999996</v>
      </c>
      <c r="M488" s="3">
        <v>94.78</v>
      </c>
      <c r="N488" t="s">
        <v>35</v>
      </c>
      <c r="O488" s="3"/>
      <c r="P488" s="3"/>
    </row>
    <row r="489" spans="1:16" x14ac:dyDescent="0.3">
      <c r="A489" t="s">
        <v>1432</v>
      </c>
      <c r="B489" s="9" t="s">
        <v>56</v>
      </c>
      <c r="C489" s="20" t="str">
        <f t="shared" si="7"/>
        <v>Dec</v>
      </c>
      <c r="D489" t="s">
        <v>1433</v>
      </c>
      <c r="E489" s="10" t="s">
        <v>288</v>
      </c>
      <c r="F489" t="s">
        <v>64</v>
      </c>
      <c r="G489" t="s">
        <v>89</v>
      </c>
      <c r="H489" t="s">
        <v>150</v>
      </c>
      <c r="I489">
        <v>6</v>
      </c>
      <c r="J489" s="3">
        <v>57.99</v>
      </c>
      <c r="K489" s="2">
        <v>0.15</v>
      </c>
      <c r="L489" s="3">
        <v>295.75</v>
      </c>
      <c r="M489" s="3">
        <v>38.01</v>
      </c>
      <c r="N489" t="s">
        <v>40</v>
      </c>
      <c r="O489" s="3"/>
      <c r="P489" s="3"/>
    </row>
    <row r="490" spans="1:16" x14ac:dyDescent="0.3">
      <c r="A490" t="s">
        <v>1434</v>
      </c>
      <c r="B490" s="9" t="s">
        <v>943</v>
      </c>
      <c r="C490" s="20" t="str">
        <f t="shared" si="7"/>
        <v>Feb</v>
      </c>
      <c r="D490" t="s">
        <v>77</v>
      </c>
      <c r="E490" s="10" t="s">
        <v>343</v>
      </c>
      <c r="F490" t="s">
        <v>17</v>
      </c>
      <c r="G490" t="s">
        <v>26</v>
      </c>
      <c r="H490" t="s">
        <v>84</v>
      </c>
      <c r="I490">
        <v>6</v>
      </c>
      <c r="J490" s="3">
        <v>45.5</v>
      </c>
      <c r="K490" s="2">
        <v>0.05</v>
      </c>
      <c r="L490" s="3">
        <v>259.35000000000002</v>
      </c>
      <c r="M490" s="3">
        <v>34.03</v>
      </c>
      <c r="N490" t="s">
        <v>35</v>
      </c>
      <c r="O490" s="3"/>
      <c r="P490" s="3"/>
    </row>
    <row r="491" spans="1:16" x14ac:dyDescent="0.3">
      <c r="A491" t="s">
        <v>1435</v>
      </c>
      <c r="B491" s="9" t="s">
        <v>715</v>
      </c>
      <c r="C491" s="20" t="str">
        <f t="shared" si="7"/>
        <v>Jun</v>
      </c>
      <c r="D491" t="s">
        <v>77</v>
      </c>
      <c r="E491" s="10" t="s">
        <v>1436</v>
      </c>
      <c r="F491" t="s">
        <v>64</v>
      </c>
      <c r="G491" t="s">
        <v>18</v>
      </c>
      <c r="H491" t="s">
        <v>79</v>
      </c>
      <c r="I491">
        <v>8</v>
      </c>
      <c r="J491" s="3">
        <v>36.46</v>
      </c>
      <c r="K491" s="2">
        <v>0</v>
      </c>
      <c r="L491" s="3">
        <v>291.68</v>
      </c>
      <c r="M491" s="3">
        <v>50.83</v>
      </c>
      <c r="N491" t="s">
        <v>20</v>
      </c>
      <c r="O491" s="3"/>
      <c r="P491" s="3"/>
    </row>
    <row r="492" spans="1:16" x14ac:dyDescent="0.3">
      <c r="A492" t="s">
        <v>1437</v>
      </c>
      <c r="B492" s="9" t="s">
        <v>712</v>
      </c>
      <c r="C492" s="20" t="str">
        <f t="shared" si="7"/>
        <v>Jul</v>
      </c>
      <c r="D492" t="s">
        <v>1438</v>
      </c>
      <c r="E492" s="10" t="s">
        <v>1439</v>
      </c>
      <c r="F492" t="s">
        <v>25</v>
      </c>
      <c r="G492" t="s">
        <v>33</v>
      </c>
      <c r="H492" t="s">
        <v>74</v>
      </c>
      <c r="I492">
        <v>6</v>
      </c>
      <c r="J492" s="3">
        <v>140.18</v>
      </c>
      <c r="K492" s="2">
        <v>0.1</v>
      </c>
      <c r="L492" s="3">
        <v>756.97</v>
      </c>
      <c r="M492" s="3">
        <v>62.68</v>
      </c>
      <c r="N492" t="s">
        <v>35</v>
      </c>
      <c r="O492" s="3"/>
      <c r="P492" s="3"/>
    </row>
    <row r="493" spans="1:16" x14ac:dyDescent="0.3">
      <c r="A493" t="s">
        <v>1440</v>
      </c>
      <c r="B493" s="9" t="s">
        <v>1441</v>
      </c>
      <c r="C493" s="20" t="str">
        <f t="shared" si="7"/>
        <v>Apr</v>
      </c>
      <c r="D493" t="s">
        <v>1145</v>
      </c>
      <c r="E493" s="10" t="s">
        <v>1442</v>
      </c>
      <c r="F493" t="s">
        <v>25</v>
      </c>
      <c r="G493" t="s">
        <v>33</v>
      </c>
      <c r="H493" t="s">
        <v>50</v>
      </c>
      <c r="I493">
        <v>8</v>
      </c>
      <c r="J493" s="3">
        <v>124.97</v>
      </c>
      <c r="K493" s="2">
        <v>0</v>
      </c>
      <c r="L493" s="3">
        <v>999.76</v>
      </c>
      <c r="M493" s="3">
        <v>122.4</v>
      </c>
      <c r="N493" t="s">
        <v>35</v>
      </c>
      <c r="O493" s="3"/>
      <c r="P493" s="3"/>
    </row>
    <row r="494" spans="1:16" x14ac:dyDescent="0.3">
      <c r="A494" t="s">
        <v>1443</v>
      </c>
      <c r="B494" s="9" t="s">
        <v>1124</v>
      </c>
      <c r="C494" s="20" t="str">
        <f t="shared" si="7"/>
        <v>Dec</v>
      </c>
      <c r="D494" t="s">
        <v>883</v>
      </c>
      <c r="E494" s="10" t="s">
        <v>1444</v>
      </c>
      <c r="F494" t="s">
        <v>17</v>
      </c>
      <c r="G494" t="s">
        <v>33</v>
      </c>
      <c r="H494" t="s">
        <v>50</v>
      </c>
      <c r="I494">
        <v>7</v>
      </c>
      <c r="J494" s="3">
        <v>224.56</v>
      </c>
      <c r="K494" s="2">
        <v>0</v>
      </c>
      <c r="L494" s="3">
        <v>1571.92</v>
      </c>
      <c r="M494" s="3">
        <v>257.62</v>
      </c>
      <c r="N494" t="s">
        <v>40</v>
      </c>
      <c r="O494" s="3"/>
      <c r="P494" s="3"/>
    </row>
    <row r="495" spans="1:16" x14ac:dyDescent="0.3">
      <c r="A495" t="s">
        <v>1445</v>
      </c>
      <c r="B495" s="9" t="s">
        <v>42</v>
      </c>
      <c r="C495" s="20" t="str">
        <f t="shared" si="7"/>
        <v>Jul</v>
      </c>
      <c r="D495" t="s">
        <v>1387</v>
      </c>
      <c r="E495" s="10" t="s">
        <v>1446</v>
      </c>
      <c r="F495" t="s">
        <v>64</v>
      </c>
      <c r="G495" t="s">
        <v>89</v>
      </c>
      <c r="H495" t="s">
        <v>150</v>
      </c>
      <c r="I495">
        <v>5</v>
      </c>
      <c r="J495" s="3">
        <v>46</v>
      </c>
      <c r="K495" s="2">
        <v>0.1</v>
      </c>
      <c r="L495" s="3">
        <v>207</v>
      </c>
      <c r="M495" s="3">
        <v>28.47</v>
      </c>
      <c r="N495" t="s">
        <v>20</v>
      </c>
      <c r="O495" s="3"/>
      <c r="P495" s="3"/>
    </row>
    <row r="496" spans="1:16" x14ac:dyDescent="0.3">
      <c r="A496" t="s">
        <v>1447</v>
      </c>
      <c r="B496" s="9" t="s">
        <v>242</v>
      </c>
      <c r="C496" s="20" t="str">
        <f t="shared" si="7"/>
        <v>Jun</v>
      </c>
      <c r="D496" t="s">
        <v>386</v>
      </c>
      <c r="E496" s="10" t="s">
        <v>175</v>
      </c>
      <c r="F496" t="s">
        <v>64</v>
      </c>
      <c r="G496" t="s">
        <v>18</v>
      </c>
      <c r="H496" t="s">
        <v>79</v>
      </c>
      <c r="I496">
        <v>8</v>
      </c>
      <c r="J496" s="3">
        <v>93.74</v>
      </c>
      <c r="K496" s="2">
        <v>0.15</v>
      </c>
      <c r="L496" s="3">
        <v>637.42999999999995</v>
      </c>
      <c r="M496" s="3">
        <v>159.04</v>
      </c>
      <c r="N496" t="s">
        <v>20</v>
      </c>
      <c r="O496" s="3"/>
      <c r="P496" s="3"/>
    </row>
    <row r="497" spans="1:16" x14ac:dyDescent="0.3">
      <c r="A497" t="s">
        <v>1448</v>
      </c>
      <c r="B497" s="9" t="s">
        <v>327</v>
      </c>
      <c r="C497" s="20" t="str">
        <f t="shared" si="7"/>
        <v>Sep</v>
      </c>
      <c r="D497" t="s">
        <v>1271</v>
      </c>
      <c r="E497" s="10" t="s">
        <v>441</v>
      </c>
      <c r="F497" t="s">
        <v>25</v>
      </c>
      <c r="G497" t="s">
        <v>89</v>
      </c>
      <c r="H497" t="s">
        <v>150</v>
      </c>
      <c r="I497">
        <v>2</v>
      </c>
      <c r="J497" s="3">
        <v>138.15</v>
      </c>
      <c r="K497" s="2">
        <v>0.15</v>
      </c>
      <c r="L497" s="3">
        <v>234.85</v>
      </c>
      <c r="M497" s="3">
        <v>59.71</v>
      </c>
      <c r="N497" t="s">
        <v>35</v>
      </c>
      <c r="O497" s="3"/>
      <c r="P497" s="3"/>
    </row>
    <row r="498" spans="1:16" x14ac:dyDescent="0.3">
      <c r="A498" t="s">
        <v>1449</v>
      </c>
      <c r="B498" s="9" t="s">
        <v>1267</v>
      </c>
      <c r="C498" s="20" t="str">
        <f t="shared" si="7"/>
        <v>Aug</v>
      </c>
      <c r="D498" t="s">
        <v>1110</v>
      </c>
      <c r="E498" s="10" t="s">
        <v>821</v>
      </c>
      <c r="F498" t="s">
        <v>17</v>
      </c>
      <c r="G498" t="s">
        <v>33</v>
      </c>
      <c r="H498" t="s">
        <v>50</v>
      </c>
      <c r="I498">
        <v>7</v>
      </c>
      <c r="J498" s="3">
        <v>91.64</v>
      </c>
      <c r="K498" s="2">
        <v>0.05</v>
      </c>
      <c r="L498" s="3">
        <v>609.41</v>
      </c>
      <c r="M498" s="3">
        <v>61.62</v>
      </c>
      <c r="N498" t="s">
        <v>20</v>
      </c>
      <c r="O498" s="3"/>
      <c r="P498" s="3"/>
    </row>
    <row r="499" spans="1:16" x14ac:dyDescent="0.3">
      <c r="A499" t="s">
        <v>1450</v>
      </c>
      <c r="B499" s="9" t="s">
        <v>583</v>
      </c>
      <c r="C499" s="20" t="str">
        <f t="shared" si="7"/>
        <v>Jun</v>
      </c>
      <c r="D499" t="s">
        <v>1451</v>
      </c>
      <c r="E499" s="10" t="s">
        <v>31</v>
      </c>
      <c r="F499" t="s">
        <v>17</v>
      </c>
      <c r="G499" t="s">
        <v>33</v>
      </c>
      <c r="H499" t="s">
        <v>34</v>
      </c>
      <c r="I499">
        <v>8</v>
      </c>
      <c r="J499" s="3">
        <v>180.08</v>
      </c>
      <c r="K499" s="2">
        <v>0.15</v>
      </c>
      <c r="L499" s="3">
        <v>1224.54</v>
      </c>
      <c r="M499" s="3">
        <v>333.6</v>
      </c>
      <c r="N499" t="s">
        <v>35</v>
      </c>
      <c r="O499" s="3"/>
      <c r="P499" s="3"/>
    </row>
    <row r="500" spans="1:16" x14ac:dyDescent="0.3">
      <c r="A500" t="s">
        <v>1452</v>
      </c>
      <c r="B500" s="9" t="s">
        <v>439</v>
      </c>
      <c r="C500" s="20" t="str">
        <f t="shared" si="7"/>
        <v>May</v>
      </c>
      <c r="D500" t="s">
        <v>332</v>
      </c>
      <c r="E500" s="10" t="s">
        <v>1453</v>
      </c>
      <c r="F500" t="s">
        <v>25</v>
      </c>
      <c r="G500" t="s">
        <v>18</v>
      </c>
      <c r="H500" t="s">
        <v>79</v>
      </c>
      <c r="I500">
        <v>5</v>
      </c>
      <c r="J500" s="3">
        <v>232.71</v>
      </c>
      <c r="K500" s="2">
        <v>0</v>
      </c>
      <c r="L500" s="3">
        <v>1163.55</v>
      </c>
      <c r="M500" s="3">
        <v>112.65</v>
      </c>
      <c r="N500" t="s">
        <v>20</v>
      </c>
      <c r="O500" s="3"/>
      <c r="P500" s="3"/>
    </row>
    <row r="501" spans="1:16" x14ac:dyDescent="0.3">
      <c r="A501" t="s">
        <v>1454</v>
      </c>
      <c r="B501" s="9" t="s">
        <v>302</v>
      </c>
      <c r="C501" s="20" t="str">
        <f t="shared" si="7"/>
        <v>Oct</v>
      </c>
      <c r="D501" t="s">
        <v>958</v>
      </c>
      <c r="E501" s="10" t="s">
        <v>1455</v>
      </c>
      <c r="F501" t="s">
        <v>32</v>
      </c>
      <c r="G501" t="s">
        <v>33</v>
      </c>
      <c r="H501" t="s">
        <v>74</v>
      </c>
      <c r="I501">
        <v>6</v>
      </c>
      <c r="J501" s="3">
        <v>38.53</v>
      </c>
      <c r="K501" s="2">
        <v>0.05</v>
      </c>
      <c r="L501" s="3">
        <v>219.62</v>
      </c>
      <c r="M501" s="3">
        <v>31.48</v>
      </c>
      <c r="N501" t="s">
        <v>35</v>
      </c>
      <c r="O501" s="3"/>
      <c r="P501" s="3"/>
    </row>
    <row r="502" spans="1:16" x14ac:dyDescent="0.3">
      <c r="A502" t="s">
        <v>1456</v>
      </c>
      <c r="B502" s="9" t="s">
        <v>663</v>
      </c>
      <c r="C502" s="20" t="str">
        <f t="shared" si="7"/>
        <v>Oct</v>
      </c>
      <c r="D502" t="s">
        <v>276</v>
      </c>
      <c r="E502" s="10" t="s">
        <v>1457</v>
      </c>
      <c r="F502" t="s">
        <v>17</v>
      </c>
      <c r="G502" t="s">
        <v>33</v>
      </c>
      <c r="H502" t="s">
        <v>50</v>
      </c>
      <c r="I502">
        <v>6</v>
      </c>
      <c r="J502" s="3">
        <v>180.21</v>
      </c>
      <c r="K502" s="2">
        <v>0.05</v>
      </c>
      <c r="L502" s="3">
        <v>1027.2</v>
      </c>
      <c r="M502" s="3">
        <v>124.35</v>
      </c>
      <c r="N502" t="s">
        <v>20</v>
      </c>
      <c r="O502" s="3"/>
      <c r="P502" s="3"/>
    </row>
    <row r="503" spans="1:16" x14ac:dyDescent="0.3">
      <c r="A503" t="s">
        <v>1458</v>
      </c>
      <c r="B503" s="9" t="s">
        <v>1459</v>
      </c>
      <c r="C503" s="20" t="str">
        <f t="shared" si="7"/>
        <v>Sep</v>
      </c>
      <c r="D503" t="s">
        <v>575</v>
      </c>
      <c r="E503" s="10" t="s">
        <v>1051</v>
      </c>
      <c r="F503" t="s">
        <v>17</v>
      </c>
      <c r="G503" t="s">
        <v>33</v>
      </c>
      <c r="H503" t="s">
        <v>74</v>
      </c>
      <c r="I503">
        <v>3</v>
      </c>
      <c r="J503" s="3">
        <v>154.97999999999999</v>
      </c>
      <c r="K503" s="2">
        <v>0.1</v>
      </c>
      <c r="L503" s="3">
        <v>418.45</v>
      </c>
      <c r="M503" s="3">
        <v>50.77</v>
      </c>
      <c r="N503" t="s">
        <v>20</v>
      </c>
      <c r="O503" s="3"/>
      <c r="P503" s="3"/>
    </row>
    <row r="504" spans="1:16" x14ac:dyDescent="0.3">
      <c r="A504" t="s">
        <v>1460</v>
      </c>
      <c r="B504" s="9" t="s">
        <v>408</v>
      </c>
      <c r="C504" s="20" t="str">
        <f t="shared" si="7"/>
        <v>Jun</v>
      </c>
      <c r="D504" t="s">
        <v>1461</v>
      </c>
      <c r="E504" s="10" t="s">
        <v>1423</v>
      </c>
      <c r="F504" t="s">
        <v>64</v>
      </c>
      <c r="G504" t="s">
        <v>89</v>
      </c>
      <c r="H504" t="s">
        <v>131</v>
      </c>
      <c r="I504">
        <v>3</v>
      </c>
      <c r="J504" s="3">
        <v>145.43</v>
      </c>
      <c r="K504" s="2">
        <v>0.15</v>
      </c>
      <c r="L504" s="3">
        <v>370.85</v>
      </c>
      <c r="M504" s="3">
        <v>78.2</v>
      </c>
      <c r="N504" t="s">
        <v>20</v>
      </c>
      <c r="O504" s="3"/>
      <c r="P504" s="3"/>
    </row>
    <row r="505" spans="1:16" x14ac:dyDescent="0.3">
      <c r="A505" t="s">
        <v>1462</v>
      </c>
      <c r="B505" s="9" t="s">
        <v>66</v>
      </c>
      <c r="C505" s="20" t="str">
        <f t="shared" si="7"/>
        <v>Mar</v>
      </c>
      <c r="D505" t="s">
        <v>490</v>
      </c>
      <c r="E505" s="10" t="s">
        <v>1463</v>
      </c>
      <c r="F505" t="s">
        <v>25</v>
      </c>
      <c r="G505" t="s">
        <v>33</v>
      </c>
      <c r="H505" t="s">
        <v>50</v>
      </c>
      <c r="I505">
        <v>2</v>
      </c>
      <c r="J505" s="3">
        <v>86.84</v>
      </c>
      <c r="K505" s="2">
        <v>0</v>
      </c>
      <c r="L505" s="3">
        <v>173.68</v>
      </c>
      <c r="M505" s="3">
        <v>17.64</v>
      </c>
      <c r="N505" t="s">
        <v>40</v>
      </c>
      <c r="O505" s="3"/>
      <c r="P505" s="3"/>
    </row>
    <row r="506" spans="1:16" x14ac:dyDescent="0.3">
      <c r="A506" t="s">
        <v>1464</v>
      </c>
      <c r="B506" s="9" t="s">
        <v>1465</v>
      </c>
      <c r="C506" s="20" t="str">
        <f t="shared" si="7"/>
        <v>Jan</v>
      </c>
      <c r="D506" t="s">
        <v>215</v>
      </c>
      <c r="E506" s="10" t="s">
        <v>1466</v>
      </c>
      <c r="F506" t="s">
        <v>32</v>
      </c>
      <c r="G506" t="s">
        <v>26</v>
      </c>
      <c r="H506" t="s">
        <v>84</v>
      </c>
      <c r="I506">
        <v>7</v>
      </c>
      <c r="J506" s="3">
        <v>175.86</v>
      </c>
      <c r="K506" s="2">
        <v>0</v>
      </c>
      <c r="L506" s="3">
        <v>1231.02</v>
      </c>
      <c r="M506" s="3">
        <v>326.70999999999998</v>
      </c>
      <c r="N506" t="s">
        <v>40</v>
      </c>
      <c r="O506" s="3"/>
      <c r="P506" s="3"/>
    </row>
    <row r="507" spans="1:16" x14ac:dyDescent="0.3">
      <c r="A507" t="s">
        <v>1467</v>
      </c>
      <c r="B507" s="9" t="s">
        <v>500</v>
      </c>
      <c r="C507" s="20" t="str">
        <f t="shared" si="7"/>
        <v>Nov</v>
      </c>
      <c r="D507" t="s">
        <v>507</v>
      </c>
      <c r="E507" s="10" t="s">
        <v>1468</v>
      </c>
      <c r="F507" t="s">
        <v>64</v>
      </c>
      <c r="G507" t="s">
        <v>18</v>
      </c>
      <c r="H507" t="s">
        <v>79</v>
      </c>
      <c r="I507">
        <v>8</v>
      </c>
      <c r="J507" s="3">
        <v>84.11</v>
      </c>
      <c r="K507" s="2">
        <v>0.1</v>
      </c>
      <c r="L507" s="3">
        <v>605.59</v>
      </c>
      <c r="M507" s="3">
        <v>75.599999999999994</v>
      </c>
      <c r="N507" t="s">
        <v>35</v>
      </c>
      <c r="O507" s="3"/>
      <c r="P507" s="3"/>
    </row>
    <row r="508" spans="1:16" x14ac:dyDescent="0.3">
      <c r="A508" t="s">
        <v>1469</v>
      </c>
      <c r="B508" s="9" t="s">
        <v>412</v>
      </c>
      <c r="C508" s="20" t="str">
        <f t="shared" si="7"/>
        <v>Feb</v>
      </c>
      <c r="D508" t="s">
        <v>684</v>
      </c>
      <c r="E508" s="10" t="s">
        <v>528</v>
      </c>
      <c r="F508" t="s">
        <v>25</v>
      </c>
      <c r="G508" t="s">
        <v>89</v>
      </c>
      <c r="H508" t="s">
        <v>90</v>
      </c>
      <c r="I508">
        <v>4</v>
      </c>
      <c r="J508" s="3">
        <v>116.36</v>
      </c>
      <c r="K508" s="2">
        <v>0.1</v>
      </c>
      <c r="L508" s="3">
        <v>418.9</v>
      </c>
      <c r="M508" s="3">
        <v>50.24</v>
      </c>
      <c r="N508" t="s">
        <v>35</v>
      </c>
      <c r="O508" s="3"/>
      <c r="P508" s="3"/>
    </row>
    <row r="509" spans="1:16" x14ac:dyDescent="0.3">
      <c r="A509" t="s">
        <v>1470</v>
      </c>
      <c r="B509" s="9" t="s">
        <v>530</v>
      </c>
      <c r="C509" s="20" t="str">
        <f t="shared" si="7"/>
        <v>Mar</v>
      </c>
      <c r="D509" t="s">
        <v>421</v>
      </c>
      <c r="E509" s="10" t="s">
        <v>1300</v>
      </c>
      <c r="F509" t="s">
        <v>17</v>
      </c>
      <c r="G509" t="s">
        <v>18</v>
      </c>
      <c r="H509" t="s">
        <v>45</v>
      </c>
      <c r="I509">
        <v>8</v>
      </c>
      <c r="J509" s="3">
        <v>210.77</v>
      </c>
      <c r="K509" s="2">
        <v>0.1</v>
      </c>
      <c r="L509" s="3">
        <v>1517.54</v>
      </c>
      <c r="M509" s="3">
        <v>440.17</v>
      </c>
      <c r="N509" t="s">
        <v>20</v>
      </c>
      <c r="O509" s="3"/>
      <c r="P509" s="3"/>
    </row>
    <row r="510" spans="1:16" x14ac:dyDescent="0.3">
      <c r="A510" t="s">
        <v>1471</v>
      </c>
      <c r="B510" s="9" t="s">
        <v>464</v>
      </c>
      <c r="C510" s="20" t="str">
        <f t="shared" si="7"/>
        <v>Mar</v>
      </c>
      <c r="D510" t="s">
        <v>486</v>
      </c>
      <c r="E510" s="10" t="s">
        <v>212</v>
      </c>
      <c r="F510" t="s">
        <v>17</v>
      </c>
      <c r="G510" t="s">
        <v>89</v>
      </c>
      <c r="H510" t="s">
        <v>150</v>
      </c>
      <c r="I510">
        <v>1</v>
      </c>
      <c r="J510" s="3">
        <v>47.6</v>
      </c>
      <c r="K510" s="2">
        <v>0.15</v>
      </c>
      <c r="L510" s="3">
        <v>40.46</v>
      </c>
      <c r="M510" s="3">
        <v>3.67</v>
      </c>
      <c r="N510" t="s">
        <v>40</v>
      </c>
      <c r="O510" s="3"/>
      <c r="P510" s="3"/>
    </row>
    <row r="511" spans="1:16" x14ac:dyDescent="0.3">
      <c r="A511" t="s">
        <v>1472</v>
      </c>
      <c r="B511" s="9" t="s">
        <v>988</v>
      </c>
      <c r="C511" s="20" t="str">
        <f t="shared" si="7"/>
        <v>Apr</v>
      </c>
      <c r="D511" t="s">
        <v>1473</v>
      </c>
      <c r="E511" s="10" t="s">
        <v>1153</v>
      </c>
      <c r="F511" t="s">
        <v>59</v>
      </c>
      <c r="G511" t="s">
        <v>89</v>
      </c>
      <c r="H511" t="s">
        <v>150</v>
      </c>
      <c r="I511">
        <v>8</v>
      </c>
      <c r="J511" s="3">
        <v>68.41</v>
      </c>
      <c r="K511" s="2">
        <v>0.1</v>
      </c>
      <c r="L511" s="3">
        <v>492.55</v>
      </c>
      <c r="M511" s="3">
        <v>44.33</v>
      </c>
      <c r="N511" t="s">
        <v>20</v>
      </c>
      <c r="O511" s="3"/>
      <c r="P511" s="3"/>
    </row>
    <row r="512" spans="1:16" x14ac:dyDescent="0.3">
      <c r="A512" t="s">
        <v>1474</v>
      </c>
      <c r="B512" s="9" t="s">
        <v>1118</v>
      </c>
      <c r="C512" s="20" t="str">
        <f t="shared" si="7"/>
        <v>Feb</v>
      </c>
      <c r="D512" t="s">
        <v>82</v>
      </c>
      <c r="E512" s="10" t="s">
        <v>1475</v>
      </c>
      <c r="F512" t="s">
        <v>25</v>
      </c>
      <c r="G512" t="s">
        <v>18</v>
      </c>
      <c r="H512" t="s">
        <v>45</v>
      </c>
      <c r="I512">
        <v>5</v>
      </c>
      <c r="J512" s="3">
        <v>157.01</v>
      </c>
      <c r="K512" s="2">
        <v>0.15</v>
      </c>
      <c r="L512" s="3">
        <v>667.29</v>
      </c>
      <c r="M512" s="3">
        <v>119.88</v>
      </c>
      <c r="N512" t="s">
        <v>40</v>
      </c>
      <c r="O512" s="3"/>
      <c r="P512" s="3"/>
    </row>
    <row r="513" spans="1:16" x14ac:dyDescent="0.3">
      <c r="A513" t="s">
        <v>1476</v>
      </c>
      <c r="B513" s="9" t="s">
        <v>1170</v>
      </c>
      <c r="C513" s="20" t="str">
        <f t="shared" si="7"/>
        <v>Feb</v>
      </c>
      <c r="D513" t="s">
        <v>936</v>
      </c>
      <c r="E513" s="10" t="s">
        <v>776</v>
      </c>
      <c r="F513" t="s">
        <v>25</v>
      </c>
      <c r="G513" t="s">
        <v>26</v>
      </c>
      <c r="H513" t="s">
        <v>84</v>
      </c>
      <c r="I513">
        <v>4</v>
      </c>
      <c r="J513" s="3">
        <v>103.13</v>
      </c>
      <c r="K513" s="2">
        <v>0.1</v>
      </c>
      <c r="L513" s="3">
        <v>371.27</v>
      </c>
      <c r="M513" s="3">
        <v>99.79</v>
      </c>
      <c r="N513" t="s">
        <v>40</v>
      </c>
      <c r="O513" s="3"/>
      <c r="P513" s="3"/>
    </row>
    <row r="514" spans="1:16" x14ac:dyDescent="0.3">
      <c r="A514" t="s">
        <v>1477</v>
      </c>
      <c r="B514" s="9" t="s">
        <v>404</v>
      </c>
      <c r="C514" s="20" t="str">
        <f t="shared" ref="C514:C577" si="8">TEXT(B:B, "mmm")</f>
        <v>Feb</v>
      </c>
      <c r="D514" t="s">
        <v>38</v>
      </c>
      <c r="E514" s="10" t="s">
        <v>508</v>
      </c>
      <c r="F514" t="s">
        <v>25</v>
      </c>
      <c r="G514" t="s">
        <v>26</v>
      </c>
      <c r="H514" t="s">
        <v>84</v>
      </c>
      <c r="I514">
        <v>2</v>
      </c>
      <c r="J514" s="3">
        <v>238.01</v>
      </c>
      <c r="K514" s="2">
        <v>0</v>
      </c>
      <c r="L514" s="3">
        <v>476.02</v>
      </c>
      <c r="M514" s="3">
        <v>116.9</v>
      </c>
      <c r="N514" t="s">
        <v>40</v>
      </c>
      <c r="O514" s="3"/>
      <c r="P514" s="3"/>
    </row>
    <row r="515" spans="1:16" x14ac:dyDescent="0.3">
      <c r="A515" t="s">
        <v>1478</v>
      </c>
      <c r="B515" s="9" t="s">
        <v>904</v>
      </c>
      <c r="C515" s="20" t="str">
        <f t="shared" si="8"/>
        <v>Apr</v>
      </c>
      <c r="D515" t="s">
        <v>567</v>
      </c>
      <c r="E515" s="10" t="s">
        <v>1479</v>
      </c>
      <c r="F515" t="s">
        <v>32</v>
      </c>
      <c r="G515" t="s">
        <v>26</v>
      </c>
      <c r="H515" t="s">
        <v>84</v>
      </c>
      <c r="I515">
        <v>2</v>
      </c>
      <c r="J515" s="3">
        <v>146.03</v>
      </c>
      <c r="K515" s="2">
        <v>0.05</v>
      </c>
      <c r="L515" s="3">
        <v>277.45999999999998</v>
      </c>
      <c r="M515" s="3">
        <v>24.39</v>
      </c>
      <c r="N515" t="s">
        <v>20</v>
      </c>
      <c r="O515" s="3"/>
      <c r="P515" s="3"/>
    </row>
    <row r="516" spans="1:16" x14ac:dyDescent="0.3">
      <c r="A516" t="s">
        <v>1480</v>
      </c>
      <c r="B516" s="9" t="s">
        <v>671</v>
      </c>
      <c r="C516" s="20" t="str">
        <f t="shared" si="8"/>
        <v>Aug</v>
      </c>
      <c r="D516" t="s">
        <v>62</v>
      </c>
      <c r="E516" s="10" t="s">
        <v>1481</v>
      </c>
      <c r="F516" t="s">
        <v>32</v>
      </c>
      <c r="G516" t="s">
        <v>89</v>
      </c>
      <c r="H516" t="s">
        <v>131</v>
      </c>
      <c r="I516">
        <v>3</v>
      </c>
      <c r="J516" s="3">
        <v>120.06</v>
      </c>
      <c r="K516" s="2">
        <v>0.15</v>
      </c>
      <c r="L516" s="3">
        <v>306.14999999999998</v>
      </c>
      <c r="M516" s="3">
        <v>51.61</v>
      </c>
      <c r="N516" t="s">
        <v>35</v>
      </c>
      <c r="O516" s="3"/>
      <c r="P516" s="3"/>
    </row>
    <row r="517" spans="1:16" x14ac:dyDescent="0.3">
      <c r="A517" t="s">
        <v>1482</v>
      </c>
      <c r="B517" s="9" t="s">
        <v>1483</v>
      </c>
      <c r="C517" s="20" t="str">
        <f t="shared" si="8"/>
        <v>Dec</v>
      </c>
      <c r="D517" t="s">
        <v>307</v>
      </c>
      <c r="E517" s="10" t="s">
        <v>1484</v>
      </c>
      <c r="F517" t="s">
        <v>17</v>
      </c>
      <c r="G517" t="s">
        <v>33</v>
      </c>
      <c r="H517" t="s">
        <v>74</v>
      </c>
      <c r="I517">
        <v>3</v>
      </c>
      <c r="J517" s="3">
        <v>53.27</v>
      </c>
      <c r="K517" s="2">
        <v>0.15</v>
      </c>
      <c r="L517" s="3">
        <v>135.84</v>
      </c>
      <c r="M517" s="3">
        <v>35.64</v>
      </c>
      <c r="N517" t="s">
        <v>35</v>
      </c>
      <c r="O517" s="3"/>
      <c r="P517" s="3"/>
    </row>
    <row r="518" spans="1:16" x14ac:dyDescent="0.3">
      <c r="A518" t="s">
        <v>1485</v>
      </c>
      <c r="B518" s="9" t="s">
        <v>1486</v>
      </c>
      <c r="C518" s="20" t="str">
        <f t="shared" si="8"/>
        <v>Jan</v>
      </c>
      <c r="D518" t="s">
        <v>1487</v>
      </c>
      <c r="E518" s="10" t="s">
        <v>628</v>
      </c>
      <c r="F518" t="s">
        <v>64</v>
      </c>
      <c r="G518" t="s">
        <v>89</v>
      </c>
      <c r="H518" t="s">
        <v>150</v>
      </c>
      <c r="I518">
        <v>6</v>
      </c>
      <c r="J518" s="3">
        <v>77.47</v>
      </c>
      <c r="K518" s="2">
        <v>0.05</v>
      </c>
      <c r="L518" s="3">
        <v>441.58</v>
      </c>
      <c r="M518" s="3">
        <v>123.84</v>
      </c>
      <c r="N518" t="s">
        <v>40</v>
      </c>
      <c r="O518" s="3"/>
      <c r="P518" s="3"/>
    </row>
    <row r="519" spans="1:16" x14ac:dyDescent="0.3">
      <c r="A519" t="s">
        <v>1488</v>
      </c>
      <c r="B519" s="9" t="s">
        <v>1489</v>
      </c>
      <c r="C519" s="20" t="str">
        <f t="shared" si="8"/>
        <v>Jun</v>
      </c>
      <c r="D519" t="s">
        <v>507</v>
      </c>
      <c r="E519" s="10" t="s">
        <v>1490</v>
      </c>
      <c r="F519" t="s">
        <v>32</v>
      </c>
      <c r="G519" t="s">
        <v>89</v>
      </c>
      <c r="H519" t="s">
        <v>150</v>
      </c>
      <c r="I519">
        <v>3</v>
      </c>
      <c r="J519" s="3">
        <v>222.49</v>
      </c>
      <c r="K519" s="2">
        <v>0.15</v>
      </c>
      <c r="L519" s="3">
        <v>567.35</v>
      </c>
      <c r="M519" s="3">
        <v>84.49</v>
      </c>
      <c r="N519" t="s">
        <v>35</v>
      </c>
      <c r="O519" s="3"/>
      <c r="P519" s="3"/>
    </row>
    <row r="520" spans="1:16" x14ac:dyDescent="0.3">
      <c r="A520" t="s">
        <v>1491</v>
      </c>
      <c r="B520" s="9" t="s">
        <v>66</v>
      </c>
      <c r="C520" s="20" t="str">
        <f t="shared" si="8"/>
        <v>Mar</v>
      </c>
      <c r="D520" t="s">
        <v>1492</v>
      </c>
      <c r="E520" s="10" t="s">
        <v>1315</v>
      </c>
      <c r="F520" t="s">
        <v>59</v>
      </c>
      <c r="G520" t="s">
        <v>33</v>
      </c>
      <c r="H520" t="s">
        <v>74</v>
      </c>
      <c r="I520">
        <v>7</v>
      </c>
      <c r="J520" s="3">
        <v>55.03</v>
      </c>
      <c r="K520" s="2">
        <v>0.1</v>
      </c>
      <c r="L520" s="3">
        <v>346.69</v>
      </c>
      <c r="M520" s="3">
        <v>61.77</v>
      </c>
      <c r="N520" t="s">
        <v>20</v>
      </c>
      <c r="O520" s="3"/>
      <c r="P520" s="3"/>
    </row>
    <row r="521" spans="1:16" x14ac:dyDescent="0.3">
      <c r="A521" t="s">
        <v>1493</v>
      </c>
      <c r="B521" s="9" t="s">
        <v>100</v>
      </c>
      <c r="C521" s="20" t="str">
        <f t="shared" si="8"/>
        <v>Jul</v>
      </c>
      <c r="D521" t="s">
        <v>549</v>
      </c>
      <c r="E521" s="10" t="s">
        <v>1269</v>
      </c>
      <c r="F521" t="s">
        <v>32</v>
      </c>
      <c r="G521" t="s">
        <v>33</v>
      </c>
      <c r="H521" t="s">
        <v>34</v>
      </c>
      <c r="I521">
        <v>6</v>
      </c>
      <c r="J521" s="3">
        <v>37.450000000000003</v>
      </c>
      <c r="K521" s="2">
        <v>0.1</v>
      </c>
      <c r="L521" s="3">
        <v>202.23</v>
      </c>
      <c r="M521" s="3">
        <v>24.92</v>
      </c>
      <c r="N521" t="s">
        <v>35</v>
      </c>
      <c r="O521" s="3"/>
      <c r="P521" s="3"/>
    </row>
    <row r="522" spans="1:16" x14ac:dyDescent="0.3">
      <c r="A522" t="s">
        <v>1494</v>
      </c>
      <c r="B522" s="9" t="s">
        <v>1495</v>
      </c>
      <c r="C522" s="20" t="str">
        <f t="shared" si="8"/>
        <v>Jan</v>
      </c>
      <c r="D522" t="s">
        <v>57</v>
      </c>
      <c r="E522" s="10" t="s">
        <v>718</v>
      </c>
      <c r="F522" t="s">
        <v>25</v>
      </c>
      <c r="G522" t="s">
        <v>33</v>
      </c>
      <c r="H522" t="s">
        <v>74</v>
      </c>
      <c r="I522">
        <v>2</v>
      </c>
      <c r="J522" s="3">
        <v>29.39</v>
      </c>
      <c r="K522" s="2">
        <v>0</v>
      </c>
      <c r="L522" s="3">
        <v>58.78</v>
      </c>
      <c r="M522" s="3">
        <v>8.01</v>
      </c>
      <c r="N522" t="s">
        <v>40</v>
      </c>
      <c r="O522" s="3"/>
      <c r="P522" s="3"/>
    </row>
    <row r="523" spans="1:16" x14ac:dyDescent="0.3">
      <c r="A523" t="s">
        <v>1496</v>
      </c>
      <c r="B523" s="9" t="s">
        <v>798</v>
      </c>
      <c r="C523" s="20" t="str">
        <f t="shared" si="8"/>
        <v>Jul</v>
      </c>
      <c r="D523" t="s">
        <v>1497</v>
      </c>
      <c r="E523" s="10" t="s">
        <v>1481</v>
      </c>
      <c r="F523" t="s">
        <v>25</v>
      </c>
      <c r="G523" t="s">
        <v>89</v>
      </c>
      <c r="H523" t="s">
        <v>90</v>
      </c>
      <c r="I523">
        <v>1</v>
      </c>
      <c r="J523" s="3">
        <v>136.84</v>
      </c>
      <c r="K523" s="2">
        <v>0.15</v>
      </c>
      <c r="L523" s="3">
        <v>116.31</v>
      </c>
      <c r="M523" s="3">
        <v>33.299999999999997</v>
      </c>
      <c r="N523" t="s">
        <v>35</v>
      </c>
      <c r="O523" s="3"/>
      <c r="P523" s="3"/>
    </row>
    <row r="524" spans="1:16" x14ac:dyDescent="0.3">
      <c r="A524" t="s">
        <v>1498</v>
      </c>
      <c r="B524" s="9" t="s">
        <v>368</v>
      </c>
      <c r="C524" s="20" t="str">
        <f t="shared" si="8"/>
        <v>Jul</v>
      </c>
      <c r="D524" t="s">
        <v>1499</v>
      </c>
      <c r="E524" s="10" t="s">
        <v>1500</v>
      </c>
      <c r="F524" t="s">
        <v>64</v>
      </c>
      <c r="G524" t="s">
        <v>33</v>
      </c>
      <c r="H524" t="s">
        <v>50</v>
      </c>
      <c r="I524">
        <v>5</v>
      </c>
      <c r="J524" s="3">
        <v>26.04</v>
      </c>
      <c r="K524" s="2">
        <v>0.1</v>
      </c>
      <c r="L524" s="3">
        <v>117.18</v>
      </c>
      <c r="M524" s="3">
        <v>30.47</v>
      </c>
      <c r="N524" t="s">
        <v>20</v>
      </c>
      <c r="O524" s="3"/>
      <c r="P524" s="3"/>
    </row>
    <row r="525" spans="1:16" x14ac:dyDescent="0.3">
      <c r="A525" t="s">
        <v>1501</v>
      </c>
      <c r="B525" s="9" t="s">
        <v>657</v>
      </c>
      <c r="C525" s="20" t="str">
        <f t="shared" si="8"/>
        <v>Dec</v>
      </c>
      <c r="D525" t="s">
        <v>1502</v>
      </c>
      <c r="E525" s="10" t="s">
        <v>1084</v>
      </c>
      <c r="F525" t="s">
        <v>17</v>
      </c>
      <c r="G525" t="s">
        <v>33</v>
      </c>
      <c r="H525" t="s">
        <v>74</v>
      </c>
      <c r="I525">
        <v>1</v>
      </c>
      <c r="J525" s="3">
        <v>48.74</v>
      </c>
      <c r="K525" s="2">
        <v>0.05</v>
      </c>
      <c r="L525" s="3">
        <v>46.3</v>
      </c>
      <c r="M525" s="3">
        <v>5.26</v>
      </c>
      <c r="N525" t="s">
        <v>40</v>
      </c>
      <c r="O525" s="3"/>
      <c r="P525" s="3"/>
    </row>
    <row r="526" spans="1:16" x14ac:dyDescent="0.3">
      <c r="A526" t="s">
        <v>1503</v>
      </c>
      <c r="B526" s="9" t="s">
        <v>327</v>
      </c>
      <c r="C526" s="20" t="str">
        <f t="shared" si="8"/>
        <v>Sep</v>
      </c>
      <c r="D526" t="s">
        <v>1504</v>
      </c>
      <c r="E526" s="10" t="s">
        <v>1505</v>
      </c>
      <c r="F526" t="s">
        <v>25</v>
      </c>
      <c r="G526" t="s">
        <v>18</v>
      </c>
      <c r="H526" t="s">
        <v>19</v>
      </c>
      <c r="I526">
        <v>2</v>
      </c>
      <c r="J526" s="3">
        <v>23.06</v>
      </c>
      <c r="K526" s="2">
        <v>0.15</v>
      </c>
      <c r="L526" s="3">
        <v>39.200000000000003</v>
      </c>
      <c r="M526" s="3">
        <v>7.82</v>
      </c>
      <c r="N526" t="s">
        <v>40</v>
      </c>
      <c r="O526" s="3"/>
      <c r="P526" s="3"/>
    </row>
    <row r="527" spans="1:16" x14ac:dyDescent="0.3">
      <c r="A527" t="s">
        <v>1506</v>
      </c>
      <c r="B527" s="9" t="s">
        <v>957</v>
      </c>
      <c r="C527" s="20" t="str">
        <f t="shared" si="8"/>
        <v>Nov</v>
      </c>
      <c r="D527" t="s">
        <v>224</v>
      </c>
      <c r="E527" s="10" t="s">
        <v>1507</v>
      </c>
      <c r="F527" t="s">
        <v>32</v>
      </c>
      <c r="G527" t="s">
        <v>33</v>
      </c>
      <c r="H527" t="s">
        <v>69</v>
      </c>
      <c r="I527">
        <v>6</v>
      </c>
      <c r="J527" s="3">
        <v>161.49</v>
      </c>
      <c r="K527" s="2">
        <v>0.15</v>
      </c>
      <c r="L527" s="3">
        <v>823.6</v>
      </c>
      <c r="M527" s="3">
        <v>194.33</v>
      </c>
      <c r="N527" t="s">
        <v>20</v>
      </c>
      <c r="O527" s="3"/>
      <c r="P527" s="3"/>
    </row>
    <row r="528" spans="1:16" x14ac:dyDescent="0.3">
      <c r="A528" t="s">
        <v>1508</v>
      </c>
      <c r="B528" s="9" t="s">
        <v>574</v>
      </c>
      <c r="C528" s="20" t="str">
        <f t="shared" si="8"/>
        <v>Oct</v>
      </c>
      <c r="D528" t="s">
        <v>1509</v>
      </c>
      <c r="E528" s="10" t="s">
        <v>1510</v>
      </c>
      <c r="F528" t="s">
        <v>25</v>
      </c>
      <c r="G528" t="s">
        <v>26</v>
      </c>
      <c r="H528" t="s">
        <v>118</v>
      </c>
      <c r="I528">
        <v>2</v>
      </c>
      <c r="J528" s="3">
        <v>142.88999999999999</v>
      </c>
      <c r="K528" s="2">
        <v>0</v>
      </c>
      <c r="L528" s="3">
        <v>285.77999999999997</v>
      </c>
      <c r="M528" s="3">
        <v>66.510000000000005</v>
      </c>
      <c r="N528" t="s">
        <v>20</v>
      </c>
      <c r="O528" s="3"/>
      <c r="P528" s="3"/>
    </row>
    <row r="529" spans="1:16" x14ac:dyDescent="0.3">
      <c r="A529" t="s">
        <v>1511</v>
      </c>
      <c r="B529" s="9" t="s">
        <v>223</v>
      </c>
      <c r="C529" s="20" t="str">
        <f t="shared" si="8"/>
        <v>Jun</v>
      </c>
      <c r="D529" t="s">
        <v>1512</v>
      </c>
      <c r="E529" s="10" t="s">
        <v>329</v>
      </c>
      <c r="F529" t="s">
        <v>25</v>
      </c>
      <c r="G529" t="s">
        <v>26</v>
      </c>
      <c r="H529" t="s">
        <v>27</v>
      </c>
      <c r="I529">
        <v>3</v>
      </c>
      <c r="J529" s="3">
        <v>69.680000000000007</v>
      </c>
      <c r="K529" s="2">
        <v>0</v>
      </c>
      <c r="L529" s="3">
        <v>209.04</v>
      </c>
      <c r="M529" s="3">
        <v>59</v>
      </c>
      <c r="N529" t="s">
        <v>35</v>
      </c>
      <c r="O529" s="3"/>
      <c r="P529" s="3"/>
    </row>
    <row r="530" spans="1:16" x14ac:dyDescent="0.3">
      <c r="A530" t="s">
        <v>1513</v>
      </c>
      <c r="B530" s="9" t="s">
        <v>924</v>
      </c>
      <c r="C530" s="20" t="str">
        <f t="shared" si="8"/>
        <v>Apr</v>
      </c>
      <c r="D530" t="s">
        <v>215</v>
      </c>
      <c r="E530" s="10" t="s">
        <v>1323</v>
      </c>
      <c r="F530" t="s">
        <v>17</v>
      </c>
      <c r="G530" t="s">
        <v>26</v>
      </c>
      <c r="H530" t="s">
        <v>84</v>
      </c>
      <c r="I530">
        <v>7</v>
      </c>
      <c r="J530" s="3">
        <v>169.24</v>
      </c>
      <c r="K530" s="2">
        <v>0.05</v>
      </c>
      <c r="L530" s="3">
        <v>1125.45</v>
      </c>
      <c r="M530" s="3">
        <v>252.05</v>
      </c>
      <c r="N530" t="s">
        <v>20</v>
      </c>
      <c r="O530" s="3"/>
      <c r="P530" s="3"/>
    </row>
    <row r="531" spans="1:16" x14ac:dyDescent="0.3">
      <c r="A531" t="s">
        <v>1514</v>
      </c>
      <c r="B531" s="9" t="s">
        <v>396</v>
      </c>
      <c r="C531" s="20" t="str">
        <f t="shared" si="8"/>
        <v>May</v>
      </c>
      <c r="D531" t="s">
        <v>1515</v>
      </c>
      <c r="E531" s="10" t="s">
        <v>750</v>
      </c>
      <c r="F531" t="s">
        <v>32</v>
      </c>
      <c r="G531" t="s">
        <v>33</v>
      </c>
      <c r="H531" t="s">
        <v>50</v>
      </c>
      <c r="I531">
        <v>3</v>
      </c>
      <c r="J531" s="3">
        <v>227.63</v>
      </c>
      <c r="K531" s="2">
        <v>0.05</v>
      </c>
      <c r="L531" s="3">
        <v>648.75</v>
      </c>
      <c r="M531" s="3">
        <v>92.56</v>
      </c>
      <c r="N531" t="s">
        <v>35</v>
      </c>
      <c r="O531" s="3"/>
      <c r="P531" s="3"/>
    </row>
    <row r="532" spans="1:16" x14ac:dyDescent="0.3">
      <c r="A532" t="s">
        <v>1516</v>
      </c>
      <c r="B532" s="9" t="s">
        <v>239</v>
      </c>
      <c r="C532" s="20" t="str">
        <f t="shared" si="8"/>
        <v>Nov</v>
      </c>
      <c r="D532" t="s">
        <v>1517</v>
      </c>
      <c r="E532" s="10" t="s">
        <v>414</v>
      </c>
      <c r="F532" t="s">
        <v>59</v>
      </c>
      <c r="G532" t="s">
        <v>18</v>
      </c>
      <c r="H532" t="s">
        <v>19</v>
      </c>
      <c r="I532">
        <v>7</v>
      </c>
      <c r="J532" s="3">
        <v>109.43</v>
      </c>
      <c r="K532" s="2">
        <v>0.15</v>
      </c>
      <c r="L532" s="3">
        <v>651.11</v>
      </c>
      <c r="M532" s="3">
        <v>99.13</v>
      </c>
      <c r="N532" t="s">
        <v>20</v>
      </c>
      <c r="O532" s="3"/>
      <c r="P532" s="3"/>
    </row>
    <row r="533" spans="1:16" x14ac:dyDescent="0.3">
      <c r="A533" t="s">
        <v>1518</v>
      </c>
      <c r="B533" s="9" t="s">
        <v>104</v>
      </c>
      <c r="C533" s="20" t="str">
        <f t="shared" si="8"/>
        <v>May</v>
      </c>
      <c r="D533" t="s">
        <v>196</v>
      </c>
      <c r="E533" s="10" t="s">
        <v>808</v>
      </c>
      <c r="F533" t="s">
        <v>17</v>
      </c>
      <c r="G533" t="s">
        <v>26</v>
      </c>
      <c r="H533" t="s">
        <v>118</v>
      </c>
      <c r="I533">
        <v>1</v>
      </c>
      <c r="J533" s="3">
        <v>210.76</v>
      </c>
      <c r="K533" s="2">
        <v>0.15</v>
      </c>
      <c r="L533" s="3">
        <v>179.15</v>
      </c>
      <c r="M533" s="3">
        <v>26.18</v>
      </c>
      <c r="N533" t="s">
        <v>40</v>
      </c>
      <c r="O533" s="3"/>
      <c r="P533" s="3"/>
    </row>
    <row r="534" spans="1:16" x14ac:dyDescent="0.3">
      <c r="A534" t="s">
        <v>1519</v>
      </c>
      <c r="B534" s="9" t="s">
        <v>207</v>
      </c>
      <c r="C534" s="20" t="str">
        <f t="shared" si="8"/>
        <v>Mar</v>
      </c>
      <c r="D534" t="s">
        <v>1160</v>
      </c>
      <c r="E534" s="10" t="s">
        <v>1520</v>
      </c>
      <c r="F534" t="s">
        <v>64</v>
      </c>
      <c r="G534" t="s">
        <v>26</v>
      </c>
      <c r="H534" t="s">
        <v>84</v>
      </c>
      <c r="I534">
        <v>2</v>
      </c>
      <c r="J534" s="3">
        <v>85.51</v>
      </c>
      <c r="K534" s="2">
        <v>0.15</v>
      </c>
      <c r="L534" s="3">
        <v>145.37</v>
      </c>
      <c r="M534" s="3">
        <v>20.74</v>
      </c>
      <c r="N534" t="s">
        <v>20</v>
      </c>
      <c r="O534" s="3"/>
      <c r="P534" s="3"/>
    </row>
    <row r="535" spans="1:16" x14ac:dyDescent="0.3">
      <c r="A535" t="s">
        <v>1521</v>
      </c>
      <c r="B535" s="9" t="s">
        <v>603</v>
      </c>
      <c r="C535" s="20" t="str">
        <f t="shared" si="8"/>
        <v>Nov</v>
      </c>
      <c r="D535" t="s">
        <v>287</v>
      </c>
      <c r="E535" s="10" t="s">
        <v>829</v>
      </c>
      <c r="F535" t="s">
        <v>32</v>
      </c>
      <c r="G535" t="s">
        <v>26</v>
      </c>
      <c r="H535" t="s">
        <v>118</v>
      </c>
      <c r="I535">
        <v>8</v>
      </c>
      <c r="J535" s="3">
        <v>190.87</v>
      </c>
      <c r="K535" s="2">
        <v>0.15</v>
      </c>
      <c r="L535" s="3">
        <v>1297.92</v>
      </c>
      <c r="M535" s="3">
        <v>268.64</v>
      </c>
      <c r="N535" t="s">
        <v>40</v>
      </c>
      <c r="O535" s="3"/>
      <c r="P535" s="3"/>
    </row>
    <row r="536" spans="1:16" x14ac:dyDescent="0.3">
      <c r="A536" t="s">
        <v>1522</v>
      </c>
      <c r="B536" s="9" t="s">
        <v>1029</v>
      </c>
      <c r="C536" s="20" t="str">
        <f t="shared" si="8"/>
        <v>Dec</v>
      </c>
      <c r="D536" t="s">
        <v>1523</v>
      </c>
      <c r="E536" s="10" t="s">
        <v>612</v>
      </c>
      <c r="F536" t="s">
        <v>32</v>
      </c>
      <c r="G536" t="s">
        <v>89</v>
      </c>
      <c r="H536" t="s">
        <v>150</v>
      </c>
      <c r="I536">
        <v>3</v>
      </c>
      <c r="J536" s="3">
        <v>40.22</v>
      </c>
      <c r="K536" s="2">
        <v>0.05</v>
      </c>
      <c r="L536" s="3">
        <v>114.63</v>
      </c>
      <c r="M536" s="3">
        <v>24.61</v>
      </c>
      <c r="N536" t="s">
        <v>40</v>
      </c>
      <c r="O536" s="3"/>
      <c r="P536" s="3"/>
    </row>
    <row r="537" spans="1:16" x14ac:dyDescent="0.3">
      <c r="A537" t="s">
        <v>1524</v>
      </c>
      <c r="B537" s="9" t="s">
        <v>548</v>
      </c>
      <c r="C537" s="20" t="str">
        <f t="shared" si="8"/>
        <v>Aug</v>
      </c>
      <c r="D537" t="s">
        <v>134</v>
      </c>
      <c r="E537" s="10" t="s">
        <v>1525</v>
      </c>
      <c r="F537" t="s">
        <v>32</v>
      </c>
      <c r="G537" t="s">
        <v>33</v>
      </c>
      <c r="H537" t="s">
        <v>74</v>
      </c>
      <c r="I537">
        <v>5</v>
      </c>
      <c r="J537" s="3">
        <v>203.69</v>
      </c>
      <c r="K537" s="2">
        <v>0.15</v>
      </c>
      <c r="L537" s="3">
        <v>865.68</v>
      </c>
      <c r="M537" s="3">
        <v>147.16999999999999</v>
      </c>
      <c r="N537" t="s">
        <v>20</v>
      </c>
      <c r="O537" s="3"/>
      <c r="P537" s="3"/>
    </row>
    <row r="538" spans="1:16" x14ac:dyDescent="0.3">
      <c r="A538" t="s">
        <v>1526</v>
      </c>
      <c r="B538" s="9" t="s">
        <v>1035</v>
      </c>
      <c r="C538" s="20" t="str">
        <f t="shared" si="8"/>
        <v>Apr</v>
      </c>
      <c r="D538" t="s">
        <v>177</v>
      </c>
      <c r="E538" s="10" t="s">
        <v>201</v>
      </c>
      <c r="F538" t="s">
        <v>17</v>
      </c>
      <c r="G538" t="s">
        <v>18</v>
      </c>
      <c r="H538" t="s">
        <v>45</v>
      </c>
      <c r="I538">
        <v>5</v>
      </c>
      <c r="J538" s="3">
        <v>215.59</v>
      </c>
      <c r="K538" s="2">
        <v>0.05</v>
      </c>
      <c r="L538" s="3">
        <v>1024.05</v>
      </c>
      <c r="M538" s="3">
        <v>238.62</v>
      </c>
      <c r="N538" t="s">
        <v>35</v>
      </c>
      <c r="O538" s="3"/>
      <c r="P538" s="3"/>
    </row>
    <row r="539" spans="1:16" x14ac:dyDescent="0.3">
      <c r="A539" t="s">
        <v>1527</v>
      </c>
      <c r="B539" s="9" t="s">
        <v>850</v>
      </c>
      <c r="C539" s="20" t="str">
        <f t="shared" si="8"/>
        <v>Mar</v>
      </c>
      <c r="D539" t="s">
        <v>389</v>
      </c>
      <c r="E539" s="10" t="s">
        <v>758</v>
      </c>
      <c r="F539" t="s">
        <v>25</v>
      </c>
      <c r="G539" t="s">
        <v>33</v>
      </c>
      <c r="H539" t="s">
        <v>74</v>
      </c>
      <c r="I539">
        <v>4</v>
      </c>
      <c r="J539" s="3">
        <v>57.68</v>
      </c>
      <c r="K539" s="2">
        <v>0.05</v>
      </c>
      <c r="L539" s="3">
        <v>219.18</v>
      </c>
      <c r="M539" s="3">
        <v>37.08</v>
      </c>
      <c r="N539" t="s">
        <v>40</v>
      </c>
      <c r="O539" s="3"/>
      <c r="P539" s="3"/>
    </row>
    <row r="540" spans="1:16" x14ac:dyDescent="0.3">
      <c r="A540" t="s">
        <v>1528</v>
      </c>
      <c r="B540" s="9" t="s">
        <v>207</v>
      </c>
      <c r="C540" s="20" t="str">
        <f t="shared" si="8"/>
        <v>Mar</v>
      </c>
      <c r="D540" t="s">
        <v>1529</v>
      </c>
      <c r="E540" s="10" t="s">
        <v>300</v>
      </c>
      <c r="F540" t="s">
        <v>64</v>
      </c>
      <c r="G540" t="s">
        <v>89</v>
      </c>
      <c r="H540" t="s">
        <v>131</v>
      </c>
      <c r="I540">
        <v>6</v>
      </c>
      <c r="J540" s="3">
        <v>125.4</v>
      </c>
      <c r="K540" s="2">
        <v>0.1</v>
      </c>
      <c r="L540" s="3">
        <v>677.16</v>
      </c>
      <c r="M540" s="3">
        <v>125.24</v>
      </c>
      <c r="N540" t="s">
        <v>40</v>
      </c>
      <c r="O540" s="3"/>
      <c r="P540" s="3"/>
    </row>
    <row r="541" spans="1:16" x14ac:dyDescent="0.3">
      <c r="A541" t="s">
        <v>1530</v>
      </c>
      <c r="B541" s="9" t="s">
        <v>108</v>
      </c>
      <c r="C541" s="20" t="str">
        <f t="shared" si="8"/>
        <v>May</v>
      </c>
      <c r="D541" t="s">
        <v>295</v>
      </c>
      <c r="E541" s="10" t="s">
        <v>1231</v>
      </c>
      <c r="F541" t="s">
        <v>64</v>
      </c>
      <c r="G541" t="s">
        <v>89</v>
      </c>
      <c r="H541" t="s">
        <v>90</v>
      </c>
      <c r="I541">
        <v>8</v>
      </c>
      <c r="J541" s="3">
        <v>23.96</v>
      </c>
      <c r="K541" s="2">
        <v>0.15</v>
      </c>
      <c r="L541" s="3">
        <v>162.93</v>
      </c>
      <c r="M541" s="3">
        <v>32.950000000000003</v>
      </c>
      <c r="N541" t="s">
        <v>40</v>
      </c>
      <c r="O541" s="3"/>
      <c r="P541" s="3"/>
    </row>
    <row r="542" spans="1:16" x14ac:dyDescent="0.3">
      <c r="A542" t="s">
        <v>1531</v>
      </c>
      <c r="B542" s="9" t="s">
        <v>111</v>
      </c>
      <c r="C542" s="20" t="str">
        <f t="shared" si="8"/>
        <v>Apr</v>
      </c>
      <c r="D542" t="s">
        <v>1532</v>
      </c>
      <c r="E542" s="10" t="s">
        <v>552</v>
      </c>
      <c r="F542" t="s">
        <v>17</v>
      </c>
      <c r="G542" t="s">
        <v>33</v>
      </c>
      <c r="H542" t="s">
        <v>69</v>
      </c>
      <c r="I542">
        <v>5</v>
      </c>
      <c r="J542" s="3">
        <v>115.4</v>
      </c>
      <c r="K542" s="2">
        <v>0.1</v>
      </c>
      <c r="L542" s="3">
        <v>519.29999999999995</v>
      </c>
      <c r="M542" s="3">
        <v>138.82</v>
      </c>
      <c r="N542" t="s">
        <v>40</v>
      </c>
      <c r="O542" s="3"/>
      <c r="P542" s="3"/>
    </row>
    <row r="543" spans="1:16" x14ac:dyDescent="0.3">
      <c r="A543" t="s">
        <v>1535</v>
      </c>
      <c r="B543" s="9" t="s">
        <v>1536</v>
      </c>
      <c r="C543" s="20" t="str">
        <f t="shared" si="8"/>
        <v>Oct</v>
      </c>
      <c r="D543" t="s">
        <v>1063</v>
      </c>
      <c r="E543" s="10" t="s">
        <v>487</v>
      </c>
      <c r="F543" t="s">
        <v>64</v>
      </c>
      <c r="G543" t="s">
        <v>33</v>
      </c>
      <c r="H543" t="s">
        <v>34</v>
      </c>
      <c r="I543">
        <v>2</v>
      </c>
      <c r="J543" s="3">
        <v>147.29</v>
      </c>
      <c r="K543" s="2">
        <v>0.05</v>
      </c>
      <c r="L543" s="3">
        <v>279.85000000000002</v>
      </c>
      <c r="M543" s="3">
        <v>79.14</v>
      </c>
      <c r="N543" t="s">
        <v>20</v>
      </c>
      <c r="O543" s="3"/>
      <c r="P543" s="3"/>
    </row>
    <row r="544" spans="1:16" x14ac:dyDescent="0.3">
      <c r="A544" t="s">
        <v>1537</v>
      </c>
      <c r="B544" s="9" t="s">
        <v>972</v>
      </c>
      <c r="C544" s="20" t="str">
        <f t="shared" si="8"/>
        <v>Jul</v>
      </c>
      <c r="D544" t="s">
        <v>1312</v>
      </c>
      <c r="E544" s="10" t="s">
        <v>1479</v>
      </c>
      <c r="F544" t="s">
        <v>59</v>
      </c>
      <c r="G544" t="s">
        <v>89</v>
      </c>
      <c r="H544" t="s">
        <v>90</v>
      </c>
      <c r="I544">
        <v>8</v>
      </c>
      <c r="J544" s="3">
        <v>179.96</v>
      </c>
      <c r="K544" s="2">
        <v>0.15</v>
      </c>
      <c r="L544" s="3">
        <v>1223.73</v>
      </c>
      <c r="M544" s="3">
        <v>160.44</v>
      </c>
      <c r="N544" t="s">
        <v>35</v>
      </c>
      <c r="O544" s="3"/>
      <c r="P544" s="3"/>
    </row>
    <row r="545" spans="1:16" x14ac:dyDescent="0.3">
      <c r="A545" t="s">
        <v>1538</v>
      </c>
      <c r="B545" s="9" t="s">
        <v>983</v>
      </c>
      <c r="C545" s="20" t="str">
        <f t="shared" si="8"/>
        <v>Oct</v>
      </c>
      <c r="D545" t="s">
        <v>1539</v>
      </c>
      <c r="E545" s="10" t="s">
        <v>325</v>
      </c>
      <c r="F545" t="s">
        <v>32</v>
      </c>
      <c r="G545" t="s">
        <v>89</v>
      </c>
      <c r="H545" t="s">
        <v>150</v>
      </c>
      <c r="I545">
        <v>3</v>
      </c>
      <c r="J545" s="3">
        <v>56.46</v>
      </c>
      <c r="K545" s="2">
        <v>0.15</v>
      </c>
      <c r="L545" s="3">
        <v>143.97</v>
      </c>
      <c r="M545" s="3">
        <v>28.14</v>
      </c>
      <c r="N545" t="s">
        <v>35</v>
      </c>
      <c r="O545" s="3"/>
      <c r="P545" s="3"/>
    </row>
    <row r="546" spans="1:16" x14ac:dyDescent="0.3">
      <c r="A546" t="s">
        <v>1540</v>
      </c>
      <c r="B546" s="9" t="s">
        <v>1541</v>
      </c>
      <c r="C546" s="20" t="str">
        <f t="shared" si="8"/>
        <v>Dec</v>
      </c>
      <c r="D546" t="s">
        <v>1230</v>
      </c>
      <c r="E546" s="10" t="s">
        <v>445</v>
      </c>
      <c r="F546" t="s">
        <v>17</v>
      </c>
      <c r="G546" t="s">
        <v>33</v>
      </c>
      <c r="H546" t="s">
        <v>50</v>
      </c>
      <c r="I546">
        <v>5</v>
      </c>
      <c r="J546" s="3">
        <v>43.08</v>
      </c>
      <c r="K546" s="2">
        <v>0.15</v>
      </c>
      <c r="L546" s="3">
        <v>183.09</v>
      </c>
      <c r="M546" s="3">
        <v>35.79</v>
      </c>
      <c r="N546" t="s">
        <v>20</v>
      </c>
      <c r="O546" s="3"/>
      <c r="P546" s="3"/>
    </row>
    <row r="547" spans="1:16" x14ac:dyDescent="0.3">
      <c r="A547" t="s">
        <v>1542</v>
      </c>
      <c r="B547" s="9" t="s">
        <v>882</v>
      </c>
      <c r="C547" s="20" t="str">
        <f t="shared" si="8"/>
        <v>Feb</v>
      </c>
      <c r="D547" t="s">
        <v>1543</v>
      </c>
      <c r="E547" s="10" t="s">
        <v>141</v>
      </c>
      <c r="F547" t="s">
        <v>64</v>
      </c>
      <c r="G547" t="s">
        <v>33</v>
      </c>
      <c r="H547" t="s">
        <v>50</v>
      </c>
      <c r="I547">
        <v>7</v>
      </c>
      <c r="J547" s="3">
        <v>208.05</v>
      </c>
      <c r="K547" s="2">
        <v>0</v>
      </c>
      <c r="L547" s="3">
        <v>1456.35</v>
      </c>
      <c r="M547" s="3">
        <v>357.93</v>
      </c>
      <c r="N547" t="s">
        <v>35</v>
      </c>
      <c r="O547" s="3"/>
      <c r="P547" s="3"/>
    </row>
    <row r="548" spans="1:16" x14ac:dyDescent="0.3">
      <c r="A548" t="s">
        <v>1544</v>
      </c>
      <c r="B548" s="9" t="s">
        <v>760</v>
      </c>
      <c r="C548" s="20" t="str">
        <f t="shared" si="8"/>
        <v>Dec</v>
      </c>
      <c r="D548" t="s">
        <v>1545</v>
      </c>
      <c r="E548" s="10" t="s">
        <v>601</v>
      </c>
      <c r="F548" t="s">
        <v>32</v>
      </c>
      <c r="G548" t="s">
        <v>18</v>
      </c>
      <c r="H548" t="s">
        <v>79</v>
      </c>
      <c r="I548">
        <v>5</v>
      </c>
      <c r="J548" s="3">
        <v>59.98</v>
      </c>
      <c r="K548" s="2">
        <v>0.05</v>
      </c>
      <c r="L548" s="3">
        <v>284.89999999999998</v>
      </c>
      <c r="M548" s="3">
        <v>24.39</v>
      </c>
      <c r="N548" t="s">
        <v>20</v>
      </c>
      <c r="O548" s="3"/>
      <c r="P548" s="3"/>
    </row>
    <row r="549" spans="1:16" x14ac:dyDescent="0.3">
      <c r="A549" t="s">
        <v>1549</v>
      </c>
      <c r="B549" s="9" t="s">
        <v>302</v>
      </c>
      <c r="C549" s="20" t="str">
        <f t="shared" si="8"/>
        <v>Oct</v>
      </c>
      <c r="D549" t="s">
        <v>511</v>
      </c>
      <c r="E549" s="10" t="s">
        <v>1550</v>
      </c>
      <c r="F549" t="s">
        <v>17</v>
      </c>
      <c r="G549" t="s">
        <v>26</v>
      </c>
      <c r="H549" t="s">
        <v>27</v>
      </c>
      <c r="I549">
        <v>7</v>
      </c>
      <c r="J549" s="3">
        <v>175.4</v>
      </c>
      <c r="K549" s="2">
        <v>0.1</v>
      </c>
      <c r="L549" s="3">
        <v>1105.02</v>
      </c>
      <c r="M549" s="3">
        <v>150.21</v>
      </c>
      <c r="N549" t="s">
        <v>35</v>
      </c>
      <c r="O549" s="3"/>
      <c r="P549" s="3"/>
    </row>
    <row r="550" spans="1:16" x14ac:dyDescent="0.3">
      <c r="A550" t="s">
        <v>1551</v>
      </c>
      <c r="B550" s="9" t="s">
        <v>856</v>
      </c>
      <c r="C550" s="20" t="str">
        <f t="shared" si="8"/>
        <v>Jun</v>
      </c>
      <c r="D550" t="s">
        <v>1552</v>
      </c>
      <c r="E550" s="10" t="s">
        <v>1553</v>
      </c>
      <c r="F550" t="s">
        <v>25</v>
      </c>
      <c r="G550" t="s">
        <v>18</v>
      </c>
      <c r="H550" t="s">
        <v>79</v>
      </c>
      <c r="I550">
        <v>3</v>
      </c>
      <c r="J550" s="3">
        <v>231.53</v>
      </c>
      <c r="K550" s="2">
        <v>0</v>
      </c>
      <c r="L550" s="3">
        <v>694.59</v>
      </c>
      <c r="M550" s="3">
        <v>92.65</v>
      </c>
      <c r="N550" t="s">
        <v>40</v>
      </c>
      <c r="O550" s="3"/>
      <c r="P550" s="3"/>
    </row>
    <row r="551" spans="1:16" x14ac:dyDescent="0.3">
      <c r="A551" t="s">
        <v>1554</v>
      </c>
      <c r="B551" s="9" t="s">
        <v>900</v>
      </c>
      <c r="C551" s="20" t="str">
        <f t="shared" si="8"/>
        <v>Oct</v>
      </c>
      <c r="D551" t="s">
        <v>1181</v>
      </c>
      <c r="E551" s="10" t="s">
        <v>1555</v>
      </c>
      <c r="F551" t="s">
        <v>64</v>
      </c>
      <c r="G551" t="s">
        <v>26</v>
      </c>
      <c r="H551" t="s">
        <v>84</v>
      </c>
      <c r="I551">
        <v>2</v>
      </c>
      <c r="J551" s="3">
        <v>148.91999999999999</v>
      </c>
      <c r="K551" s="2">
        <v>0.1</v>
      </c>
      <c r="L551" s="3">
        <v>268.06</v>
      </c>
      <c r="M551" s="3">
        <v>25.69</v>
      </c>
      <c r="N551" t="s">
        <v>40</v>
      </c>
      <c r="O551" s="3"/>
      <c r="P551" s="3"/>
    </row>
    <row r="552" spans="1:16" x14ac:dyDescent="0.3">
      <c r="A552" t="s">
        <v>1556</v>
      </c>
      <c r="B552" s="9" t="s">
        <v>1557</v>
      </c>
      <c r="C552" s="20" t="str">
        <f t="shared" si="8"/>
        <v>Jun</v>
      </c>
      <c r="D552" t="s">
        <v>1558</v>
      </c>
      <c r="E552" s="10" t="s">
        <v>835</v>
      </c>
      <c r="F552" t="s">
        <v>25</v>
      </c>
      <c r="G552" t="s">
        <v>33</v>
      </c>
      <c r="H552" t="s">
        <v>69</v>
      </c>
      <c r="I552">
        <v>7</v>
      </c>
      <c r="J552" s="3">
        <v>129.4</v>
      </c>
      <c r="K552" s="2">
        <v>0.15</v>
      </c>
      <c r="L552" s="3">
        <v>769.93</v>
      </c>
      <c r="M552" s="3">
        <v>195.45</v>
      </c>
      <c r="N552" t="s">
        <v>40</v>
      </c>
      <c r="O552" s="3"/>
      <c r="P552" s="3"/>
    </row>
    <row r="553" spans="1:16" x14ac:dyDescent="0.3">
      <c r="A553" t="s">
        <v>1559</v>
      </c>
      <c r="B553" s="9" t="s">
        <v>483</v>
      </c>
      <c r="C553" s="20" t="str">
        <f t="shared" si="8"/>
        <v>Feb</v>
      </c>
      <c r="D553" t="s">
        <v>1339</v>
      </c>
      <c r="E553" s="10" t="s">
        <v>1560</v>
      </c>
      <c r="F553" t="s">
        <v>25</v>
      </c>
      <c r="G553" t="s">
        <v>33</v>
      </c>
      <c r="H553" t="s">
        <v>74</v>
      </c>
      <c r="I553">
        <v>3</v>
      </c>
      <c r="J553" s="3">
        <v>210.95</v>
      </c>
      <c r="K553" s="2">
        <v>0.15</v>
      </c>
      <c r="L553" s="3">
        <v>537.91999999999996</v>
      </c>
      <c r="M553" s="3">
        <v>64.27</v>
      </c>
      <c r="N553" t="s">
        <v>35</v>
      </c>
      <c r="O553" s="3"/>
      <c r="P553" s="3"/>
    </row>
    <row r="554" spans="1:16" x14ac:dyDescent="0.3">
      <c r="A554" t="s">
        <v>1561</v>
      </c>
      <c r="B554" s="9" t="s">
        <v>76</v>
      </c>
      <c r="C554" s="20" t="str">
        <f t="shared" si="8"/>
        <v>Apr</v>
      </c>
      <c r="D554" t="s">
        <v>490</v>
      </c>
      <c r="E554" s="10" t="s">
        <v>1103</v>
      </c>
      <c r="F554" t="s">
        <v>64</v>
      </c>
      <c r="G554" t="s">
        <v>18</v>
      </c>
      <c r="H554" t="s">
        <v>79</v>
      </c>
      <c r="I554">
        <v>6</v>
      </c>
      <c r="J554" s="3">
        <v>92.4</v>
      </c>
      <c r="K554" s="2">
        <v>0.15</v>
      </c>
      <c r="L554" s="3">
        <v>471.24</v>
      </c>
      <c r="M554" s="3">
        <v>121.42</v>
      </c>
      <c r="N554" t="s">
        <v>40</v>
      </c>
      <c r="O554" s="3"/>
      <c r="P554" s="3"/>
    </row>
    <row r="555" spans="1:16" x14ac:dyDescent="0.3">
      <c r="A555" t="s">
        <v>1562</v>
      </c>
      <c r="B555" s="9" t="s">
        <v>203</v>
      </c>
      <c r="C555" s="20" t="str">
        <f t="shared" si="8"/>
        <v>Sep</v>
      </c>
      <c r="D555" t="s">
        <v>1026</v>
      </c>
      <c r="E555" s="10" t="s">
        <v>1550</v>
      </c>
      <c r="F555" t="s">
        <v>64</v>
      </c>
      <c r="G555" t="s">
        <v>26</v>
      </c>
      <c r="H555" t="s">
        <v>84</v>
      </c>
      <c r="I555">
        <v>1</v>
      </c>
      <c r="J555" s="3">
        <v>220.5</v>
      </c>
      <c r="K555" s="2">
        <v>0.1</v>
      </c>
      <c r="L555" s="3">
        <v>198.45</v>
      </c>
      <c r="M555" s="3">
        <v>30.72</v>
      </c>
      <c r="N555" t="s">
        <v>35</v>
      </c>
      <c r="O555" s="3"/>
      <c r="P555" s="3"/>
    </row>
    <row r="556" spans="1:16" x14ac:dyDescent="0.3">
      <c r="A556" t="s">
        <v>1563</v>
      </c>
      <c r="B556" s="9" t="s">
        <v>583</v>
      </c>
      <c r="C556" s="20" t="str">
        <f t="shared" si="8"/>
        <v>Jun</v>
      </c>
      <c r="D556" t="s">
        <v>897</v>
      </c>
      <c r="E556" s="10" t="s">
        <v>1157</v>
      </c>
      <c r="F556" t="s">
        <v>17</v>
      </c>
      <c r="G556" t="s">
        <v>26</v>
      </c>
      <c r="H556" t="s">
        <v>27</v>
      </c>
      <c r="I556">
        <v>5</v>
      </c>
      <c r="J556" s="3">
        <v>205.03</v>
      </c>
      <c r="K556" s="2">
        <v>0.15</v>
      </c>
      <c r="L556" s="3">
        <v>871.38</v>
      </c>
      <c r="M556" s="3">
        <v>238.3</v>
      </c>
      <c r="N556" t="s">
        <v>35</v>
      </c>
      <c r="O556" s="3"/>
      <c r="P556" s="3"/>
    </row>
    <row r="557" spans="1:16" x14ac:dyDescent="0.3">
      <c r="A557" t="s">
        <v>1564</v>
      </c>
      <c r="B557" s="9" t="s">
        <v>1116</v>
      </c>
      <c r="C557" s="20" t="str">
        <f t="shared" si="8"/>
        <v>Feb</v>
      </c>
      <c r="D557" t="s">
        <v>192</v>
      </c>
      <c r="E557" s="10" t="s">
        <v>1565</v>
      </c>
      <c r="F557" t="s">
        <v>17</v>
      </c>
      <c r="G557" t="s">
        <v>33</v>
      </c>
      <c r="H557" t="s">
        <v>74</v>
      </c>
      <c r="I557">
        <v>3</v>
      </c>
      <c r="J557" s="3">
        <v>169.91</v>
      </c>
      <c r="K557" s="2">
        <v>0.05</v>
      </c>
      <c r="L557" s="3">
        <v>484.24</v>
      </c>
      <c r="M557" s="3">
        <v>98.3</v>
      </c>
      <c r="N557" t="s">
        <v>40</v>
      </c>
      <c r="O557" s="3"/>
      <c r="P557" s="3"/>
    </row>
    <row r="558" spans="1:16" x14ac:dyDescent="0.3">
      <c r="A558" t="s">
        <v>1566</v>
      </c>
      <c r="B558" s="9" t="s">
        <v>203</v>
      </c>
      <c r="C558" s="20" t="str">
        <f t="shared" si="8"/>
        <v>Sep</v>
      </c>
      <c r="D558" t="s">
        <v>1567</v>
      </c>
      <c r="E558" s="10" t="s">
        <v>651</v>
      </c>
      <c r="F558" t="s">
        <v>32</v>
      </c>
      <c r="G558" t="s">
        <v>33</v>
      </c>
      <c r="H558" t="s">
        <v>34</v>
      </c>
      <c r="I558">
        <v>6</v>
      </c>
      <c r="J558" s="3">
        <v>194.86</v>
      </c>
      <c r="K558" s="2">
        <v>0.1</v>
      </c>
      <c r="L558" s="3">
        <v>1052.24</v>
      </c>
      <c r="M558" s="3">
        <v>247.93</v>
      </c>
      <c r="N558" t="s">
        <v>20</v>
      </c>
      <c r="O558" s="3"/>
      <c r="P558" s="3"/>
    </row>
    <row r="559" spans="1:16" x14ac:dyDescent="0.3">
      <c r="A559" t="s">
        <v>1568</v>
      </c>
      <c r="B559" s="9" t="s">
        <v>1105</v>
      </c>
      <c r="C559" s="20" t="str">
        <f t="shared" si="8"/>
        <v>Oct</v>
      </c>
      <c r="D559" t="s">
        <v>517</v>
      </c>
      <c r="E559" s="10" t="s">
        <v>1569</v>
      </c>
      <c r="F559" t="s">
        <v>25</v>
      </c>
      <c r="G559" t="s">
        <v>18</v>
      </c>
      <c r="H559" t="s">
        <v>19</v>
      </c>
      <c r="I559">
        <v>7</v>
      </c>
      <c r="J559" s="3">
        <v>110.79</v>
      </c>
      <c r="K559" s="2">
        <v>0.05</v>
      </c>
      <c r="L559" s="3">
        <v>736.75</v>
      </c>
      <c r="M559" s="3">
        <v>198.06</v>
      </c>
      <c r="N559" t="s">
        <v>40</v>
      </c>
      <c r="O559" s="3"/>
      <c r="P559" s="3"/>
    </row>
    <row r="560" spans="1:16" x14ac:dyDescent="0.3">
      <c r="A560" t="s">
        <v>1570</v>
      </c>
      <c r="B560" s="9" t="s">
        <v>371</v>
      </c>
      <c r="C560" s="20" t="str">
        <f t="shared" si="8"/>
        <v>Aug</v>
      </c>
      <c r="D560" t="s">
        <v>1571</v>
      </c>
      <c r="E560" s="10" t="s">
        <v>937</v>
      </c>
      <c r="F560" t="s">
        <v>59</v>
      </c>
      <c r="G560" t="s">
        <v>26</v>
      </c>
      <c r="H560" t="s">
        <v>27</v>
      </c>
      <c r="I560">
        <v>8</v>
      </c>
      <c r="J560" s="3">
        <v>196.26</v>
      </c>
      <c r="K560" s="2">
        <v>0.1</v>
      </c>
      <c r="L560" s="3">
        <v>1413.07</v>
      </c>
      <c r="M560" s="3">
        <v>172.1</v>
      </c>
      <c r="N560" t="s">
        <v>40</v>
      </c>
      <c r="O560" s="3"/>
      <c r="P560" s="3"/>
    </row>
    <row r="561" spans="1:16" x14ac:dyDescent="0.3">
      <c r="A561" t="s">
        <v>1572</v>
      </c>
      <c r="B561" s="9" t="s">
        <v>1573</v>
      </c>
      <c r="C561" s="20" t="str">
        <f t="shared" si="8"/>
        <v>Mar</v>
      </c>
      <c r="D561" t="s">
        <v>1574</v>
      </c>
      <c r="E561" s="10" t="s">
        <v>1575</v>
      </c>
      <c r="F561" t="s">
        <v>32</v>
      </c>
      <c r="G561" t="s">
        <v>18</v>
      </c>
      <c r="H561" t="s">
        <v>19</v>
      </c>
      <c r="I561">
        <v>2</v>
      </c>
      <c r="J561" s="3">
        <v>85.53</v>
      </c>
      <c r="K561" s="2">
        <v>0.15</v>
      </c>
      <c r="L561" s="3">
        <v>145.4</v>
      </c>
      <c r="M561" s="3">
        <v>37.700000000000003</v>
      </c>
      <c r="N561" t="s">
        <v>20</v>
      </c>
      <c r="O561" s="3"/>
      <c r="P561" s="3"/>
    </row>
    <row r="562" spans="1:16" x14ac:dyDescent="0.3">
      <c r="A562" t="s">
        <v>1576</v>
      </c>
      <c r="B562" s="9" t="s">
        <v>771</v>
      </c>
      <c r="C562" s="20" t="str">
        <f t="shared" si="8"/>
        <v>Jun</v>
      </c>
      <c r="D562" t="s">
        <v>1079</v>
      </c>
      <c r="E562" s="10" t="s">
        <v>895</v>
      </c>
      <c r="F562" t="s">
        <v>32</v>
      </c>
      <c r="G562" t="s">
        <v>89</v>
      </c>
      <c r="H562" t="s">
        <v>90</v>
      </c>
      <c r="I562">
        <v>3</v>
      </c>
      <c r="J562" s="3">
        <v>59.72</v>
      </c>
      <c r="K562" s="2">
        <v>0</v>
      </c>
      <c r="L562" s="3">
        <v>179.16</v>
      </c>
      <c r="M562" s="3">
        <v>40.479999999999997</v>
      </c>
      <c r="N562" t="s">
        <v>35</v>
      </c>
      <c r="O562" s="3"/>
      <c r="P562" s="3"/>
    </row>
    <row r="563" spans="1:16" x14ac:dyDescent="0.3">
      <c r="A563" t="s">
        <v>1577</v>
      </c>
      <c r="B563" s="9" t="s">
        <v>1578</v>
      </c>
      <c r="C563" s="20" t="str">
        <f t="shared" si="8"/>
        <v>Mar</v>
      </c>
      <c r="D563" t="s">
        <v>1579</v>
      </c>
      <c r="E563" s="10" t="s">
        <v>661</v>
      </c>
      <c r="F563" t="s">
        <v>59</v>
      </c>
      <c r="G563" t="s">
        <v>26</v>
      </c>
      <c r="H563" t="s">
        <v>118</v>
      </c>
      <c r="I563">
        <v>1</v>
      </c>
      <c r="J563" s="3">
        <v>128.68</v>
      </c>
      <c r="K563" s="2">
        <v>0.15</v>
      </c>
      <c r="L563" s="3">
        <v>109.38</v>
      </c>
      <c r="M563" s="3">
        <v>9.85</v>
      </c>
      <c r="N563" t="s">
        <v>20</v>
      </c>
      <c r="O563" s="3"/>
      <c r="P563" s="3"/>
    </row>
    <row r="564" spans="1:16" x14ac:dyDescent="0.3">
      <c r="A564" t="s">
        <v>1580</v>
      </c>
      <c r="B564" s="9" t="s">
        <v>1581</v>
      </c>
      <c r="C564" s="20" t="str">
        <f t="shared" si="8"/>
        <v>May</v>
      </c>
      <c r="D564" t="s">
        <v>1582</v>
      </c>
      <c r="E564" s="10" t="s">
        <v>1583</v>
      </c>
      <c r="F564" t="s">
        <v>59</v>
      </c>
      <c r="G564" t="s">
        <v>33</v>
      </c>
      <c r="H564" t="s">
        <v>69</v>
      </c>
      <c r="I564">
        <v>2</v>
      </c>
      <c r="J564" s="3">
        <v>88.84</v>
      </c>
      <c r="K564" s="2">
        <v>0.15</v>
      </c>
      <c r="L564" s="3">
        <v>151.03</v>
      </c>
      <c r="M564" s="3">
        <v>43.3</v>
      </c>
      <c r="N564" t="s">
        <v>35</v>
      </c>
      <c r="O564" s="3"/>
      <c r="P564" s="3"/>
    </row>
    <row r="565" spans="1:16" x14ac:dyDescent="0.3">
      <c r="A565" t="s">
        <v>1584</v>
      </c>
      <c r="B565" s="9" t="s">
        <v>815</v>
      </c>
      <c r="C565" s="20" t="str">
        <f t="shared" si="8"/>
        <v>Jan</v>
      </c>
      <c r="D565" t="s">
        <v>1571</v>
      </c>
      <c r="E565" s="10" t="s">
        <v>269</v>
      </c>
      <c r="F565" t="s">
        <v>17</v>
      </c>
      <c r="G565" t="s">
        <v>26</v>
      </c>
      <c r="H565" t="s">
        <v>84</v>
      </c>
      <c r="I565">
        <v>4</v>
      </c>
      <c r="J565" s="3">
        <v>165.19</v>
      </c>
      <c r="K565" s="2">
        <v>0.05</v>
      </c>
      <c r="L565" s="3">
        <v>627.72</v>
      </c>
      <c r="M565" s="3">
        <v>100.04</v>
      </c>
      <c r="N565" t="s">
        <v>40</v>
      </c>
      <c r="O565" s="3"/>
      <c r="P565" s="3"/>
    </row>
    <row r="566" spans="1:16" x14ac:dyDescent="0.3">
      <c r="A566" t="s">
        <v>1585</v>
      </c>
      <c r="B566" s="9" t="s">
        <v>523</v>
      </c>
      <c r="C566" s="20" t="str">
        <f t="shared" si="8"/>
        <v>Dec</v>
      </c>
      <c r="D566" t="s">
        <v>353</v>
      </c>
      <c r="E566" s="10" t="s">
        <v>1436</v>
      </c>
      <c r="F566" t="s">
        <v>32</v>
      </c>
      <c r="G566" t="s">
        <v>89</v>
      </c>
      <c r="H566" t="s">
        <v>131</v>
      </c>
      <c r="I566">
        <v>6</v>
      </c>
      <c r="J566" s="3">
        <v>71.239999999999995</v>
      </c>
      <c r="K566" s="2">
        <v>0.15</v>
      </c>
      <c r="L566" s="3">
        <v>363.32</v>
      </c>
      <c r="M566" s="3">
        <v>99.18</v>
      </c>
      <c r="N566" t="s">
        <v>20</v>
      </c>
      <c r="O566" s="3"/>
      <c r="P566" s="3"/>
    </row>
    <row r="567" spans="1:16" x14ac:dyDescent="0.3">
      <c r="A567" t="s">
        <v>1586</v>
      </c>
      <c r="B567" s="9" t="s">
        <v>1465</v>
      </c>
      <c r="C567" s="20" t="str">
        <f t="shared" si="8"/>
        <v>Jan</v>
      </c>
      <c r="D567" t="s">
        <v>339</v>
      </c>
      <c r="E567" s="10" t="s">
        <v>868</v>
      </c>
      <c r="F567" t="s">
        <v>17</v>
      </c>
      <c r="G567" t="s">
        <v>33</v>
      </c>
      <c r="H567" t="s">
        <v>69</v>
      </c>
      <c r="I567">
        <v>3</v>
      </c>
      <c r="J567" s="3">
        <v>228.16</v>
      </c>
      <c r="K567" s="2">
        <v>0</v>
      </c>
      <c r="L567" s="3">
        <v>684.48</v>
      </c>
      <c r="M567" s="3">
        <v>181.8</v>
      </c>
      <c r="N567" t="s">
        <v>40</v>
      </c>
      <c r="O567" s="3"/>
      <c r="P567" s="3"/>
    </row>
    <row r="568" spans="1:16" x14ac:dyDescent="0.3">
      <c r="A568" t="s">
        <v>1587</v>
      </c>
      <c r="B568" s="9" t="s">
        <v>1459</v>
      </c>
      <c r="C568" s="20" t="str">
        <f t="shared" si="8"/>
        <v>Sep</v>
      </c>
      <c r="D568" t="s">
        <v>879</v>
      </c>
      <c r="E568" s="10" t="s">
        <v>161</v>
      </c>
      <c r="F568" t="s">
        <v>64</v>
      </c>
      <c r="G568" t="s">
        <v>26</v>
      </c>
      <c r="H568" t="s">
        <v>84</v>
      </c>
      <c r="I568">
        <v>2</v>
      </c>
      <c r="J568" s="3">
        <v>238.86</v>
      </c>
      <c r="K568" s="2">
        <v>0.1</v>
      </c>
      <c r="L568" s="3">
        <v>429.95</v>
      </c>
      <c r="M568" s="3">
        <v>121.11</v>
      </c>
      <c r="N568" t="s">
        <v>20</v>
      </c>
      <c r="O568" s="3"/>
      <c r="P568" s="3"/>
    </row>
    <row r="569" spans="1:16" x14ac:dyDescent="0.3">
      <c r="A569" t="s">
        <v>1588</v>
      </c>
      <c r="B569" s="9" t="s">
        <v>140</v>
      </c>
      <c r="C569" s="20" t="str">
        <f t="shared" si="8"/>
        <v>May</v>
      </c>
      <c r="D569" t="s">
        <v>1589</v>
      </c>
      <c r="E569" s="10" t="s">
        <v>1274</v>
      </c>
      <c r="F569" t="s">
        <v>59</v>
      </c>
      <c r="G569" t="s">
        <v>18</v>
      </c>
      <c r="H569" t="s">
        <v>45</v>
      </c>
      <c r="I569">
        <v>2</v>
      </c>
      <c r="J569" s="3">
        <v>79.03</v>
      </c>
      <c r="K569" s="2">
        <v>0.05</v>
      </c>
      <c r="L569" s="3">
        <v>150.16</v>
      </c>
      <c r="M569" s="3">
        <v>12.74</v>
      </c>
      <c r="N569" t="s">
        <v>35</v>
      </c>
      <c r="O569" s="3"/>
      <c r="P569" s="3"/>
    </row>
    <row r="570" spans="1:16" x14ac:dyDescent="0.3">
      <c r="A570" t="s">
        <v>1590</v>
      </c>
      <c r="B570" s="9" t="s">
        <v>616</v>
      </c>
      <c r="C570" s="20" t="str">
        <f t="shared" si="8"/>
        <v>Aug</v>
      </c>
      <c r="D570" t="s">
        <v>1591</v>
      </c>
      <c r="E570" s="10" t="s">
        <v>1592</v>
      </c>
      <c r="F570" t="s">
        <v>59</v>
      </c>
      <c r="G570" t="s">
        <v>18</v>
      </c>
      <c r="H570" t="s">
        <v>45</v>
      </c>
      <c r="I570">
        <v>4</v>
      </c>
      <c r="J570" s="3">
        <v>101.1</v>
      </c>
      <c r="K570" s="2">
        <v>0.15</v>
      </c>
      <c r="L570" s="3">
        <v>343.74</v>
      </c>
      <c r="M570" s="3">
        <v>65.790000000000006</v>
      </c>
      <c r="N570" t="s">
        <v>40</v>
      </c>
      <c r="O570" s="3"/>
      <c r="P570" s="3"/>
    </row>
    <row r="571" spans="1:16" x14ac:dyDescent="0.3">
      <c r="A571" t="s">
        <v>1593</v>
      </c>
      <c r="B571" s="9" t="s">
        <v>362</v>
      </c>
      <c r="C571" s="20" t="str">
        <f t="shared" si="8"/>
        <v>Jun</v>
      </c>
      <c r="D571" t="s">
        <v>984</v>
      </c>
      <c r="E571" s="10" t="s">
        <v>1594</v>
      </c>
      <c r="F571" t="s">
        <v>25</v>
      </c>
      <c r="G571" t="s">
        <v>18</v>
      </c>
      <c r="H571" t="s">
        <v>45</v>
      </c>
      <c r="I571">
        <v>4</v>
      </c>
      <c r="J571" s="3">
        <v>129.49</v>
      </c>
      <c r="K571" s="2">
        <v>0.1</v>
      </c>
      <c r="L571" s="3">
        <v>466.16</v>
      </c>
      <c r="M571" s="3">
        <v>60.01</v>
      </c>
      <c r="N571" t="s">
        <v>40</v>
      </c>
      <c r="O571" s="3"/>
      <c r="P571" s="3"/>
    </row>
    <row r="572" spans="1:16" x14ac:dyDescent="0.3">
      <c r="A572" t="s">
        <v>1595</v>
      </c>
      <c r="B572" s="9" t="s">
        <v>1489</v>
      </c>
      <c r="C572" s="20" t="str">
        <f t="shared" si="8"/>
        <v>Jun</v>
      </c>
      <c r="D572" t="s">
        <v>350</v>
      </c>
      <c r="E572" s="10" t="s">
        <v>1596</v>
      </c>
      <c r="F572" t="s">
        <v>32</v>
      </c>
      <c r="G572" t="s">
        <v>33</v>
      </c>
      <c r="H572" t="s">
        <v>50</v>
      </c>
      <c r="I572">
        <v>1</v>
      </c>
      <c r="J572" s="3">
        <v>194.06</v>
      </c>
      <c r="K572" s="2">
        <v>0.15</v>
      </c>
      <c r="L572" s="3">
        <v>164.95</v>
      </c>
      <c r="M572" s="3">
        <v>40.4</v>
      </c>
      <c r="N572" t="s">
        <v>35</v>
      </c>
      <c r="O572" s="3"/>
      <c r="P572" s="3"/>
    </row>
    <row r="573" spans="1:16" x14ac:dyDescent="0.3">
      <c r="A573" t="s">
        <v>1597</v>
      </c>
      <c r="B573" s="9" t="s">
        <v>1598</v>
      </c>
      <c r="C573" s="20" t="str">
        <f t="shared" si="8"/>
        <v>Feb</v>
      </c>
      <c r="D573" t="s">
        <v>144</v>
      </c>
      <c r="E573" s="10" t="s">
        <v>1455</v>
      </c>
      <c r="F573" t="s">
        <v>64</v>
      </c>
      <c r="G573" t="s">
        <v>18</v>
      </c>
      <c r="H573" t="s">
        <v>79</v>
      </c>
      <c r="I573">
        <v>8</v>
      </c>
      <c r="J573" s="3">
        <v>217.62</v>
      </c>
      <c r="K573" s="2">
        <v>0.15</v>
      </c>
      <c r="L573" s="3">
        <v>1479.82</v>
      </c>
      <c r="M573" s="3">
        <v>227.8</v>
      </c>
      <c r="N573" t="s">
        <v>40</v>
      </c>
      <c r="O573" s="3"/>
      <c r="P573" s="3"/>
    </row>
    <row r="574" spans="1:16" x14ac:dyDescent="0.3">
      <c r="A574" t="s">
        <v>1599</v>
      </c>
      <c r="B574" s="9" t="s">
        <v>489</v>
      </c>
      <c r="C574" s="20" t="str">
        <f t="shared" si="8"/>
        <v>Mar</v>
      </c>
      <c r="D574" t="s">
        <v>1195</v>
      </c>
      <c r="E574" s="10" t="s">
        <v>1600</v>
      </c>
      <c r="F574" t="s">
        <v>64</v>
      </c>
      <c r="G574" t="s">
        <v>18</v>
      </c>
      <c r="H574" t="s">
        <v>79</v>
      </c>
      <c r="I574">
        <v>3</v>
      </c>
      <c r="J574" s="3">
        <v>96.1</v>
      </c>
      <c r="K574" s="2">
        <v>0.15</v>
      </c>
      <c r="L574" s="3">
        <v>245.05</v>
      </c>
      <c r="M574" s="3">
        <v>26.48</v>
      </c>
      <c r="N574" t="s">
        <v>20</v>
      </c>
      <c r="O574" s="3"/>
      <c r="P574" s="3"/>
    </row>
    <row r="575" spans="1:16" x14ac:dyDescent="0.3">
      <c r="A575" t="s">
        <v>1601</v>
      </c>
      <c r="B575" s="9" t="s">
        <v>239</v>
      </c>
      <c r="C575" s="20" t="str">
        <f t="shared" si="8"/>
        <v>Nov</v>
      </c>
      <c r="D575" t="s">
        <v>1504</v>
      </c>
      <c r="E575" s="10" t="s">
        <v>193</v>
      </c>
      <c r="F575" t="s">
        <v>25</v>
      </c>
      <c r="G575" t="s">
        <v>18</v>
      </c>
      <c r="H575" t="s">
        <v>19</v>
      </c>
      <c r="I575">
        <v>5</v>
      </c>
      <c r="J575" s="3">
        <v>81.209999999999994</v>
      </c>
      <c r="K575" s="2">
        <v>0</v>
      </c>
      <c r="L575" s="3">
        <v>406.05</v>
      </c>
      <c r="M575" s="3">
        <v>41.31</v>
      </c>
      <c r="N575" t="s">
        <v>35</v>
      </c>
      <c r="O575" s="3"/>
      <c r="P575" s="3"/>
    </row>
    <row r="576" spans="1:16" x14ac:dyDescent="0.3">
      <c r="A576" t="s">
        <v>1602</v>
      </c>
      <c r="B576" s="9" t="s">
        <v>111</v>
      </c>
      <c r="C576" s="20" t="str">
        <f t="shared" si="8"/>
        <v>Apr</v>
      </c>
      <c r="D576" t="s">
        <v>1092</v>
      </c>
      <c r="E576" s="10" t="s">
        <v>1603</v>
      </c>
      <c r="F576" t="s">
        <v>32</v>
      </c>
      <c r="G576" t="s">
        <v>26</v>
      </c>
      <c r="H576" t="s">
        <v>84</v>
      </c>
      <c r="I576">
        <v>4</v>
      </c>
      <c r="J576" s="3">
        <v>226.88</v>
      </c>
      <c r="K576" s="2">
        <v>0</v>
      </c>
      <c r="L576" s="3">
        <v>907.52</v>
      </c>
      <c r="M576" s="3">
        <v>259.13</v>
      </c>
      <c r="N576" t="s">
        <v>40</v>
      </c>
      <c r="O576" s="3"/>
      <c r="P576" s="3"/>
    </row>
    <row r="577" spans="1:16" x14ac:dyDescent="0.3">
      <c r="A577" t="s">
        <v>1604</v>
      </c>
      <c r="B577" s="9" t="s">
        <v>359</v>
      </c>
      <c r="C577" s="20" t="str">
        <f t="shared" si="8"/>
        <v>Aug</v>
      </c>
      <c r="D577" t="s">
        <v>930</v>
      </c>
      <c r="E577" s="10" t="s">
        <v>1431</v>
      </c>
      <c r="F577" t="s">
        <v>59</v>
      </c>
      <c r="G577" t="s">
        <v>89</v>
      </c>
      <c r="H577" t="s">
        <v>131</v>
      </c>
      <c r="I577">
        <v>8</v>
      </c>
      <c r="J577" s="3">
        <v>239.41</v>
      </c>
      <c r="K577" s="2">
        <v>0.05</v>
      </c>
      <c r="L577" s="3">
        <v>1819.52</v>
      </c>
      <c r="M577" s="3">
        <v>471.59</v>
      </c>
      <c r="N577" t="s">
        <v>40</v>
      </c>
      <c r="O577" s="3"/>
      <c r="P577" s="3"/>
    </row>
    <row r="578" spans="1:16" x14ac:dyDescent="0.3">
      <c r="A578" t="s">
        <v>1605</v>
      </c>
      <c r="B578" s="9" t="s">
        <v>782</v>
      </c>
      <c r="C578" s="20" t="str">
        <f t="shared" ref="C578:C641" si="9">TEXT(B:B, "mmm")</f>
        <v>Jan</v>
      </c>
      <c r="D578" t="s">
        <v>1203</v>
      </c>
      <c r="E578" s="10" t="s">
        <v>992</v>
      </c>
      <c r="F578" t="s">
        <v>64</v>
      </c>
      <c r="G578" t="s">
        <v>26</v>
      </c>
      <c r="H578" t="s">
        <v>118</v>
      </c>
      <c r="I578">
        <v>7</v>
      </c>
      <c r="J578" s="3">
        <v>124.73</v>
      </c>
      <c r="K578" s="2">
        <v>0.15</v>
      </c>
      <c r="L578" s="3">
        <v>742.14</v>
      </c>
      <c r="M578" s="3">
        <v>202.61</v>
      </c>
      <c r="N578" t="s">
        <v>40</v>
      </c>
      <c r="O578" s="3"/>
      <c r="P578" s="3"/>
    </row>
    <row r="579" spans="1:16" x14ac:dyDescent="0.3">
      <c r="A579" t="s">
        <v>1606</v>
      </c>
      <c r="B579" s="9" t="s">
        <v>1607</v>
      </c>
      <c r="C579" s="20" t="str">
        <f t="shared" si="9"/>
        <v>Feb</v>
      </c>
      <c r="D579" t="s">
        <v>1247</v>
      </c>
      <c r="E579" s="10" t="s">
        <v>1575</v>
      </c>
      <c r="F579" t="s">
        <v>17</v>
      </c>
      <c r="G579" t="s">
        <v>89</v>
      </c>
      <c r="H579" t="s">
        <v>90</v>
      </c>
      <c r="I579">
        <v>2</v>
      </c>
      <c r="J579" s="3">
        <v>238.64</v>
      </c>
      <c r="K579" s="2">
        <v>0.05</v>
      </c>
      <c r="L579" s="3">
        <v>453.42</v>
      </c>
      <c r="M579" s="3">
        <v>118.03</v>
      </c>
      <c r="N579" t="s">
        <v>35</v>
      </c>
      <c r="O579" s="3"/>
      <c r="P579" s="3"/>
    </row>
    <row r="580" spans="1:16" x14ac:dyDescent="0.3">
      <c r="A580" t="s">
        <v>1608</v>
      </c>
      <c r="B580" s="9" t="s">
        <v>1609</v>
      </c>
      <c r="C580" s="20" t="str">
        <f t="shared" si="9"/>
        <v>May</v>
      </c>
      <c r="D580" t="s">
        <v>160</v>
      </c>
      <c r="E580" s="10" t="s">
        <v>1475</v>
      </c>
      <c r="F580" t="s">
        <v>64</v>
      </c>
      <c r="G580" t="s">
        <v>18</v>
      </c>
      <c r="H580" t="s">
        <v>19</v>
      </c>
      <c r="I580">
        <v>3</v>
      </c>
      <c r="J580" s="3">
        <v>67.75</v>
      </c>
      <c r="K580" s="2">
        <v>0.05</v>
      </c>
      <c r="L580" s="3">
        <v>193.09</v>
      </c>
      <c r="M580" s="3">
        <v>38.78</v>
      </c>
      <c r="N580" t="s">
        <v>20</v>
      </c>
      <c r="O580" s="3"/>
      <c r="P580" s="3"/>
    </row>
    <row r="581" spans="1:16" x14ac:dyDescent="0.3">
      <c r="A581" t="s">
        <v>1610</v>
      </c>
      <c r="B581" s="9" t="s">
        <v>1581</v>
      </c>
      <c r="C581" s="20" t="str">
        <f t="shared" si="9"/>
        <v>May</v>
      </c>
      <c r="D581" t="s">
        <v>1208</v>
      </c>
      <c r="E581" s="10" t="s">
        <v>992</v>
      </c>
      <c r="F581" t="s">
        <v>64</v>
      </c>
      <c r="G581" t="s">
        <v>18</v>
      </c>
      <c r="H581" t="s">
        <v>19</v>
      </c>
      <c r="I581">
        <v>2</v>
      </c>
      <c r="J581" s="3">
        <v>240.17</v>
      </c>
      <c r="K581" s="2">
        <v>0.1</v>
      </c>
      <c r="L581" s="3">
        <v>432.31</v>
      </c>
      <c r="M581" s="3">
        <v>70.14</v>
      </c>
      <c r="N581" t="s">
        <v>35</v>
      </c>
      <c r="O581" s="3"/>
      <c r="P581" s="3"/>
    </row>
    <row r="582" spans="1:16" x14ac:dyDescent="0.3">
      <c r="A582" t="s">
        <v>1611</v>
      </c>
      <c r="B582" s="9" t="s">
        <v>1307</v>
      </c>
      <c r="C582" s="20" t="str">
        <f t="shared" si="9"/>
        <v>Jan</v>
      </c>
      <c r="D582" t="s">
        <v>1411</v>
      </c>
      <c r="E582" s="10" t="s">
        <v>1612</v>
      </c>
      <c r="F582" t="s">
        <v>64</v>
      </c>
      <c r="G582" t="s">
        <v>26</v>
      </c>
      <c r="H582" t="s">
        <v>27</v>
      </c>
      <c r="I582">
        <v>1</v>
      </c>
      <c r="J582" s="3">
        <v>39.06</v>
      </c>
      <c r="K582" s="2">
        <v>0.05</v>
      </c>
      <c r="L582" s="3">
        <v>37.11</v>
      </c>
      <c r="M582" s="3">
        <v>5.39</v>
      </c>
      <c r="N582" t="s">
        <v>35</v>
      </c>
      <c r="O582" s="3"/>
      <c r="P582" s="3"/>
    </row>
    <row r="583" spans="1:16" x14ac:dyDescent="0.3">
      <c r="A583" t="s">
        <v>1613</v>
      </c>
      <c r="B583" s="9" t="s">
        <v>1578</v>
      </c>
      <c r="C583" s="20" t="str">
        <f t="shared" si="9"/>
        <v>Mar</v>
      </c>
      <c r="D583" t="s">
        <v>863</v>
      </c>
      <c r="E583" s="10" t="s">
        <v>1614</v>
      </c>
      <c r="F583" t="s">
        <v>64</v>
      </c>
      <c r="G583" t="s">
        <v>33</v>
      </c>
      <c r="H583" t="s">
        <v>69</v>
      </c>
      <c r="I583">
        <v>3</v>
      </c>
      <c r="J583" s="3">
        <v>34.6</v>
      </c>
      <c r="K583" s="2">
        <v>0.15</v>
      </c>
      <c r="L583" s="3">
        <v>88.23</v>
      </c>
      <c r="M583" s="3">
        <v>11.34</v>
      </c>
      <c r="N583" t="s">
        <v>20</v>
      </c>
      <c r="O583" s="3"/>
      <c r="P583" s="3"/>
    </row>
    <row r="584" spans="1:16" x14ac:dyDescent="0.3">
      <c r="A584" t="s">
        <v>1615</v>
      </c>
      <c r="B584" s="9" t="s">
        <v>1013</v>
      </c>
      <c r="C584" s="20" t="str">
        <f t="shared" si="9"/>
        <v>Dec</v>
      </c>
      <c r="D584" t="s">
        <v>1616</v>
      </c>
      <c r="E584" s="10" t="s">
        <v>848</v>
      </c>
      <c r="F584" t="s">
        <v>25</v>
      </c>
      <c r="G584" t="s">
        <v>26</v>
      </c>
      <c r="H584" t="s">
        <v>84</v>
      </c>
      <c r="I584">
        <v>4</v>
      </c>
      <c r="J584" s="3">
        <v>180.65</v>
      </c>
      <c r="K584" s="2">
        <v>0.15</v>
      </c>
      <c r="L584" s="3">
        <v>614.21</v>
      </c>
      <c r="M584" s="3">
        <v>128.49</v>
      </c>
      <c r="N584" t="s">
        <v>35</v>
      </c>
      <c r="O584" s="3"/>
      <c r="P584" s="3"/>
    </row>
    <row r="585" spans="1:16" x14ac:dyDescent="0.3">
      <c r="A585" t="s">
        <v>1617</v>
      </c>
      <c r="B585" s="9" t="s">
        <v>1144</v>
      </c>
      <c r="C585" s="20" t="str">
        <f t="shared" si="9"/>
        <v>May</v>
      </c>
      <c r="D585" t="s">
        <v>1618</v>
      </c>
      <c r="E585" s="10" t="s">
        <v>1182</v>
      </c>
      <c r="F585" t="s">
        <v>17</v>
      </c>
      <c r="G585" t="s">
        <v>33</v>
      </c>
      <c r="H585" t="s">
        <v>74</v>
      </c>
      <c r="I585">
        <v>4</v>
      </c>
      <c r="J585" s="3">
        <v>130.6</v>
      </c>
      <c r="K585" s="2">
        <v>0.15</v>
      </c>
      <c r="L585" s="3">
        <v>444.04</v>
      </c>
      <c r="M585" s="3">
        <v>36.979999999999997</v>
      </c>
      <c r="N585" t="s">
        <v>35</v>
      </c>
      <c r="O585" s="3"/>
      <c r="P585" s="3"/>
    </row>
    <row r="586" spans="1:16" x14ac:dyDescent="0.3">
      <c r="A586" t="s">
        <v>1619</v>
      </c>
      <c r="B586" s="9" t="s">
        <v>1620</v>
      </c>
      <c r="C586" s="20" t="str">
        <f t="shared" si="9"/>
        <v>Oct</v>
      </c>
      <c r="D586" t="s">
        <v>633</v>
      </c>
      <c r="E586" s="10" t="s">
        <v>951</v>
      </c>
      <c r="F586" t="s">
        <v>25</v>
      </c>
      <c r="G586" t="s">
        <v>33</v>
      </c>
      <c r="H586" t="s">
        <v>69</v>
      </c>
      <c r="I586">
        <v>4</v>
      </c>
      <c r="J586" s="3">
        <v>24.79</v>
      </c>
      <c r="K586" s="2">
        <v>0.1</v>
      </c>
      <c r="L586" s="3">
        <v>89.24</v>
      </c>
      <c r="M586" s="3">
        <v>20.47</v>
      </c>
      <c r="N586" t="s">
        <v>40</v>
      </c>
      <c r="O586" s="3"/>
      <c r="P586" s="3"/>
    </row>
    <row r="587" spans="1:16" x14ac:dyDescent="0.3">
      <c r="A587" t="s">
        <v>1621</v>
      </c>
      <c r="B587" s="9" t="s">
        <v>423</v>
      </c>
      <c r="C587" s="20" t="str">
        <f t="shared" si="9"/>
        <v>Oct</v>
      </c>
      <c r="D587" t="s">
        <v>160</v>
      </c>
      <c r="E587" s="10" t="s">
        <v>1622</v>
      </c>
      <c r="F587" t="s">
        <v>32</v>
      </c>
      <c r="G587" t="s">
        <v>26</v>
      </c>
      <c r="H587" t="s">
        <v>118</v>
      </c>
      <c r="I587">
        <v>6</v>
      </c>
      <c r="J587" s="3">
        <v>189.61</v>
      </c>
      <c r="K587" s="2">
        <v>0.05</v>
      </c>
      <c r="L587" s="3">
        <v>1080.78</v>
      </c>
      <c r="M587" s="3">
        <v>128.16</v>
      </c>
      <c r="N587" t="s">
        <v>35</v>
      </c>
      <c r="O587" s="3"/>
      <c r="P587" s="3"/>
    </row>
    <row r="588" spans="1:16" x14ac:dyDescent="0.3">
      <c r="A588" t="s">
        <v>1623</v>
      </c>
      <c r="B588" s="9" t="s">
        <v>1624</v>
      </c>
      <c r="C588" s="20" t="str">
        <f t="shared" si="9"/>
        <v>May</v>
      </c>
      <c r="D588" t="s">
        <v>1283</v>
      </c>
      <c r="E588" s="10" t="s">
        <v>906</v>
      </c>
      <c r="F588" t="s">
        <v>59</v>
      </c>
      <c r="G588" t="s">
        <v>89</v>
      </c>
      <c r="H588" t="s">
        <v>131</v>
      </c>
      <c r="I588">
        <v>6</v>
      </c>
      <c r="J588" s="3">
        <v>157.13</v>
      </c>
      <c r="K588" s="2">
        <v>0.15</v>
      </c>
      <c r="L588" s="3">
        <v>801.36</v>
      </c>
      <c r="M588" s="3">
        <v>134.76</v>
      </c>
      <c r="N588" t="s">
        <v>35</v>
      </c>
      <c r="O588" s="3"/>
      <c r="P588" s="3"/>
    </row>
    <row r="589" spans="1:16" x14ac:dyDescent="0.3">
      <c r="A589" t="s">
        <v>1625</v>
      </c>
      <c r="B589" s="9" t="s">
        <v>1626</v>
      </c>
      <c r="C589" s="20" t="str">
        <f t="shared" si="9"/>
        <v>Oct</v>
      </c>
      <c r="D589" t="s">
        <v>597</v>
      </c>
      <c r="E589" s="10" t="s">
        <v>1627</v>
      </c>
      <c r="F589" t="s">
        <v>32</v>
      </c>
      <c r="G589" t="s">
        <v>89</v>
      </c>
      <c r="H589" t="s">
        <v>90</v>
      </c>
      <c r="I589">
        <v>8</v>
      </c>
      <c r="J589" s="3">
        <v>149.62</v>
      </c>
      <c r="K589" s="2">
        <v>0.05</v>
      </c>
      <c r="L589" s="3">
        <v>1137.1099999999999</v>
      </c>
      <c r="M589" s="3">
        <v>185.05</v>
      </c>
      <c r="N589" t="s">
        <v>40</v>
      </c>
      <c r="O589" s="3"/>
      <c r="P589" s="3"/>
    </row>
    <row r="590" spans="1:16" x14ac:dyDescent="0.3">
      <c r="A590" t="s">
        <v>1628</v>
      </c>
      <c r="B590" s="9" t="s">
        <v>1629</v>
      </c>
      <c r="C590" s="20" t="str">
        <f t="shared" si="9"/>
        <v>Oct</v>
      </c>
      <c r="D590" t="s">
        <v>477</v>
      </c>
      <c r="E590" s="10" t="s">
        <v>1600</v>
      </c>
      <c r="F590" t="s">
        <v>25</v>
      </c>
      <c r="G590" t="s">
        <v>18</v>
      </c>
      <c r="H590" t="s">
        <v>79</v>
      </c>
      <c r="I590">
        <v>2</v>
      </c>
      <c r="J590" s="3">
        <v>59.97</v>
      </c>
      <c r="K590" s="2">
        <v>0.1</v>
      </c>
      <c r="L590" s="3">
        <v>107.95</v>
      </c>
      <c r="M590" s="3">
        <v>20.61</v>
      </c>
      <c r="N590" t="s">
        <v>20</v>
      </c>
      <c r="O590" s="3"/>
      <c r="P590" s="3"/>
    </row>
    <row r="591" spans="1:16" x14ac:dyDescent="0.3">
      <c r="A591" t="s">
        <v>1630</v>
      </c>
      <c r="B591" s="9" t="s">
        <v>188</v>
      </c>
      <c r="C591" s="20" t="str">
        <f t="shared" si="9"/>
        <v>Feb</v>
      </c>
      <c r="D591" t="s">
        <v>1193</v>
      </c>
      <c r="E591" s="10" t="s">
        <v>193</v>
      </c>
      <c r="F591" t="s">
        <v>64</v>
      </c>
      <c r="G591" t="s">
        <v>33</v>
      </c>
      <c r="H591" t="s">
        <v>50</v>
      </c>
      <c r="I591">
        <v>5</v>
      </c>
      <c r="J591" s="3">
        <v>35.25</v>
      </c>
      <c r="K591" s="2">
        <v>0.15</v>
      </c>
      <c r="L591" s="3">
        <v>149.81</v>
      </c>
      <c r="M591" s="3">
        <v>24.36</v>
      </c>
      <c r="N591" t="s">
        <v>20</v>
      </c>
      <c r="O591" s="3"/>
      <c r="P591" s="3"/>
    </row>
    <row r="592" spans="1:16" x14ac:dyDescent="0.3">
      <c r="A592" t="s">
        <v>1631</v>
      </c>
      <c r="B592" s="9" t="s">
        <v>115</v>
      </c>
      <c r="C592" s="20" t="str">
        <f t="shared" si="9"/>
        <v>Jan</v>
      </c>
      <c r="D592" t="s">
        <v>1567</v>
      </c>
      <c r="E592" s="10" t="s">
        <v>1632</v>
      </c>
      <c r="F592" t="s">
        <v>32</v>
      </c>
      <c r="G592" t="s">
        <v>26</v>
      </c>
      <c r="H592" t="s">
        <v>27</v>
      </c>
      <c r="I592">
        <v>2</v>
      </c>
      <c r="J592" s="3">
        <v>143.91</v>
      </c>
      <c r="K592" s="2">
        <v>0.1</v>
      </c>
      <c r="L592" s="3">
        <v>259.04000000000002</v>
      </c>
      <c r="M592" s="3">
        <v>45.19</v>
      </c>
      <c r="N592" t="s">
        <v>20</v>
      </c>
      <c r="O592" s="3"/>
      <c r="P592" s="3"/>
    </row>
    <row r="593" spans="1:16" x14ac:dyDescent="0.3">
      <c r="A593" t="s">
        <v>1633</v>
      </c>
      <c r="B593" s="9" t="s">
        <v>1634</v>
      </c>
      <c r="C593" s="20" t="str">
        <f t="shared" si="9"/>
        <v>Dec</v>
      </c>
      <c r="D593" t="s">
        <v>1635</v>
      </c>
      <c r="E593" s="10" t="s">
        <v>594</v>
      </c>
      <c r="F593" t="s">
        <v>32</v>
      </c>
      <c r="G593" t="s">
        <v>89</v>
      </c>
      <c r="H593" t="s">
        <v>90</v>
      </c>
      <c r="I593">
        <v>2</v>
      </c>
      <c r="J593" s="3">
        <v>238.32</v>
      </c>
      <c r="K593" s="2">
        <v>0.1</v>
      </c>
      <c r="L593" s="3">
        <v>428.98</v>
      </c>
      <c r="M593" s="3">
        <v>80.650000000000006</v>
      </c>
      <c r="N593" t="s">
        <v>20</v>
      </c>
      <c r="O593" s="3"/>
      <c r="P593" s="3"/>
    </row>
    <row r="594" spans="1:16" x14ac:dyDescent="0.3">
      <c r="A594" t="s">
        <v>1636</v>
      </c>
      <c r="B594" s="9" t="s">
        <v>1005</v>
      </c>
      <c r="C594" s="20" t="str">
        <f t="shared" si="9"/>
        <v>Apr</v>
      </c>
      <c r="D594" t="s">
        <v>687</v>
      </c>
      <c r="E594" s="10" t="s">
        <v>1182</v>
      </c>
      <c r="F594" t="s">
        <v>25</v>
      </c>
      <c r="G594" t="s">
        <v>89</v>
      </c>
      <c r="H594" t="s">
        <v>131</v>
      </c>
      <c r="I594">
        <v>3</v>
      </c>
      <c r="J594" s="3">
        <v>50.38</v>
      </c>
      <c r="K594" s="2">
        <v>0.05</v>
      </c>
      <c r="L594" s="3">
        <v>143.58000000000001</v>
      </c>
      <c r="M594" s="3">
        <v>34.130000000000003</v>
      </c>
      <c r="N594" t="s">
        <v>40</v>
      </c>
      <c r="O594" s="3"/>
      <c r="P594" s="3"/>
    </row>
    <row r="595" spans="1:16" x14ac:dyDescent="0.3">
      <c r="A595" t="s">
        <v>1637</v>
      </c>
      <c r="B595" s="9" t="s">
        <v>1307</v>
      </c>
      <c r="C595" s="20" t="str">
        <f t="shared" si="9"/>
        <v>Jan</v>
      </c>
      <c r="D595" t="s">
        <v>1145</v>
      </c>
      <c r="E595" s="10" t="s">
        <v>995</v>
      </c>
      <c r="F595" t="s">
        <v>17</v>
      </c>
      <c r="G595" t="s">
        <v>26</v>
      </c>
      <c r="H595" t="s">
        <v>27</v>
      </c>
      <c r="I595">
        <v>8</v>
      </c>
      <c r="J595" s="3">
        <v>164.07</v>
      </c>
      <c r="K595" s="2">
        <v>0.15</v>
      </c>
      <c r="L595" s="3">
        <v>1115.68</v>
      </c>
      <c r="M595" s="3">
        <v>185.58</v>
      </c>
      <c r="N595" t="s">
        <v>40</v>
      </c>
      <c r="O595" s="3"/>
      <c r="P595" s="3"/>
    </row>
    <row r="596" spans="1:16" x14ac:dyDescent="0.3">
      <c r="A596" t="s">
        <v>1638</v>
      </c>
      <c r="B596" s="9" t="s">
        <v>1059</v>
      </c>
      <c r="C596" s="20" t="str">
        <f t="shared" si="9"/>
        <v>Aug</v>
      </c>
      <c r="D596" t="s">
        <v>627</v>
      </c>
      <c r="E596" s="10" t="s">
        <v>466</v>
      </c>
      <c r="F596" t="s">
        <v>17</v>
      </c>
      <c r="G596" t="s">
        <v>26</v>
      </c>
      <c r="H596" t="s">
        <v>27</v>
      </c>
      <c r="I596">
        <v>6</v>
      </c>
      <c r="J596" s="3">
        <v>64.16</v>
      </c>
      <c r="K596" s="2">
        <v>0</v>
      </c>
      <c r="L596" s="3">
        <v>384.96</v>
      </c>
      <c r="M596" s="3">
        <v>79.349999999999994</v>
      </c>
      <c r="N596" t="s">
        <v>35</v>
      </c>
      <c r="O596" s="3"/>
      <c r="P596" s="3"/>
    </row>
    <row r="597" spans="1:16" x14ac:dyDescent="0.3">
      <c r="A597" t="s">
        <v>1639</v>
      </c>
      <c r="B597" s="9" t="s">
        <v>1105</v>
      </c>
      <c r="C597" s="20" t="str">
        <f t="shared" si="9"/>
        <v>Oct</v>
      </c>
      <c r="D597" t="s">
        <v>901</v>
      </c>
      <c r="E597" s="10" t="s">
        <v>1640</v>
      </c>
      <c r="F597" t="s">
        <v>59</v>
      </c>
      <c r="G597" t="s">
        <v>33</v>
      </c>
      <c r="H597" t="s">
        <v>50</v>
      </c>
      <c r="I597">
        <v>4</v>
      </c>
      <c r="J597" s="3">
        <v>153.58000000000001</v>
      </c>
      <c r="K597" s="2">
        <v>0</v>
      </c>
      <c r="L597" s="3">
        <v>614.32000000000005</v>
      </c>
      <c r="M597" s="3">
        <v>139.53</v>
      </c>
      <c r="N597" t="s">
        <v>40</v>
      </c>
      <c r="O597" s="3"/>
      <c r="P597" s="3"/>
    </row>
    <row r="598" spans="1:16" x14ac:dyDescent="0.3">
      <c r="A598" t="s">
        <v>1641</v>
      </c>
      <c r="B598" s="9" t="s">
        <v>918</v>
      </c>
      <c r="C598" s="20" t="str">
        <f t="shared" si="9"/>
        <v>May</v>
      </c>
      <c r="D598" t="s">
        <v>1642</v>
      </c>
      <c r="E598" s="10" t="s">
        <v>655</v>
      </c>
      <c r="F598" t="s">
        <v>17</v>
      </c>
      <c r="G598" t="s">
        <v>89</v>
      </c>
      <c r="H598" t="s">
        <v>90</v>
      </c>
      <c r="I598">
        <v>8</v>
      </c>
      <c r="J598" s="3">
        <v>59.78</v>
      </c>
      <c r="K598" s="2">
        <v>0</v>
      </c>
      <c r="L598" s="3">
        <v>478.24</v>
      </c>
      <c r="M598" s="3">
        <v>99.85</v>
      </c>
      <c r="N598" t="s">
        <v>35</v>
      </c>
      <c r="O598" s="3"/>
      <c r="P598" s="3"/>
    </row>
    <row r="599" spans="1:16" x14ac:dyDescent="0.3">
      <c r="A599" t="s">
        <v>1643</v>
      </c>
      <c r="B599" s="9" t="s">
        <v>1644</v>
      </c>
      <c r="C599" s="20" t="str">
        <f t="shared" si="9"/>
        <v>Sep</v>
      </c>
      <c r="D599" t="s">
        <v>633</v>
      </c>
      <c r="E599" s="10" t="s">
        <v>1347</v>
      </c>
      <c r="F599" t="s">
        <v>25</v>
      </c>
      <c r="G599" t="s">
        <v>18</v>
      </c>
      <c r="H599" t="s">
        <v>79</v>
      </c>
      <c r="I599">
        <v>2</v>
      </c>
      <c r="J599" s="3">
        <v>41.14</v>
      </c>
      <c r="K599" s="2">
        <v>0.15</v>
      </c>
      <c r="L599" s="3">
        <v>69.94</v>
      </c>
      <c r="M599" s="3">
        <v>13.17</v>
      </c>
      <c r="N599" t="s">
        <v>20</v>
      </c>
      <c r="O599" s="3"/>
      <c r="P599" s="3"/>
    </row>
    <row r="600" spans="1:16" x14ac:dyDescent="0.3">
      <c r="A600" t="s">
        <v>1645</v>
      </c>
      <c r="B600" s="9" t="s">
        <v>653</v>
      </c>
      <c r="C600" s="20" t="str">
        <f t="shared" si="9"/>
        <v>Mar</v>
      </c>
      <c r="D600" t="s">
        <v>1646</v>
      </c>
      <c r="E600" s="10" t="s">
        <v>1647</v>
      </c>
      <c r="F600" t="s">
        <v>64</v>
      </c>
      <c r="G600" t="s">
        <v>18</v>
      </c>
      <c r="H600" t="s">
        <v>19</v>
      </c>
      <c r="I600">
        <v>6</v>
      </c>
      <c r="J600" s="3">
        <v>99.29</v>
      </c>
      <c r="K600" s="2">
        <v>0</v>
      </c>
      <c r="L600" s="3">
        <v>595.74</v>
      </c>
      <c r="M600" s="3">
        <v>57.83</v>
      </c>
      <c r="N600" t="s">
        <v>20</v>
      </c>
      <c r="O600" s="3"/>
      <c r="P600" s="3"/>
    </row>
    <row r="601" spans="1:16" x14ac:dyDescent="0.3">
      <c r="A601" t="s">
        <v>1648</v>
      </c>
      <c r="B601" s="9" t="s">
        <v>235</v>
      </c>
      <c r="C601" s="20" t="str">
        <f t="shared" si="9"/>
        <v>Jul</v>
      </c>
      <c r="D601" t="s">
        <v>1329</v>
      </c>
      <c r="E601" s="10" t="s">
        <v>1647</v>
      </c>
      <c r="F601" t="s">
        <v>59</v>
      </c>
      <c r="G601" t="s">
        <v>89</v>
      </c>
      <c r="H601" t="s">
        <v>90</v>
      </c>
      <c r="I601">
        <v>7</v>
      </c>
      <c r="J601" s="3">
        <v>185.14</v>
      </c>
      <c r="K601" s="2">
        <v>0</v>
      </c>
      <c r="L601" s="3">
        <v>1295.98</v>
      </c>
      <c r="M601" s="3">
        <v>240.31</v>
      </c>
      <c r="N601" t="s">
        <v>20</v>
      </c>
      <c r="O601" s="3"/>
      <c r="P601" s="3"/>
    </row>
    <row r="602" spans="1:16" x14ac:dyDescent="0.3">
      <c r="A602" t="s">
        <v>1649</v>
      </c>
      <c r="B602" s="9" t="s">
        <v>1650</v>
      </c>
      <c r="C602" s="20" t="str">
        <f t="shared" si="9"/>
        <v>Sep</v>
      </c>
      <c r="D602" t="s">
        <v>617</v>
      </c>
      <c r="E602" s="10" t="s">
        <v>68</v>
      </c>
      <c r="F602" t="s">
        <v>25</v>
      </c>
      <c r="G602" t="s">
        <v>18</v>
      </c>
      <c r="H602" t="s">
        <v>45</v>
      </c>
      <c r="I602">
        <v>1</v>
      </c>
      <c r="J602" s="3">
        <v>82.39</v>
      </c>
      <c r="K602" s="2">
        <v>0.1</v>
      </c>
      <c r="L602" s="3">
        <v>74.150000000000006</v>
      </c>
      <c r="M602" s="3">
        <v>11.64</v>
      </c>
      <c r="N602" t="s">
        <v>20</v>
      </c>
      <c r="O602" s="3"/>
      <c r="P602" s="3"/>
    </row>
    <row r="603" spans="1:16" x14ac:dyDescent="0.3">
      <c r="A603" t="s">
        <v>1651</v>
      </c>
      <c r="B603" s="9" t="s">
        <v>1377</v>
      </c>
      <c r="C603" s="20" t="str">
        <f t="shared" si="9"/>
        <v>Oct</v>
      </c>
      <c r="D603" t="s">
        <v>1008</v>
      </c>
      <c r="E603" s="10" t="s">
        <v>325</v>
      </c>
      <c r="F603" t="s">
        <v>25</v>
      </c>
      <c r="G603" t="s">
        <v>26</v>
      </c>
      <c r="H603" t="s">
        <v>27</v>
      </c>
      <c r="I603">
        <v>3</v>
      </c>
      <c r="J603" s="3">
        <v>121.87</v>
      </c>
      <c r="K603" s="2">
        <v>0.15</v>
      </c>
      <c r="L603" s="3">
        <v>310.77</v>
      </c>
      <c r="M603" s="3">
        <v>35.58</v>
      </c>
      <c r="N603" t="s">
        <v>40</v>
      </c>
      <c r="O603" s="3"/>
      <c r="P603" s="3"/>
    </row>
    <row r="604" spans="1:16" x14ac:dyDescent="0.3">
      <c r="A604" t="s">
        <v>1652</v>
      </c>
      <c r="B604" s="9" t="s">
        <v>583</v>
      </c>
      <c r="C604" s="20" t="str">
        <f t="shared" si="9"/>
        <v>Jun</v>
      </c>
      <c r="D604" t="s">
        <v>1653</v>
      </c>
      <c r="E604" s="10" t="s">
        <v>178</v>
      </c>
      <c r="F604" t="s">
        <v>32</v>
      </c>
      <c r="G604" t="s">
        <v>18</v>
      </c>
      <c r="H604" t="s">
        <v>79</v>
      </c>
      <c r="I604">
        <v>7</v>
      </c>
      <c r="J604" s="3">
        <v>79.56</v>
      </c>
      <c r="K604" s="2">
        <v>0.05</v>
      </c>
      <c r="L604" s="3">
        <v>529.07000000000005</v>
      </c>
      <c r="M604" s="3">
        <v>104.93</v>
      </c>
      <c r="N604" t="s">
        <v>40</v>
      </c>
      <c r="O604" s="3"/>
      <c r="P604" s="3"/>
    </row>
    <row r="605" spans="1:16" x14ac:dyDescent="0.3">
      <c r="A605" t="s">
        <v>1654</v>
      </c>
      <c r="B605" s="9" t="s">
        <v>712</v>
      </c>
      <c r="C605" s="20" t="str">
        <f t="shared" si="9"/>
        <v>Jul</v>
      </c>
      <c r="D605" t="s">
        <v>1090</v>
      </c>
      <c r="E605" s="10" t="s">
        <v>1655</v>
      </c>
      <c r="F605" t="s">
        <v>32</v>
      </c>
      <c r="G605" t="s">
        <v>26</v>
      </c>
      <c r="H605" t="s">
        <v>84</v>
      </c>
      <c r="I605">
        <v>1</v>
      </c>
      <c r="J605" s="3">
        <v>235.67</v>
      </c>
      <c r="K605" s="2">
        <v>0.05</v>
      </c>
      <c r="L605" s="3">
        <v>223.89</v>
      </c>
      <c r="M605" s="3">
        <v>38.78</v>
      </c>
      <c r="N605" t="s">
        <v>20</v>
      </c>
      <c r="O605" s="3"/>
      <c r="P605" s="3"/>
    </row>
    <row r="606" spans="1:16" x14ac:dyDescent="0.3">
      <c r="A606" t="s">
        <v>1656</v>
      </c>
      <c r="B606" s="9" t="s">
        <v>1657</v>
      </c>
      <c r="C606" s="20" t="str">
        <f t="shared" si="9"/>
        <v>May</v>
      </c>
      <c r="D606" t="s">
        <v>221</v>
      </c>
      <c r="E606" s="10" t="s">
        <v>1655</v>
      </c>
      <c r="F606" t="s">
        <v>25</v>
      </c>
      <c r="G606" t="s">
        <v>18</v>
      </c>
      <c r="H606" t="s">
        <v>79</v>
      </c>
      <c r="I606">
        <v>4</v>
      </c>
      <c r="J606" s="3">
        <v>75.28</v>
      </c>
      <c r="K606" s="2">
        <v>0.15</v>
      </c>
      <c r="L606" s="3">
        <v>255.95</v>
      </c>
      <c r="M606" s="3">
        <v>51.33</v>
      </c>
      <c r="N606" t="s">
        <v>40</v>
      </c>
      <c r="O606" s="3"/>
      <c r="P606" s="3"/>
    </row>
    <row r="607" spans="1:16" x14ac:dyDescent="0.3">
      <c r="A607" t="s">
        <v>1658</v>
      </c>
      <c r="B607" s="9" t="s">
        <v>523</v>
      </c>
      <c r="C607" s="20" t="str">
        <f t="shared" si="9"/>
        <v>Dec</v>
      </c>
      <c r="D607" t="s">
        <v>156</v>
      </c>
      <c r="E607" s="10" t="s">
        <v>31</v>
      </c>
      <c r="F607" t="s">
        <v>25</v>
      </c>
      <c r="G607" t="s">
        <v>26</v>
      </c>
      <c r="H607" t="s">
        <v>27</v>
      </c>
      <c r="I607">
        <v>4</v>
      </c>
      <c r="J607" s="3">
        <v>164.59</v>
      </c>
      <c r="K607" s="2">
        <v>0.1</v>
      </c>
      <c r="L607" s="3">
        <v>592.52</v>
      </c>
      <c r="M607" s="3">
        <v>166.01</v>
      </c>
      <c r="N607" t="s">
        <v>20</v>
      </c>
      <c r="O607" s="3"/>
      <c r="P607" s="3"/>
    </row>
    <row r="608" spans="1:16" x14ac:dyDescent="0.3">
      <c r="A608" t="s">
        <v>1659</v>
      </c>
      <c r="B608" s="9" t="s">
        <v>1252</v>
      </c>
      <c r="C608" s="20" t="str">
        <f t="shared" si="9"/>
        <v>Oct</v>
      </c>
      <c r="D608" t="s">
        <v>1087</v>
      </c>
      <c r="E608" s="10" t="s">
        <v>1245</v>
      </c>
      <c r="F608" t="s">
        <v>32</v>
      </c>
      <c r="G608" t="s">
        <v>18</v>
      </c>
      <c r="H608" t="s">
        <v>19</v>
      </c>
      <c r="I608">
        <v>8</v>
      </c>
      <c r="J608" s="3">
        <v>244.3</v>
      </c>
      <c r="K608" s="2">
        <v>0.05</v>
      </c>
      <c r="L608" s="3">
        <v>1856.68</v>
      </c>
      <c r="M608" s="3">
        <v>391.37</v>
      </c>
      <c r="N608" t="s">
        <v>20</v>
      </c>
      <c r="O608" s="3"/>
      <c r="P608" s="3"/>
    </row>
    <row r="609" spans="1:16" x14ac:dyDescent="0.3">
      <c r="A609" t="s">
        <v>1660</v>
      </c>
      <c r="B609" s="9" t="s">
        <v>111</v>
      </c>
      <c r="C609" s="20" t="str">
        <f t="shared" si="9"/>
        <v>Apr</v>
      </c>
      <c r="D609" t="s">
        <v>827</v>
      </c>
      <c r="E609" s="10" t="s">
        <v>1661</v>
      </c>
      <c r="F609" t="s">
        <v>32</v>
      </c>
      <c r="G609" t="s">
        <v>26</v>
      </c>
      <c r="H609" t="s">
        <v>84</v>
      </c>
      <c r="I609">
        <v>1</v>
      </c>
      <c r="J609" s="3">
        <v>174.04</v>
      </c>
      <c r="K609" s="2">
        <v>0.15</v>
      </c>
      <c r="L609" s="3">
        <v>147.93</v>
      </c>
      <c r="M609" s="3">
        <v>19.59</v>
      </c>
      <c r="N609" t="s">
        <v>40</v>
      </c>
      <c r="O609" s="3"/>
      <c r="P609" s="3"/>
    </row>
    <row r="610" spans="1:16" x14ac:dyDescent="0.3">
      <c r="A610" t="s">
        <v>1662</v>
      </c>
      <c r="B610" s="9" t="s">
        <v>1018</v>
      </c>
      <c r="C610" s="20" t="str">
        <f t="shared" si="9"/>
        <v>Jul</v>
      </c>
      <c r="D610" t="s">
        <v>1119</v>
      </c>
      <c r="E610" s="10" t="s">
        <v>1553</v>
      </c>
      <c r="F610" t="s">
        <v>59</v>
      </c>
      <c r="G610" t="s">
        <v>33</v>
      </c>
      <c r="H610" t="s">
        <v>34</v>
      </c>
      <c r="I610">
        <v>1</v>
      </c>
      <c r="J610" s="3">
        <v>246.09</v>
      </c>
      <c r="K610" s="2">
        <v>0.1</v>
      </c>
      <c r="L610" s="3">
        <v>221.48</v>
      </c>
      <c r="M610" s="3">
        <v>42.12</v>
      </c>
      <c r="N610" t="s">
        <v>35</v>
      </c>
      <c r="O610" s="3"/>
      <c r="P610" s="3"/>
    </row>
    <row r="611" spans="1:16" x14ac:dyDescent="0.3">
      <c r="A611" t="s">
        <v>1663</v>
      </c>
      <c r="B611" s="9" t="s">
        <v>1029</v>
      </c>
      <c r="C611" s="20" t="str">
        <f t="shared" si="9"/>
        <v>Dec</v>
      </c>
      <c r="D611" t="s">
        <v>794</v>
      </c>
      <c r="E611" s="10" t="s">
        <v>1664</v>
      </c>
      <c r="F611" t="s">
        <v>64</v>
      </c>
      <c r="G611" t="s">
        <v>18</v>
      </c>
      <c r="H611" t="s">
        <v>45</v>
      </c>
      <c r="I611">
        <v>3</v>
      </c>
      <c r="J611" s="3">
        <v>142.04</v>
      </c>
      <c r="K611" s="2">
        <v>0</v>
      </c>
      <c r="L611" s="3">
        <v>426.12</v>
      </c>
      <c r="M611" s="3">
        <v>73.5</v>
      </c>
      <c r="N611" t="s">
        <v>20</v>
      </c>
      <c r="O611" s="3"/>
      <c r="P611" s="3"/>
    </row>
    <row r="612" spans="1:16" x14ac:dyDescent="0.3">
      <c r="A612" t="s">
        <v>1665</v>
      </c>
      <c r="B612" s="9" t="s">
        <v>1536</v>
      </c>
      <c r="C612" s="20" t="str">
        <f t="shared" si="9"/>
        <v>Oct</v>
      </c>
      <c r="D612" t="s">
        <v>112</v>
      </c>
      <c r="E612" s="10" t="s">
        <v>1666</v>
      </c>
      <c r="F612" t="s">
        <v>25</v>
      </c>
      <c r="G612" t="s">
        <v>26</v>
      </c>
      <c r="H612" t="s">
        <v>118</v>
      </c>
      <c r="I612">
        <v>2</v>
      </c>
      <c r="J612" s="3">
        <v>190.72</v>
      </c>
      <c r="K612" s="2">
        <v>0.05</v>
      </c>
      <c r="L612" s="3">
        <v>362.37</v>
      </c>
      <c r="M612" s="3">
        <v>59.04</v>
      </c>
      <c r="N612" t="s">
        <v>20</v>
      </c>
      <c r="O612" s="3"/>
      <c r="P612" s="3"/>
    </row>
    <row r="613" spans="1:16" x14ac:dyDescent="0.3">
      <c r="A613" t="s">
        <v>1667</v>
      </c>
      <c r="B613" s="9" t="s">
        <v>1668</v>
      </c>
      <c r="C613" s="20" t="str">
        <f t="shared" si="9"/>
        <v>Dec</v>
      </c>
      <c r="D613" t="s">
        <v>1239</v>
      </c>
      <c r="E613" s="10" t="s">
        <v>1669</v>
      </c>
      <c r="F613" t="s">
        <v>59</v>
      </c>
      <c r="G613" t="s">
        <v>18</v>
      </c>
      <c r="H613" t="s">
        <v>79</v>
      </c>
      <c r="I613">
        <v>6</v>
      </c>
      <c r="J613" s="3">
        <v>30.37</v>
      </c>
      <c r="K613" s="2">
        <v>0.15</v>
      </c>
      <c r="L613" s="3">
        <v>154.88999999999999</v>
      </c>
      <c r="M613" s="3">
        <v>41.02</v>
      </c>
      <c r="N613" t="s">
        <v>20</v>
      </c>
      <c r="O613" s="3"/>
      <c r="P613" s="3"/>
    </row>
    <row r="614" spans="1:16" x14ac:dyDescent="0.3">
      <c r="A614" t="s">
        <v>1670</v>
      </c>
      <c r="B614" s="9" t="s">
        <v>229</v>
      </c>
      <c r="C614" s="20" t="str">
        <f t="shared" si="9"/>
        <v>Jul</v>
      </c>
      <c r="D614" t="s">
        <v>1090</v>
      </c>
      <c r="E614" s="10" t="s">
        <v>1295</v>
      </c>
      <c r="F614" t="s">
        <v>59</v>
      </c>
      <c r="G614" t="s">
        <v>18</v>
      </c>
      <c r="H614" t="s">
        <v>19</v>
      </c>
      <c r="I614">
        <v>8</v>
      </c>
      <c r="J614" s="3">
        <v>119.44</v>
      </c>
      <c r="K614" s="2">
        <v>0.15</v>
      </c>
      <c r="L614" s="3">
        <v>812.19</v>
      </c>
      <c r="M614" s="3">
        <v>66.02</v>
      </c>
      <c r="N614" t="s">
        <v>35</v>
      </c>
      <c r="O614" s="3"/>
      <c r="P614" s="3"/>
    </row>
    <row r="615" spans="1:16" x14ac:dyDescent="0.3">
      <c r="A615" t="s">
        <v>1671</v>
      </c>
      <c r="B615" s="9" t="s">
        <v>320</v>
      </c>
      <c r="C615" s="20" t="str">
        <f t="shared" si="9"/>
        <v>Jun</v>
      </c>
      <c r="D615" t="s">
        <v>737</v>
      </c>
      <c r="E615" s="10" t="s">
        <v>193</v>
      </c>
      <c r="F615" t="s">
        <v>32</v>
      </c>
      <c r="G615" t="s">
        <v>89</v>
      </c>
      <c r="H615" t="s">
        <v>131</v>
      </c>
      <c r="I615">
        <v>6</v>
      </c>
      <c r="J615" s="3">
        <v>85.06</v>
      </c>
      <c r="K615" s="2">
        <v>0</v>
      </c>
      <c r="L615" s="3">
        <v>510.36</v>
      </c>
      <c r="M615" s="3">
        <v>137.58000000000001</v>
      </c>
      <c r="N615" t="s">
        <v>20</v>
      </c>
      <c r="O615" s="3"/>
      <c r="P615" s="3"/>
    </row>
    <row r="616" spans="1:16" x14ac:dyDescent="0.3">
      <c r="A616" t="s">
        <v>1672</v>
      </c>
      <c r="B616" s="9" t="s">
        <v>217</v>
      </c>
      <c r="C616" s="20" t="str">
        <f t="shared" si="9"/>
        <v>Dec</v>
      </c>
      <c r="D616" t="s">
        <v>794</v>
      </c>
      <c r="E616" s="10" t="s">
        <v>227</v>
      </c>
      <c r="F616" t="s">
        <v>17</v>
      </c>
      <c r="G616" t="s">
        <v>26</v>
      </c>
      <c r="H616" t="s">
        <v>118</v>
      </c>
      <c r="I616">
        <v>4</v>
      </c>
      <c r="J616" s="3">
        <v>101.47</v>
      </c>
      <c r="K616" s="2">
        <v>0.05</v>
      </c>
      <c r="L616" s="3">
        <v>385.59</v>
      </c>
      <c r="M616" s="3">
        <v>114.11</v>
      </c>
      <c r="N616" t="s">
        <v>40</v>
      </c>
      <c r="O616" s="3"/>
      <c r="P616" s="3"/>
    </row>
    <row r="617" spans="1:16" x14ac:dyDescent="0.3">
      <c r="A617" t="s">
        <v>1673</v>
      </c>
      <c r="B617" s="9" t="s">
        <v>47</v>
      </c>
      <c r="C617" s="20" t="str">
        <f t="shared" si="9"/>
        <v>Dec</v>
      </c>
      <c r="D617" t="s">
        <v>156</v>
      </c>
      <c r="E617" s="10" t="s">
        <v>718</v>
      </c>
      <c r="F617" t="s">
        <v>17</v>
      </c>
      <c r="G617" t="s">
        <v>89</v>
      </c>
      <c r="H617" t="s">
        <v>131</v>
      </c>
      <c r="I617">
        <v>1</v>
      </c>
      <c r="J617" s="3">
        <v>145.28</v>
      </c>
      <c r="K617" s="2">
        <v>0.1</v>
      </c>
      <c r="L617" s="3">
        <v>130.75</v>
      </c>
      <c r="M617" s="3">
        <v>23.26</v>
      </c>
      <c r="N617" t="s">
        <v>40</v>
      </c>
      <c r="O617" s="3"/>
      <c r="P617" s="3"/>
    </row>
    <row r="618" spans="1:16" x14ac:dyDescent="0.3">
      <c r="A618" t="s">
        <v>1674</v>
      </c>
      <c r="B618" s="9" t="s">
        <v>1634</v>
      </c>
      <c r="C618" s="20" t="str">
        <f t="shared" si="9"/>
        <v>Dec</v>
      </c>
      <c r="D618" t="s">
        <v>578</v>
      </c>
      <c r="E618" s="10" t="s">
        <v>1675</v>
      </c>
      <c r="F618" t="s">
        <v>64</v>
      </c>
      <c r="G618" t="s">
        <v>89</v>
      </c>
      <c r="H618" t="s">
        <v>150</v>
      </c>
      <c r="I618">
        <v>4</v>
      </c>
      <c r="J618" s="3">
        <v>81.790000000000006</v>
      </c>
      <c r="K618" s="2">
        <v>0</v>
      </c>
      <c r="L618" s="3">
        <v>327.16000000000003</v>
      </c>
      <c r="M618" s="3">
        <v>92.68</v>
      </c>
      <c r="N618" t="s">
        <v>35</v>
      </c>
      <c r="O618" s="3"/>
      <c r="P618" s="3"/>
    </row>
    <row r="619" spans="1:16" x14ac:dyDescent="0.3">
      <c r="A619" t="s">
        <v>1676</v>
      </c>
      <c r="B619" s="9" t="s">
        <v>1216</v>
      </c>
      <c r="C619" s="20" t="str">
        <f t="shared" si="9"/>
        <v>Oct</v>
      </c>
      <c r="D619" t="s">
        <v>1302</v>
      </c>
      <c r="E619" s="10" t="s">
        <v>1550</v>
      </c>
      <c r="F619" t="s">
        <v>32</v>
      </c>
      <c r="G619" t="s">
        <v>89</v>
      </c>
      <c r="H619" t="s">
        <v>90</v>
      </c>
      <c r="I619">
        <v>2</v>
      </c>
      <c r="J619" s="3">
        <v>151.16999999999999</v>
      </c>
      <c r="K619" s="2">
        <v>0.15</v>
      </c>
      <c r="L619" s="3">
        <v>256.99</v>
      </c>
      <c r="M619" s="3">
        <v>62.09</v>
      </c>
      <c r="N619" t="s">
        <v>20</v>
      </c>
      <c r="O619" s="3"/>
      <c r="P619" s="3"/>
    </row>
    <row r="620" spans="1:16" x14ac:dyDescent="0.3">
      <c r="A620" t="s">
        <v>1677</v>
      </c>
      <c r="B620" s="9" t="s">
        <v>195</v>
      </c>
      <c r="C620" s="20" t="str">
        <f t="shared" si="9"/>
        <v>Nov</v>
      </c>
      <c r="D620" t="s">
        <v>865</v>
      </c>
      <c r="E620" s="10" t="s">
        <v>161</v>
      </c>
      <c r="F620" t="s">
        <v>25</v>
      </c>
      <c r="G620" t="s">
        <v>18</v>
      </c>
      <c r="H620" t="s">
        <v>45</v>
      </c>
      <c r="I620">
        <v>1</v>
      </c>
      <c r="J620" s="3">
        <v>150.49</v>
      </c>
      <c r="K620" s="2">
        <v>0.1</v>
      </c>
      <c r="L620" s="3">
        <v>135.44</v>
      </c>
      <c r="M620" s="3">
        <v>13.27</v>
      </c>
      <c r="N620" t="s">
        <v>35</v>
      </c>
      <c r="O620" s="3"/>
      <c r="P620" s="3"/>
    </row>
    <row r="621" spans="1:16" x14ac:dyDescent="0.3">
      <c r="A621" t="s">
        <v>1678</v>
      </c>
      <c r="B621" s="9" t="s">
        <v>775</v>
      </c>
      <c r="C621" s="20" t="str">
        <f t="shared" si="9"/>
        <v>Sep</v>
      </c>
      <c r="D621" t="s">
        <v>1679</v>
      </c>
      <c r="E621" s="10" t="s">
        <v>1680</v>
      </c>
      <c r="F621" t="s">
        <v>59</v>
      </c>
      <c r="G621" t="s">
        <v>89</v>
      </c>
      <c r="H621" t="s">
        <v>90</v>
      </c>
      <c r="I621">
        <v>1</v>
      </c>
      <c r="J621" s="3">
        <v>238.77</v>
      </c>
      <c r="K621" s="2">
        <v>0.15</v>
      </c>
      <c r="L621" s="3">
        <v>202.95</v>
      </c>
      <c r="M621" s="3">
        <v>35.020000000000003</v>
      </c>
      <c r="N621" t="s">
        <v>40</v>
      </c>
      <c r="O621" s="3"/>
      <c r="P621" s="3"/>
    </row>
    <row r="622" spans="1:16" x14ac:dyDescent="0.3">
      <c r="A622" t="s">
        <v>1681</v>
      </c>
      <c r="B622" s="9" t="s">
        <v>464</v>
      </c>
      <c r="C622" s="20" t="str">
        <f t="shared" si="9"/>
        <v>Mar</v>
      </c>
      <c r="D622" t="s">
        <v>1682</v>
      </c>
      <c r="E622" s="10" t="s">
        <v>102</v>
      </c>
      <c r="F622" t="s">
        <v>17</v>
      </c>
      <c r="G622" t="s">
        <v>89</v>
      </c>
      <c r="H622" t="s">
        <v>150</v>
      </c>
      <c r="I622">
        <v>2</v>
      </c>
      <c r="J622" s="3">
        <v>201.74</v>
      </c>
      <c r="K622" s="2">
        <v>0.1</v>
      </c>
      <c r="L622" s="3">
        <v>363.13</v>
      </c>
      <c r="M622" s="3">
        <v>77.69</v>
      </c>
      <c r="N622" t="s">
        <v>35</v>
      </c>
      <c r="O622" s="3"/>
      <c r="P622" s="3"/>
    </row>
    <row r="623" spans="1:16" x14ac:dyDescent="0.3">
      <c r="A623" t="s">
        <v>1683</v>
      </c>
      <c r="B623" s="9" t="s">
        <v>1684</v>
      </c>
      <c r="C623" s="20" t="str">
        <f t="shared" si="9"/>
        <v>Nov</v>
      </c>
      <c r="D623" t="s">
        <v>1532</v>
      </c>
      <c r="E623" s="10" t="s">
        <v>284</v>
      </c>
      <c r="F623" t="s">
        <v>25</v>
      </c>
      <c r="G623" t="s">
        <v>18</v>
      </c>
      <c r="H623" t="s">
        <v>79</v>
      </c>
      <c r="I623">
        <v>4</v>
      </c>
      <c r="J623" s="3">
        <v>234.11</v>
      </c>
      <c r="K623" s="2">
        <v>0.05</v>
      </c>
      <c r="L623" s="3">
        <v>889.62</v>
      </c>
      <c r="M623" s="3">
        <v>185.89</v>
      </c>
      <c r="N623" t="s">
        <v>20</v>
      </c>
      <c r="O623" s="3"/>
      <c r="P623" s="3"/>
    </row>
    <row r="624" spans="1:16" x14ac:dyDescent="0.3">
      <c r="A624" t="s">
        <v>1685</v>
      </c>
      <c r="B624" s="9" t="s">
        <v>643</v>
      </c>
      <c r="C624" s="20" t="str">
        <f t="shared" si="9"/>
        <v>Aug</v>
      </c>
      <c r="D624" t="s">
        <v>369</v>
      </c>
      <c r="E624" s="10" t="s">
        <v>487</v>
      </c>
      <c r="F624" t="s">
        <v>17</v>
      </c>
      <c r="G624" t="s">
        <v>18</v>
      </c>
      <c r="H624" t="s">
        <v>79</v>
      </c>
      <c r="I624">
        <v>3</v>
      </c>
      <c r="J624" s="3">
        <v>87.4</v>
      </c>
      <c r="K624" s="2">
        <v>0.1</v>
      </c>
      <c r="L624" s="3">
        <v>235.98</v>
      </c>
      <c r="M624" s="3">
        <v>66.73</v>
      </c>
      <c r="N624" t="s">
        <v>40</v>
      </c>
      <c r="O624" s="3"/>
      <c r="P624" s="3"/>
    </row>
    <row r="625" spans="1:16" x14ac:dyDescent="0.3">
      <c r="A625" t="s">
        <v>1686</v>
      </c>
      <c r="B625" s="9" t="s">
        <v>432</v>
      </c>
      <c r="C625" s="20" t="str">
        <f t="shared" si="9"/>
        <v>Jul</v>
      </c>
      <c r="D625" t="s">
        <v>1302</v>
      </c>
      <c r="E625" s="10" t="s">
        <v>1687</v>
      </c>
      <c r="F625" t="s">
        <v>59</v>
      </c>
      <c r="G625" t="s">
        <v>26</v>
      </c>
      <c r="H625" t="s">
        <v>118</v>
      </c>
      <c r="I625">
        <v>5</v>
      </c>
      <c r="J625" s="3">
        <v>166.18</v>
      </c>
      <c r="K625" s="2">
        <v>0</v>
      </c>
      <c r="L625" s="3">
        <v>830.9</v>
      </c>
      <c r="M625" s="3">
        <v>175.59</v>
      </c>
      <c r="N625" t="s">
        <v>35</v>
      </c>
      <c r="O625" s="3"/>
      <c r="P625" s="3"/>
    </row>
    <row r="626" spans="1:16" x14ac:dyDescent="0.3">
      <c r="A626" t="s">
        <v>1688</v>
      </c>
      <c r="B626" s="9" t="s">
        <v>999</v>
      </c>
      <c r="C626" s="20" t="str">
        <f t="shared" si="9"/>
        <v>Jan</v>
      </c>
      <c r="D626" t="s">
        <v>843</v>
      </c>
      <c r="E626" s="10" t="s">
        <v>1689</v>
      </c>
      <c r="F626" t="s">
        <v>25</v>
      </c>
      <c r="G626" t="s">
        <v>89</v>
      </c>
      <c r="H626" t="s">
        <v>131</v>
      </c>
      <c r="I626">
        <v>3</v>
      </c>
      <c r="J626" s="3">
        <v>113.74</v>
      </c>
      <c r="K626" s="2">
        <v>0.05</v>
      </c>
      <c r="L626" s="3">
        <v>324.16000000000003</v>
      </c>
      <c r="M626" s="3">
        <v>84.16</v>
      </c>
      <c r="N626" t="s">
        <v>35</v>
      </c>
      <c r="O626" s="3"/>
      <c r="P626" s="3"/>
    </row>
    <row r="627" spans="1:16" x14ac:dyDescent="0.3">
      <c r="A627" t="s">
        <v>1690</v>
      </c>
      <c r="B627" s="9" t="s">
        <v>1691</v>
      </c>
      <c r="C627" s="20" t="str">
        <f t="shared" si="9"/>
        <v>Nov</v>
      </c>
      <c r="D627" t="s">
        <v>1692</v>
      </c>
      <c r="E627" s="10" t="s">
        <v>1693</v>
      </c>
      <c r="F627" t="s">
        <v>59</v>
      </c>
      <c r="G627" t="s">
        <v>18</v>
      </c>
      <c r="H627" t="s">
        <v>45</v>
      </c>
      <c r="I627">
        <v>7</v>
      </c>
      <c r="J627" s="3">
        <v>154.66</v>
      </c>
      <c r="K627" s="2">
        <v>0</v>
      </c>
      <c r="L627" s="3">
        <v>1082.6199999999999</v>
      </c>
      <c r="M627" s="3">
        <v>149.80000000000001</v>
      </c>
      <c r="N627" t="s">
        <v>20</v>
      </c>
      <c r="O627" s="3"/>
      <c r="P627" s="3"/>
    </row>
    <row r="628" spans="1:16" x14ac:dyDescent="0.3">
      <c r="A628" t="s">
        <v>1694</v>
      </c>
      <c r="B628" s="9" t="s">
        <v>388</v>
      </c>
      <c r="C628" s="20" t="str">
        <f t="shared" si="9"/>
        <v>Aug</v>
      </c>
      <c r="D628" t="s">
        <v>1046</v>
      </c>
      <c r="E628" s="10" t="s">
        <v>122</v>
      </c>
      <c r="F628" t="s">
        <v>59</v>
      </c>
      <c r="G628" t="s">
        <v>33</v>
      </c>
      <c r="H628" t="s">
        <v>34</v>
      </c>
      <c r="I628">
        <v>5</v>
      </c>
      <c r="J628" s="3">
        <v>184.11</v>
      </c>
      <c r="K628" s="2">
        <v>0.15</v>
      </c>
      <c r="L628" s="3">
        <v>782.47</v>
      </c>
      <c r="M628" s="3">
        <v>157.66</v>
      </c>
      <c r="N628" t="s">
        <v>35</v>
      </c>
      <c r="O628" s="3"/>
      <c r="P628" s="3"/>
    </row>
    <row r="629" spans="1:16" x14ac:dyDescent="0.3">
      <c r="A629" t="s">
        <v>1695</v>
      </c>
      <c r="B629" s="9" t="s">
        <v>1696</v>
      </c>
      <c r="C629" s="20" t="str">
        <f t="shared" si="9"/>
        <v>Jun</v>
      </c>
      <c r="D629" t="s">
        <v>429</v>
      </c>
      <c r="E629" s="10" t="s">
        <v>839</v>
      </c>
      <c r="F629" t="s">
        <v>59</v>
      </c>
      <c r="G629" t="s">
        <v>33</v>
      </c>
      <c r="H629" t="s">
        <v>74</v>
      </c>
      <c r="I629">
        <v>3</v>
      </c>
      <c r="J629" s="3">
        <v>195.69</v>
      </c>
      <c r="K629" s="2">
        <v>0</v>
      </c>
      <c r="L629" s="3">
        <v>587.07000000000005</v>
      </c>
      <c r="M629" s="3">
        <v>127.5</v>
      </c>
      <c r="N629" t="s">
        <v>40</v>
      </c>
      <c r="O629" s="3"/>
      <c r="P629" s="3"/>
    </row>
    <row r="630" spans="1:16" x14ac:dyDescent="0.3">
      <c r="A630" t="s">
        <v>1697</v>
      </c>
      <c r="B630" s="9" t="s">
        <v>924</v>
      </c>
      <c r="C630" s="20" t="str">
        <f t="shared" si="9"/>
        <v>Apr</v>
      </c>
      <c r="D630" t="s">
        <v>1698</v>
      </c>
      <c r="E630" s="10" t="s">
        <v>816</v>
      </c>
      <c r="F630" t="s">
        <v>25</v>
      </c>
      <c r="G630" t="s">
        <v>18</v>
      </c>
      <c r="H630" t="s">
        <v>79</v>
      </c>
      <c r="I630">
        <v>1</v>
      </c>
      <c r="J630" s="3">
        <v>43.54</v>
      </c>
      <c r="K630" s="2">
        <v>0.05</v>
      </c>
      <c r="L630" s="3">
        <v>41.36</v>
      </c>
      <c r="M630" s="3">
        <v>4.49</v>
      </c>
      <c r="N630" t="s">
        <v>20</v>
      </c>
      <c r="O630" s="3"/>
      <c r="P630" s="3"/>
    </row>
    <row r="631" spans="1:16" x14ac:dyDescent="0.3">
      <c r="A631" t="s">
        <v>1699</v>
      </c>
      <c r="B631" s="9" t="s">
        <v>282</v>
      </c>
      <c r="C631" s="20" t="str">
        <f t="shared" si="9"/>
        <v>Mar</v>
      </c>
      <c r="D631" t="s">
        <v>1700</v>
      </c>
      <c r="E631" s="10" t="s">
        <v>1701</v>
      </c>
      <c r="F631" t="s">
        <v>25</v>
      </c>
      <c r="G631" t="s">
        <v>26</v>
      </c>
      <c r="H631" t="s">
        <v>84</v>
      </c>
      <c r="I631">
        <v>2</v>
      </c>
      <c r="J631" s="3">
        <v>85.6</v>
      </c>
      <c r="K631" s="2">
        <v>0</v>
      </c>
      <c r="L631" s="3">
        <v>171.2</v>
      </c>
      <c r="M631" s="3">
        <v>45.53</v>
      </c>
      <c r="N631" t="s">
        <v>40</v>
      </c>
      <c r="O631" s="3"/>
      <c r="P631" s="3"/>
    </row>
    <row r="632" spans="1:16" x14ac:dyDescent="0.3">
      <c r="A632" t="s">
        <v>1706</v>
      </c>
      <c r="B632" s="9" t="s">
        <v>447</v>
      </c>
      <c r="C632" s="20" t="str">
        <f t="shared" si="9"/>
        <v>Apr</v>
      </c>
      <c r="D632" t="s">
        <v>1406</v>
      </c>
      <c r="E632" s="10" t="s">
        <v>1022</v>
      </c>
      <c r="F632" t="s">
        <v>25</v>
      </c>
      <c r="G632" t="s">
        <v>89</v>
      </c>
      <c r="H632" t="s">
        <v>90</v>
      </c>
      <c r="I632">
        <v>4</v>
      </c>
      <c r="J632" s="3">
        <v>242.27</v>
      </c>
      <c r="K632" s="2">
        <v>0.05</v>
      </c>
      <c r="L632" s="3">
        <v>920.63</v>
      </c>
      <c r="M632" s="3">
        <v>184.52</v>
      </c>
      <c r="N632" t="s">
        <v>40</v>
      </c>
      <c r="O632" s="3"/>
      <c r="P632" s="3"/>
    </row>
    <row r="633" spans="1:16" x14ac:dyDescent="0.3">
      <c r="A633" t="s">
        <v>1707</v>
      </c>
      <c r="B633" s="9" t="s">
        <v>690</v>
      </c>
      <c r="C633" s="20" t="str">
        <f t="shared" si="9"/>
        <v>Jul</v>
      </c>
      <c r="D633" t="s">
        <v>1438</v>
      </c>
      <c r="E633" s="10" t="s">
        <v>1365</v>
      </c>
      <c r="F633" t="s">
        <v>32</v>
      </c>
      <c r="G633" t="s">
        <v>89</v>
      </c>
      <c r="H633" t="s">
        <v>150</v>
      </c>
      <c r="I633">
        <v>7</v>
      </c>
      <c r="J633" s="3">
        <v>52.06</v>
      </c>
      <c r="K633" s="2">
        <v>0.1</v>
      </c>
      <c r="L633" s="3">
        <v>327.98</v>
      </c>
      <c r="M633" s="3">
        <v>62.23</v>
      </c>
      <c r="N633" t="s">
        <v>20</v>
      </c>
      <c r="O633" s="3"/>
      <c r="P633" s="3"/>
    </row>
    <row r="634" spans="1:16" x14ac:dyDescent="0.3">
      <c r="A634" t="s">
        <v>1708</v>
      </c>
      <c r="B634" s="9" t="s">
        <v>385</v>
      </c>
      <c r="C634" s="20" t="str">
        <f t="shared" si="9"/>
        <v>Aug</v>
      </c>
      <c r="D634" t="s">
        <v>717</v>
      </c>
      <c r="E634" s="10" t="s">
        <v>825</v>
      </c>
      <c r="F634" t="s">
        <v>17</v>
      </c>
      <c r="G634" t="s">
        <v>26</v>
      </c>
      <c r="H634" t="s">
        <v>118</v>
      </c>
      <c r="I634">
        <v>5</v>
      </c>
      <c r="J634" s="3">
        <v>242.77</v>
      </c>
      <c r="K634" s="2">
        <v>0.1</v>
      </c>
      <c r="L634" s="3">
        <v>1092.47</v>
      </c>
      <c r="M634" s="3">
        <v>108.5</v>
      </c>
      <c r="N634" t="s">
        <v>35</v>
      </c>
      <c r="O634" s="3"/>
      <c r="P634" s="3"/>
    </row>
    <row r="635" spans="1:16" x14ac:dyDescent="0.3">
      <c r="A635" t="s">
        <v>1709</v>
      </c>
      <c r="B635" s="9" t="s">
        <v>1710</v>
      </c>
      <c r="C635" s="20" t="str">
        <f t="shared" si="9"/>
        <v>Mar</v>
      </c>
      <c r="D635" t="s">
        <v>1646</v>
      </c>
      <c r="E635" s="10" t="s">
        <v>1455</v>
      </c>
      <c r="F635" t="s">
        <v>32</v>
      </c>
      <c r="G635" t="s">
        <v>26</v>
      </c>
      <c r="H635" t="s">
        <v>118</v>
      </c>
      <c r="I635">
        <v>7</v>
      </c>
      <c r="J635" s="3">
        <v>124.76</v>
      </c>
      <c r="K635" s="2">
        <v>0</v>
      </c>
      <c r="L635" s="3">
        <v>873.32</v>
      </c>
      <c r="M635" s="3">
        <v>257.76</v>
      </c>
      <c r="N635" t="s">
        <v>40</v>
      </c>
      <c r="O635" s="3"/>
      <c r="P635" s="3"/>
    </row>
    <row r="636" spans="1:16" x14ac:dyDescent="0.3">
      <c r="A636" t="s">
        <v>1711</v>
      </c>
      <c r="B636" s="9" t="s">
        <v>1691</v>
      </c>
      <c r="C636" s="20" t="str">
        <f t="shared" si="9"/>
        <v>Nov</v>
      </c>
      <c r="D636" t="s">
        <v>397</v>
      </c>
      <c r="E636" s="10" t="s">
        <v>1463</v>
      </c>
      <c r="F636" t="s">
        <v>25</v>
      </c>
      <c r="G636" t="s">
        <v>33</v>
      </c>
      <c r="H636" t="s">
        <v>50</v>
      </c>
      <c r="I636">
        <v>7</v>
      </c>
      <c r="J636" s="3">
        <v>193.22</v>
      </c>
      <c r="K636" s="2">
        <v>0</v>
      </c>
      <c r="L636" s="3">
        <v>1352.54</v>
      </c>
      <c r="M636" s="3">
        <v>182.6</v>
      </c>
      <c r="N636" t="s">
        <v>40</v>
      </c>
      <c r="O636" s="3"/>
      <c r="P636" s="3"/>
    </row>
    <row r="637" spans="1:16" x14ac:dyDescent="0.3">
      <c r="A637" t="s">
        <v>1712</v>
      </c>
      <c r="B637" s="9" t="s">
        <v>1713</v>
      </c>
      <c r="C637" s="20" t="str">
        <f t="shared" si="9"/>
        <v>Jan</v>
      </c>
      <c r="D637" t="s">
        <v>590</v>
      </c>
      <c r="E637" s="10" t="s">
        <v>1157</v>
      </c>
      <c r="F637" t="s">
        <v>25</v>
      </c>
      <c r="G637" t="s">
        <v>89</v>
      </c>
      <c r="H637" t="s">
        <v>150</v>
      </c>
      <c r="I637">
        <v>6</v>
      </c>
      <c r="J637" s="3">
        <v>100.94</v>
      </c>
      <c r="K637" s="2">
        <v>0</v>
      </c>
      <c r="L637" s="3">
        <v>605.64</v>
      </c>
      <c r="M637" s="3">
        <v>134.59</v>
      </c>
      <c r="N637" t="s">
        <v>20</v>
      </c>
      <c r="O637" s="3"/>
      <c r="P637" s="3"/>
    </row>
    <row r="638" spans="1:16" x14ac:dyDescent="0.3">
      <c r="A638" t="s">
        <v>1714</v>
      </c>
      <c r="B638" s="9" t="s">
        <v>1715</v>
      </c>
      <c r="C638" s="20" t="str">
        <f t="shared" si="9"/>
        <v>Dec</v>
      </c>
      <c r="D638" t="s">
        <v>1237</v>
      </c>
      <c r="E638" s="10" t="s">
        <v>1084</v>
      </c>
      <c r="F638" t="s">
        <v>32</v>
      </c>
      <c r="G638" t="s">
        <v>18</v>
      </c>
      <c r="H638" t="s">
        <v>79</v>
      </c>
      <c r="I638">
        <v>2</v>
      </c>
      <c r="J638" s="3">
        <v>28.87</v>
      </c>
      <c r="K638" s="2">
        <v>0</v>
      </c>
      <c r="L638" s="3">
        <v>57.74</v>
      </c>
      <c r="M638" s="3">
        <v>8.0399999999999991</v>
      </c>
      <c r="N638" t="s">
        <v>35</v>
      </c>
      <c r="O638" s="3"/>
      <c r="P638" s="3"/>
    </row>
    <row r="639" spans="1:16" x14ac:dyDescent="0.3">
      <c r="A639" t="s">
        <v>1716</v>
      </c>
      <c r="B639" s="9" t="s">
        <v>957</v>
      </c>
      <c r="C639" s="20" t="str">
        <f t="shared" si="9"/>
        <v>Nov</v>
      </c>
      <c r="D639" t="s">
        <v>105</v>
      </c>
      <c r="E639" s="10" t="s">
        <v>1103</v>
      </c>
      <c r="F639" t="s">
        <v>32</v>
      </c>
      <c r="G639" t="s">
        <v>26</v>
      </c>
      <c r="H639" t="s">
        <v>118</v>
      </c>
      <c r="I639">
        <v>5</v>
      </c>
      <c r="J639" s="3">
        <v>98.85</v>
      </c>
      <c r="K639" s="2">
        <v>0.15</v>
      </c>
      <c r="L639" s="3">
        <v>420.11</v>
      </c>
      <c r="M639" s="3">
        <v>40.85</v>
      </c>
      <c r="N639" t="s">
        <v>40</v>
      </c>
      <c r="O639" s="3"/>
      <c r="P639" s="3"/>
    </row>
    <row r="640" spans="1:16" x14ac:dyDescent="0.3">
      <c r="A640" t="s">
        <v>1717</v>
      </c>
      <c r="B640" s="9" t="s">
        <v>1018</v>
      </c>
      <c r="C640" s="20" t="str">
        <f t="shared" si="9"/>
        <v>Jul</v>
      </c>
      <c r="D640" t="s">
        <v>737</v>
      </c>
      <c r="E640" s="10" t="s">
        <v>1718</v>
      </c>
      <c r="F640" t="s">
        <v>59</v>
      </c>
      <c r="G640" t="s">
        <v>89</v>
      </c>
      <c r="H640" t="s">
        <v>150</v>
      </c>
      <c r="I640">
        <v>2</v>
      </c>
      <c r="J640" s="3">
        <v>58.64</v>
      </c>
      <c r="K640" s="2">
        <v>0.15</v>
      </c>
      <c r="L640" s="3">
        <v>99.69</v>
      </c>
      <c r="M640" s="3">
        <v>12.1</v>
      </c>
      <c r="N640" t="s">
        <v>35</v>
      </c>
      <c r="O640" s="3"/>
      <c r="P640" s="3"/>
    </row>
    <row r="641" spans="1:16" x14ac:dyDescent="0.3">
      <c r="A641" t="s">
        <v>1719</v>
      </c>
      <c r="B641" s="9" t="s">
        <v>1720</v>
      </c>
      <c r="C641" s="20" t="str">
        <f t="shared" si="9"/>
        <v>Nov</v>
      </c>
      <c r="D641" t="s">
        <v>559</v>
      </c>
      <c r="E641" s="10" t="s">
        <v>1463</v>
      </c>
      <c r="F641" t="s">
        <v>59</v>
      </c>
      <c r="G641" t="s">
        <v>89</v>
      </c>
      <c r="H641" t="s">
        <v>131</v>
      </c>
      <c r="I641">
        <v>2</v>
      </c>
      <c r="J641" s="3">
        <v>151.94</v>
      </c>
      <c r="K641" s="2">
        <v>0.1</v>
      </c>
      <c r="L641" s="3">
        <v>273.49</v>
      </c>
      <c r="M641" s="3">
        <v>50.93</v>
      </c>
      <c r="N641" t="s">
        <v>35</v>
      </c>
      <c r="O641" s="3"/>
      <c r="P641" s="3"/>
    </row>
    <row r="642" spans="1:16" x14ac:dyDescent="0.3">
      <c r="A642" t="s">
        <v>1721</v>
      </c>
      <c r="B642" s="9" t="s">
        <v>203</v>
      </c>
      <c r="C642" s="20" t="str">
        <f t="shared" ref="C642:C705" si="10">TEXT(B:B, "mmm")</f>
        <v>Sep</v>
      </c>
      <c r="D642" t="s">
        <v>597</v>
      </c>
      <c r="E642" s="10" t="s">
        <v>1439</v>
      </c>
      <c r="F642" t="s">
        <v>17</v>
      </c>
      <c r="G642" t="s">
        <v>33</v>
      </c>
      <c r="H642" t="s">
        <v>74</v>
      </c>
      <c r="I642">
        <v>6</v>
      </c>
      <c r="J642" s="3">
        <v>42.08</v>
      </c>
      <c r="K642" s="2">
        <v>0.15</v>
      </c>
      <c r="L642" s="3">
        <v>214.61</v>
      </c>
      <c r="M642" s="3">
        <v>60.76</v>
      </c>
      <c r="N642" t="s">
        <v>20</v>
      </c>
      <c r="O642" s="3"/>
      <c r="P642" s="3"/>
    </row>
    <row r="643" spans="1:16" x14ac:dyDescent="0.3">
      <c r="A643" t="s">
        <v>1722</v>
      </c>
      <c r="B643" s="9" t="s">
        <v>338</v>
      </c>
      <c r="C643" s="20" t="str">
        <f t="shared" si="10"/>
        <v>Dec</v>
      </c>
      <c r="D643" t="s">
        <v>1529</v>
      </c>
      <c r="E643" s="10" t="s">
        <v>1723</v>
      </c>
      <c r="F643" t="s">
        <v>25</v>
      </c>
      <c r="G643" t="s">
        <v>89</v>
      </c>
      <c r="H643" t="s">
        <v>150</v>
      </c>
      <c r="I643">
        <v>5</v>
      </c>
      <c r="J643" s="3">
        <v>183.72</v>
      </c>
      <c r="K643" s="2">
        <v>0.1</v>
      </c>
      <c r="L643" s="3">
        <v>826.74</v>
      </c>
      <c r="M643" s="3">
        <v>123.34</v>
      </c>
      <c r="N643" t="s">
        <v>20</v>
      </c>
      <c r="O643" s="3"/>
      <c r="P643" s="3"/>
    </row>
    <row r="644" spans="1:16" x14ac:dyDescent="0.3">
      <c r="A644" t="s">
        <v>1724</v>
      </c>
      <c r="B644" s="9" t="s">
        <v>657</v>
      </c>
      <c r="C644" s="20" t="str">
        <f t="shared" si="10"/>
        <v>Dec</v>
      </c>
      <c r="D644" t="s">
        <v>1692</v>
      </c>
      <c r="E644" s="10" t="s">
        <v>1725</v>
      </c>
      <c r="F644" t="s">
        <v>17</v>
      </c>
      <c r="G644" t="s">
        <v>26</v>
      </c>
      <c r="H644" t="s">
        <v>118</v>
      </c>
      <c r="I644">
        <v>7</v>
      </c>
      <c r="J644" s="3">
        <v>85.9</v>
      </c>
      <c r="K644" s="2">
        <v>0</v>
      </c>
      <c r="L644" s="3">
        <v>601.29999999999995</v>
      </c>
      <c r="M644" s="3">
        <v>137.69</v>
      </c>
      <c r="N644" t="s">
        <v>35</v>
      </c>
      <c r="O644" s="3"/>
      <c r="P644" s="3"/>
    </row>
    <row r="645" spans="1:16" x14ac:dyDescent="0.3">
      <c r="A645" t="s">
        <v>1726</v>
      </c>
      <c r="B645" s="9" t="s">
        <v>1703</v>
      </c>
      <c r="C645" s="20" t="str">
        <f t="shared" si="10"/>
        <v>Jan</v>
      </c>
      <c r="D645" t="s">
        <v>1391</v>
      </c>
      <c r="E645" s="10" t="s">
        <v>149</v>
      </c>
      <c r="F645" t="s">
        <v>59</v>
      </c>
      <c r="G645" t="s">
        <v>18</v>
      </c>
      <c r="H645" t="s">
        <v>45</v>
      </c>
      <c r="I645">
        <v>2</v>
      </c>
      <c r="J645" s="3">
        <v>237.25</v>
      </c>
      <c r="K645" s="2">
        <v>0.1</v>
      </c>
      <c r="L645" s="3">
        <v>427.05</v>
      </c>
      <c r="M645" s="3">
        <v>61.82</v>
      </c>
      <c r="N645" t="s">
        <v>20</v>
      </c>
      <c r="O645" s="3"/>
      <c r="P645" s="3"/>
    </row>
    <row r="646" spans="1:16" x14ac:dyDescent="0.3">
      <c r="A646" t="s">
        <v>1727</v>
      </c>
      <c r="B646" s="9" t="s">
        <v>298</v>
      </c>
      <c r="C646" s="20" t="str">
        <f t="shared" si="10"/>
        <v>Jul</v>
      </c>
      <c r="D646" t="s">
        <v>1728</v>
      </c>
      <c r="E646" s="10" t="s">
        <v>965</v>
      </c>
      <c r="F646" t="s">
        <v>64</v>
      </c>
      <c r="G646" t="s">
        <v>33</v>
      </c>
      <c r="H646" t="s">
        <v>74</v>
      </c>
      <c r="I646">
        <v>7</v>
      </c>
      <c r="J646" s="3">
        <v>74.099999999999994</v>
      </c>
      <c r="K646" s="2">
        <v>0</v>
      </c>
      <c r="L646" s="3">
        <v>518.70000000000005</v>
      </c>
      <c r="M646" s="3">
        <v>149.72</v>
      </c>
      <c r="N646" t="s">
        <v>40</v>
      </c>
      <c r="O646" s="3"/>
      <c r="P646" s="3"/>
    </row>
    <row r="647" spans="1:16" x14ac:dyDescent="0.3">
      <c r="A647" t="s">
        <v>1729</v>
      </c>
      <c r="B647" s="9" t="s">
        <v>1089</v>
      </c>
      <c r="C647" s="20" t="str">
        <f t="shared" si="10"/>
        <v>Dec</v>
      </c>
      <c r="D647" t="s">
        <v>1033</v>
      </c>
      <c r="E647" s="10" t="s">
        <v>117</v>
      </c>
      <c r="F647" t="s">
        <v>59</v>
      </c>
      <c r="G647" t="s">
        <v>26</v>
      </c>
      <c r="H647" t="s">
        <v>27</v>
      </c>
      <c r="I647">
        <v>5</v>
      </c>
      <c r="J647" s="3">
        <v>159.76</v>
      </c>
      <c r="K647" s="2">
        <v>0.05</v>
      </c>
      <c r="L647" s="3">
        <v>758.86</v>
      </c>
      <c r="M647" s="3">
        <v>213.62</v>
      </c>
      <c r="N647" t="s">
        <v>35</v>
      </c>
      <c r="O647" s="3"/>
      <c r="P647" s="3"/>
    </row>
    <row r="648" spans="1:16" x14ac:dyDescent="0.3">
      <c r="A648" t="s">
        <v>1730</v>
      </c>
      <c r="B648" s="9" t="s">
        <v>1059</v>
      </c>
      <c r="C648" s="20" t="str">
        <f t="shared" si="10"/>
        <v>Aug</v>
      </c>
      <c r="D648" t="s">
        <v>1094</v>
      </c>
      <c r="E648" s="10" t="s">
        <v>1731</v>
      </c>
      <c r="F648" t="s">
        <v>32</v>
      </c>
      <c r="G648" t="s">
        <v>33</v>
      </c>
      <c r="H648" t="s">
        <v>69</v>
      </c>
      <c r="I648">
        <v>8</v>
      </c>
      <c r="J648" s="3">
        <v>101.94</v>
      </c>
      <c r="K648" s="2">
        <v>0.05</v>
      </c>
      <c r="L648" s="3">
        <v>774.74</v>
      </c>
      <c r="M648" s="3">
        <v>127.46</v>
      </c>
      <c r="N648" t="s">
        <v>40</v>
      </c>
      <c r="O648" s="3"/>
      <c r="P648" s="3"/>
    </row>
    <row r="649" spans="1:16" x14ac:dyDescent="0.3">
      <c r="A649" t="s">
        <v>1732</v>
      </c>
      <c r="B649" s="9" t="s">
        <v>1733</v>
      </c>
      <c r="C649" s="20" t="str">
        <f t="shared" si="10"/>
        <v>Apr</v>
      </c>
      <c r="D649" t="s">
        <v>1166</v>
      </c>
      <c r="E649" s="10" t="s">
        <v>1734</v>
      </c>
      <c r="F649" t="s">
        <v>32</v>
      </c>
      <c r="G649" t="s">
        <v>89</v>
      </c>
      <c r="H649" t="s">
        <v>131</v>
      </c>
      <c r="I649">
        <v>6</v>
      </c>
      <c r="J649" s="3">
        <v>181.35</v>
      </c>
      <c r="K649" s="2">
        <v>0.05</v>
      </c>
      <c r="L649" s="3">
        <v>1033.69</v>
      </c>
      <c r="M649" s="3">
        <v>123.25</v>
      </c>
      <c r="N649" t="s">
        <v>40</v>
      </c>
      <c r="O649" s="3"/>
      <c r="P649" s="3"/>
    </row>
    <row r="650" spans="1:16" x14ac:dyDescent="0.3">
      <c r="A650" t="s">
        <v>1735</v>
      </c>
      <c r="B650" s="9" t="s">
        <v>302</v>
      </c>
      <c r="C650" s="20" t="str">
        <f t="shared" si="10"/>
        <v>Oct</v>
      </c>
      <c r="D650" t="s">
        <v>393</v>
      </c>
      <c r="E650" s="10" t="s">
        <v>1505</v>
      </c>
      <c r="F650" t="s">
        <v>17</v>
      </c>
      <c r="G650" t="s">
        <v>18</v>
      </c>
      <c r="H650" t="s">
        <v>45</v>
      </c>
      <c r="I650">
        <v>4</v>
      </c>
      <c r="J650" s="3">
        <v>13.3</v>
      </c>
      <c r="K650" s="2">
        <v>0</v>
      </c>
      <c r="L650" s="3">
        <v>53.2</v>
      </c>
      <c r="M650" s="3">
        <v>13.98</v>
      </c>
      <c r="N650" t="s">
        <v>40</v>
      </c>
      <c r="O650" s="3"/>
      <c r="P650" s="3"/>
    </row>
    <row r="651" spans="1:16" x14ac:dyDescent="0.3">
      <c r="A651" t="s">
        <v>1739</v>
      </c>
      <c r="B651" s="9" t="s">
        <v>443</v>
      </c>
      <c r="C651" s="20" t="str">
        <f t="shared" si="10"/>
        <v>Oct</v>
      </c>
      <c r="D651" t="s">
        <v>930</v>
      </c>
      <c r="E651" s="10" t="s">
        <v>1077</v>
      </c>
      <c r="F651" t="s">
        <v>32</v>
      </c>
      <c r="G651" t="s">
        <v>89</v>
      </c>
      <c r="H651" t="s">
        <v>90</v>
      </c>
      <c r="I651">
        <v>8</v>
      </c>
      <c r="J651" s="3">
        <v>243.28</v>
      </c>
      <c r="K651" s="2">
        <v>0</v>
      </c>
      <c r="L651" s="3">
        <v>1946.24</v>
      </c>
      <c r="M651" s="3">
        <v>330.91</v>
      </c>
      <c r="N651" t="s">
        <v>20</v>
      </c>
      <c r="O651" s="3"/>
      <c r="P651" s="3"/>
    </row>
    <row r="652" spans="1:16" x14ac:dyDescent="0.3">
      <c r="A652" t="s">
        <v>1740</v>
      </c>
      <c r="B652" s="9" t="s">
        <v>210</v>
      </c>
      <c r="C652" s="20" t="str">
        <f t="shared" si="10"/>
        <v>Mar</v>
      </c>
      <c r="D652" t="s">
        <v>353</v>
      </c>
      <c r="E652" s="10" t="s">
        <v>455</v>
      </c>
      <c r="F652" t="s">
        <v>64</v>
      </c>
      <c r="G652" t="s">
        <v>18</v>
      </c>
      <c r="H652" t="s">
        <v>45</v>
      </c>
      <c r="I652">
        <v>1</v>
      </c>
      <c r="J652" s="3">
        <v>213.62</v>
      </c>
      <c r="K652" s="2">
        <v>0</v>
      </c>
      <c r="L652" s="3">
        <v>213.62</v>
      </c>
      <c r="M652" s="3">
        <v>40.549999999999997</v>
      </c>
      <c r="N652" t="s">
        <v>35</v>
      </c>
      <c r="O652" s="3"/>
      <c r="P652" s="3"/>
    </row>
    <row r="653" spans="1:16" x14ac:dyDescent="0.3">
      <c r="A653" t="s">
        <v>1741</v>
      </c>
      <c r="B653" s="9" t="s">
        <v>1742</v>
      </c>
      <c r="C653" s="20" t="str">
        <f t="shared" si="10"/>
        <v>Jan</v>
      </c>
      <c r="D653" t="s">
        <v>1532</v>
      </c>
      <c r="E653" s="10" t="s">
        <v>1669</v>
      </c>
      <c r="F653" t="s">
        <v>17</v>
      </c>
      <c r="G653" t="s">
        <v>26</v>
      </c>
      <c r="H653" t="s">
        <v>118</v>
      </c>
      <c r="I653">
        <v>1</v>
      </c>
      <c r="J653" s="3">
        <v>65.77</v>
      </c>
      <c r="K653" s="2">
        <v>0.15</v>
      </c>
      <c r="L653" s="3">
        <v>55.9</v>
      </c>
      <c r="M653" s="3">
        <v>10.42</v>
      </c>
      <c r="N653" t="s">
        <v>35</v>
      </c>
      <c r="O653" s="3"/>
      <c r="P653" s="3"/>
    </row>
    <row r="654" spans="1:16" x14ac:dyDescent="0.3">
      <c r="A654" t="s">
        <v>1743</v>
      </c>
      <c r="B654" s="9" t="s">
        <v>349</v>
      </c>
      <c r="C654" s="20" t="str">
        <f t="shared" si="10"/>
        <v>May</v>
      </c>
      <c r="D654" t="s">
        <v>1744</v>
      </c>
      <c r="E654" s="10" t="s">
        <v>141</v>
      </c>
      <c r="F654" t="s">
        <v>32</v>
      </c>
      <c r="G654" t="s">
        <v>33</v>
      </c>
      <c r="H654" t="s">
        <v>74</v>
      </c>
      <c r="I654">
        <v>8</v>
      </c>
      <c r="J654" s="3">
        <v>147.9</v>
      </c>
      <c r="K654" s="2">
        <v>0.15</v>
      </c>
      <c r="L654" s="3">
        <v>1005.72</v>
      </c>
      <c r="M654" s="3">
        <v>288.29000000000002</v>
      </c>
      <c r="N654" t="s">
        <v>40</v>
      </c>
      <c r="O654" s="3"/>
      <c r="P654" s="3"/>
    </row>
    <row r="655" spans="1:16" x14ac:dyDescent="0.3">
      <c r="A655" t="s">
        <v>1745</v>
      </c>
      <c r="B655" s="9" t="s">
        <v>1746</v>
      </c>
      <c r="C655" s="20" t="str">
        <f t="shared" si="10"/>
        <v>Sep</v>
      </c>
      <c r="D655" t="s">
        <v>1747</v>
      </c>
      <c r="E655" s="10" t="s">
        <v>605</v>
      </c>
      <c r="F655" t="s">
        <v>17</v>
      </c>
      <c r="G655" t="s">
        <v>26</v>
      </c>
      <c r="H655" t="s">
        <v>27</v>
      </c>
      <c r="I655">
        <v>6</v>
      </c>
      <c r="J655" s="3">
        <v>217.38</v>
      </c>
      <c r="K655" s="2">
        <v>0.15</v>
      </c>
      <c r="L655" s="3">
        <v>1108.6400000000001</v>
      </c>
      <c r="M655" s="3">
        <v>266.07</v>
      </c>
      <c r="N655" t="s">
        <v>40</v>
      </c>
      <c r="O655" s="3"/>
      <c r="P655" s="3"/>
    </row>
    <row r="656" spans="1:16" x14ac:dyDescent="0.3">
      <c r="A656" t="s">
        <v>1748</v>
      </c>
      <c r="B656" s="9" t="s">
        <v>1713</v>
      </c>
      <c r="C656" s="20" t="str">
        <f t="shared" si="10"/>
        <v>Jan</v>
      </c>
      <c r="D656" t="s">
        <v>1749</v>
      </c>
      <c r="E656" s="10" t="s">
        <v>1750</v>
      </c>
      <c r="F656" t="s">
        <v>32</v>
      </c>
      <c r="G656" t="s">
        <v>33</v>
      </c>
      <c r="H656" t="s">
        <v>74</v>
      </c>
      <c r="I656">
        <v>1</v>
      </c>
      <c r="J656" s="3">
        <v>44.42</v>
      </c>
      <c r="K656" s="2">
        <v>0.15</v>
      </c>
      <c r="L656" s="3">
        <v>37.76</v>
      </c>
      <c r="M656" s="3">
        <v>3.92</v>
      </c>
      <c r="N656" t="s">
        <v>20</v>
      </c>
      <c r="O656" s="3"/>
      <c r="P656" s="3"/>
    </row>
    <row r="657" spans="1:16" x14ac:dyDescent="0.3">
      <c r="A657" t="s">
        <v>1751</v>
      </c>
      <c r="B657" s="9" t="s">
        <v>302</v>
      </c>
      <c r="C657" s="20" t="str">
        <f t="shared" si="10"/>
        <v>Oct</v>
      </c>
      <c r="D657" t="s">
        <v>1092</v>
      </c>
      <c r="E657" s="10" t="s">
        <v>212</v>
      </c>
      <c r="F657" t="s">
        <v>17</v>
      </c>
      <c r="G657" t="s">
        <v>18</v>
      </c>
      <c r="H657" t="s">
        <v>45</v>
      </c>
      <c r="I657">
        <v>3</v>
      </c>
      <c r="J657" s="3">
        <v>18.89</v>
      </c>
      <c r="K657" s="2">
        <v>0</v>
      </c>
      <c r="L657" s="3">
        <v>56.67</v>
      </c>
      <c r="M657" s="3">
        <v>15.29</v>
      </c>
      <c r="N657" t="s">
        <v>20</v>
      </c>
      <c r="O657" s="3"/>
      <c r="P657" s="3"/>
    </row>
    <row r="658" spans="1:16" x14ac:dyDescent="0.3">
      <c r="A658" t="s">
        <v>1752</v>
      </c>
      <c r="B658" s="9" t="s">
        <v>705</v>
      </c>
      <c r="C658" s="20" t="str">
        <f t="shared" si="10"/>
        <v>Mar</v>
      </c>
      <c r="D658" t="s">
        <v>1141</v>
      </c>
      <c r="E658" s="10" t="s">
        <v>329</v>
      </c>
      <c r="F658" t="s">
        <v>25</v>
      </c>
      <c r="G658" t="s">
        <v>18</v>
      </c>
      <c r="H658" t="s">
        <v>79</v>
      </c>
      <c r="I658">
        <v>6</v>
      </c>
      <c r="J658" s="3">
        <v>60.19</v>
      </c>
      <c r="K658" s="2">
        <v>0.15</v>
      </c>
      <c r="L658" s="3">
        <v>306.97000000000003</v>
      </c>
      <c r="M658" s="3">
        <v>38.94</v>
      </c>
      <c r="N658" t="s">
        <v>35</v>
      </c>
      <c r="O658" s="3"/>
      <c r="P658" s="3"/>
    </row>
    <row r="659" spans="1:16" x14ac:dyDescent="0.3">
      <c r="A659" t="s">
        <v>1753</v>
      </c>
      <c r="B659" s="9" t="s">
        <v>392</v>
      </c>
      <c r="C659" s="20" t="str">
        <f t="shared" si="10"/>
        <v>Jan</v>
      </c>
      <c r="D659" t="s">
        <v>1754</v>
      </c>
      <c r="E659" s="10" t="s">
        <v>1755</v>
      </c>
      <c r="F659" t="s">
        <v>17</v>
      </c>
      <c r="G659" t="s">
        <v>26</v>
      </c>
      <c r="H659" t="s">
        <v>84</v>
      </c>
      <c r="I659">
        <v>5</v>
      </c>
      <c r="J659" s="3">
        <v>11.93</v>
      </c>
      <c r="K659" s="2">
        <v>0.05</v>
      </c>
      <c r="L659" s="3">
        <v>56.67</v>
      </c>
      <c r="M659" s="3">
        <v>4.79</v>
      </c>
      <c r="N659" t="s">
        <v>35</v>
      </c>
      <c r="O659" s="3"/>
      <c r="P659" s="3"/>
    </row>
    <row r="660" spans="1:16" x14ac:dyDescent="0.3">
      <c r="A660" t="s">
        <v>1756</v>
      </c>
      <c r="B660" s="9" t="s">
        <v>1757</v>
      </c>
      <c r="C660" s="20" t="str">
        <f t="shared" si="10"/>
        <v>Aug</v>
      </c>
      <c r="D660" t="s">
        <v>101</v>
      </c>
      <c r="E660" s="10" t="s">
        <v>1362</v>
      </c>
      <c r="F660" t="s">
        <v>17</v>
      </c>
      <c r="G660" t="s">
        <v>26</v>
      </c>
      <c r="H660" t="s">
        <v>118</v>
      </c>
      <c r="I660">
        <v>3</v>
      </c>
      <c r="J660" s="3">
        <v>168.57</v>
      </c>
      <c r="K660" s="2">
        <v>0.05</v>
      </c>
      <c r="L660" s="3">
        <v>480.42</v>
      </c>
      <c r="M660" s="3">
        <v>96.07</v>
      </c>
      <c r="N660" t="s">
        <v>35</v>
      </c>
      <c r="O660" s="3"/>
      <c r="P660" s="3"/>
    </row>
    <row r="661" spans="1:16" x14ac:dyDescent="0.3">
      <c r="A661" t="s">
        <v>1758</v>
      </c>
      <c r="B661" s="9" t="s">
        <v>1335</v>
      </c>
      <c r="C661" s="20" t="str">
        <f t="shared" si="10"/>
        <v>Apr</v>
      </c>
      <c r="D661" t="s">
        <v>417</v>
      </c>
      <c r="E661" s="10" t="s">
        <v>816</v>
      </c>
      <c r="F661" t="s">
        <v>59</v>
      </c>
      <c r="G661" t="s">
        <v>89</v>
      </c>
      <c r="H661" t="s">
        <v>131</v>
      </c>
      <c r="I661">
        <v>2</v>
      </c>
      <c r="J661" s="3">
        <v>94.11</v>
      </c>
      <c r="K661" s="2">
        <v>0.15</v>
      </c>
      <c r="L661" s="3">
        <v>159.99</v>
      </c>
      <c r="M661" s="3">
        <v>36.270000000000003</v>
      </c>
      <c r="N661" t="s">
        <v>20</v>
      </c>
      <c r="O661" s="3"/>
      <c r="P661" s="3"/>
    </row>
    <row r="662" spans="1:16" x14ac:dyDescent="0.3">
      <c r="A662" t="s">
        <v>1759</v>
      </c>
      <c r="B662" s="9" t="s">
        <v>705</v>
      </c>
      <c r="C662" s="20" t="str">
        <f t="shared" si="10"/>
        <v>Mar</v>
      </c>
      <c r="D662" t="s">
        <v>1760</v>
      </c>
      <c r="E662" s="10" t="s">
        <v>469</v>
      </c>
      <c r="F662" t="s">
        <v>25</v>
      </c>
      <c r="G662" t="s">
        <v>18</v>
      </c>
      <c r="H662" t="s">
        <v>19</v>
      </c>
      <c r="I662">
        <v>1</v>
      </c>
      <c r="J662" s="3">
        <v>155.71</v>
      </c>
      <c r="K662" s="2">
        <v>0.1</v>
      </c>
      <c r="L662" s="3">
        <v>140.13999999999999</v>
      </c>
      <c r="M662" s="3">
        <v>13.13</v>
      </c>
      <c r="N662" t="s">
        <v>40</v>
      </c>
      <c r="O662" s="3"/>
      <c r="P662" s="3"/>
    </row>
    <row r="663" spans="1:16" x14ac:dyDescent="0.3">
      <c r="A663" t="s">
        <v>1761</v>
      </c>
      <c r="B663" s="9" t="s">
        <v>678</v>
      </c>
      <c r="C663" s="20" t="str">
        <f t="shared" si="10"/>
        <v>Sep</v>
      </c>
      <c r="D663" t="s">
        <v>1195</v>
      </c>
      <c r="E663" s="10" t="s">
        <v>537</v>
      </c>
      <c r="F663" t="s">
        <v>32</v>
      </c>
      <c r="G663" t="s">
        <v>18</v>
      </c>
      <c r="H663" t="s">
        <v>45</v>
      </c>
      <c r="I663">
        <v>3</v>
      </c>
      <c r="J663" s="3">
        <v>108.17</v>
      </c>
      <c r="K663" s="2">
        <v>0</v>
      </c>
      <c r="L663" s="3">
        <v>324.51</v>
      </c>
      <c r="M663" s="3">
        <v>66.489999999999995</v>
      </c>
      <c r="N663" t="s">
        <v>40</v>
      </c>
      <c r="O663" s="3"/>
      <c r="P663" s="3"/>
    </row>
    <row r="664" spans="1:16" x14ac:dyDescent="0.3">
      <c r="A664" t="s">
        <v>1764</v>
      </c>
      <c r="B664" s="9" t="s">
        <v>246</v>
      </c>
      <c r="C664" s="20" t="str">
        <f t="shared" si="10"/>
        <v>Aug</v>
      </c>
      <c r="D664" t="s">
        <v>1765</v>
      </c>
      <c r="E664" s="10" t="s">
        <v>1640</v>
      </c>
      <c r="F664" t="s">
        <v>59</v>
      </c>
      <c r="G664" t="s">
        <v>33</v>
      </c>
      <c r="H664" t="s">
        <v>50</v>
      </c>
      <c r="I664">
        <v>6</v>
      </c>
      <c r="J664" s="3">
        <v>48.71</v>
      </c>
      <c r="K664" s="2">
        <v>0.05</v>
      </c>
      <c r="L664" s="3">
        <v>277.64999999999998</v>
      </c>
      <c r="M664" s="3">
        <v>33.24</v>
      </c>
      <c r="N664" t="s">
        <v>20</v>
      </c>
      <c r="O664" s="3"/>
      <c r="P664" s="3"/>
    </row>
    <row r="665" spans="1:16" x14ac:dyDescent="0.3">
      <c r="A665" t="s">
        <v>1766</v>
      </c>
      <c r="B665" s="9" t="s">
        <v>271</v>
      </c>
      <c r="C665" s="20" t="str">
        <f t="shared" si="10"/>
        <v>Nov</v>
      </c>
      <c r="D665" t="s">
        <v>597</v>
      </c>
      <c r="E665" s="10" t="s">
        <v>1767</v>
      </c>
      <c r="F665" t="s">
        <v>59</v>
      </c>
      <c r="G665" t="s">
        <v>33</v>
      </c>
      <c r="H665" t="s">
        <v>34</v>
      </c>
      <c r="I665">
        <v>4</v>
      </c>
      <c r="J665" s="3">
        <v>83.09</v>
      </c>
      <c r="K665" s="2">
        <v>0.05</v>
      </c>
      <c r="L665" s="3">
        <v>315.74</v>
      </c>
      <c r="M665" s="3">
        <v>57.22</v>
      </c>
      <c r="N665" t="s">
        <v>40</v>
      </c>
      <c r="O665" s="3"/>
      <c r="P665" s="3"/>
    </row>
    <row r="666" spans="1:16" x14ac:dyDescent="0.3">
      <c r="A666" t="s">
        <v>1768</v>
      </c>
      <c r="B666" s="9" t="s">
        <v>1025</v>
      </c>
      <c r="C666" s="20" t="str">
        <f t="shared" si="10"/>
        <v>Aug</v>
      </c>
      <c r="D666" t="s">
        <v>654</v>
      </c>
      <c r="E666" s="10" t="s">
        <v>1490</v>
      </c>
      <c r="F666" t="s">
        <v>59</v>
      </c>
      <c r="G666" t="s">
        <v>18</v>
      </c>
      <c r="H666" t="s">
        <v>79</v>
      </c>
      <c r="I666">
        <v>2</v>
      </c>
      <c r="J666" s="3">
        <v>18.739999999999998</v>
      </c>
      <c r="K666" s="2">
        <v>0.05</v>
      </c>
      <c r="L666" s="3">
        <v>35.61</v>
      </c>
      <c r="M666" s="3">
        <v>7.44</v>
      </c>
      <c r="N666" t="s">
        <v>20</v>
      </c>
      <c r="O666" s="3"/>
      <c r="P666" s="3"/>
    </row>
    <row r="667" spans="1:16" x14ac:dyDescent="0.3">
      <c r="A667" t="s">
        <v>1769</v>
      </c>
      <c r="B667" s="9" t="s">
        <v>1710</v>
      </c>
      <c r="C667" s="20" t="str">
        <f t="shared" si="10"/>
        <v>Mar</v>
      </c>
      <c r="D667" t="s">
        <v>15</v>
      </c>
      <c r="E667" s="10" t="s">
        <v>1423</v>
      </c>
      <c r="F667" t="s">
        <v>25</v>
      </c>
      <c r="G667" t="s">
        <v>33</v>
      </c>
      <c r="H667" t="s">
        <v>50</v>
      </c>
      <c r="I667">
        <v>8</v>
      </c>
      <c r="J667" s="3">
        <v>187.68</v>
      </c>
      <c r="K667" s="2">
        <v>0.1</v>
      </c>
      <c r="L667" s="3">
        <v>1351.3</v>
      </c>
      <c r="M667" s="3">
        <v>297.52</v>
      </c>
      <c r="N667" t="s">
        <v>35</v>
      </c>
      <c r="O667" s="3"/>
      <c r="P667" s="3"/>
    </row>
    <row r="668" spans="1:16" x14ac:dyDescent="0.3">
      <c r="A668" t="s">
        <v>1770</v>
      </c>
      <c r="B668" s="9" t="s">
        <v>678</v>
      </c>
      <c r="C668" s="20" t="str">
        <f t="shared" si="10"/>
        <v>Sep</v>
      </c>
      <c r="D668" t="s">
        <v>1771</v>
      </c>
      <c r="E668" s="10" t="s">
        <v>568</v>
      </c>
      <c r="F668" t="s">
        <v>64</v>
      </c>
      <c r="G668" t="s">
        <v>26</v>
      </c>
      <c r="H668" t="s">
        <v>84</v>
      </c>
      <c r="I668">
        <v>6</v>
      </c>
      <c r="J668" s="3">
        <v>50.74</v>
      </c>
      <c r="K668" s="2">
        <v>0</v>
      </c>
      <c r="L668" s="3">
        <v>304.44</v>
      </c>
      <c r="M668" s="3">
        <v>68.430000000000007</v>
      </c>
      <c r="N668" t="s">
        <v>35</v>
      </c>
      <c r="O668" s="3"/>
      <c r="P668" s="3"/>
    </row>
    <row r="669" spans="1:16" x14ac:dyDescent="0.3">
      <c r="A669" t="s">
        <v>1772</v>
      </c>
      <c r="B669" s="9" t="s">
        <v>1773</v>
      </c>
      <c r="C669" s="20" t="str">
        <f t="shared" si="10"/>
        <v>Nov</v>
      </c>
      <c r="D669" t="s">
        <v>181</v>
      </c>
      <c r="E669" s="10" t="s">
        <v>1250</v>
      </c>
      <c r="F669" t="s">
        <v>59</v>
      </c>
      <c r="G669" t="s">
        <v>89</v>
      </c>
      <c r="H669" t="s">
        <v>150</v>
      </c>
      <c r="I669">
        <v>5</v>
      </c>
      <c r="J669" s="3">
        <v>107.62</v>
      </c>
      <c r="K669" s="2">
        <v>0.1</v>
      </c>
      <c r="L669" s="3">
        <v>484.29</v>
      </c>
      <c r="M669" s="3">
        <v>108.72</v>
      </c>
      <c r="N669" t="s">
        <v>35</v>
      </c>
      <c r="O669" s="3"/>
      <c r="P669" s="3"/>
    </row>
    <row r="670" spans="1:16" x14ac:dyDescent="0.3">
      <c r="A670" t="s">
        <v>1774</v>
      </c>
      <c r="B670" s="9" t="s">
        <v>657</v>
      </c>
      <c r="C670" s="20" t="str">
        <f t="shared" si="10"/>
        <v>Dec</v>
      </c>
      <c r="D670" t="s">
        <v>720</v>
      </c>
      <c r="E670" s="10" t="s">
        <v>1442</v>
      </c>
      <c r="F670" t="s">
        <v>64</v>
      </c>
      <c r="G670" t="s">
        <v>33</v>
      </c>
      <c r="H670" t="s">
        <v>74</v>
      </c>
      <c r="I670">
        <v>7</v>
      </c>
      <c r="J670" s="3">
        <v>136.71</v>
      </c>
      <c r="K670" s="2">
        <v>0.1</v>
      </c>
      <c r="L670" s="3">
        <v>861.27</v>
      </c>
      <c r="M670" s="3">
        <v>167.29</v>
      </c>
      <c r="N670" t="s">
        <v>35</v>
      </c>
      <c r="O670" s="3"/>
      <c r="P670" s="3"/>
    </row>
    <row r="671" spans="1:16" x14ac:dyDescent="0.3">
      <c r="A671" t="s">
        <v>1775</v>
      </c>
      <c r="B671" s="9" t="s">
        <v>282</v>
      </c>
      <c r="C671" s="20" t="str">
        <f t="shared" si="10"/>
        <v>Mar</v>
      </c>
      <c r="D671" t="s">
        <v>1314</v>
      </c>
      <c r="E671" s="10" t="s">
        <v>472</v>
      </c>
      <c r="F671" t="s">
        <v>64</v>
      </c>
      <c r="G671" t="s">
        <v>26</v>
      </c>
      <c r="H671" t="s">
        <v>27</v>
      </c>
      <c r="I671">
        <v>3</v>
      </c>
      <c r="J671" s="3">
        <v>35.369999999999997</v>
      </c>
      <c r="K671" s="2">
        <v>0.05</v>
      </c>
      <c r="L671" s="3">
        <v>100.8</v>
      </c>
      <c r="M671" s="3">
        <v>8.82</v>
      </c>
      <c r="N671" t="s">
        <v>20</v>
      </c>
      <c r="O671" s="3"/>
      <c r="P671" s="3"/>
    </row>
    <row r="672" spans="1:16" x14ac:dyDescent="0.3">
      <c r="A672" t="s">
        <v>1776</v>
      </c>
      <c r="B672" s="9" t="s">
        <v>653</v>
      </c>
      <c r="C672" s="20" t="str">
        <f t="shared" si="10"/>
        <v>Mar</v>
      </c>
      <c r="D672" t="s">
        <v>691</v>
      </c>
      <c r="E672" s="10" t="s">
        <v>208</v>
      </c>
      <c r="F672" t="s">
        <v>32</v>
      </c>
      <c r="G672" t="s">
        <v>18</v>
      </c>
      <c r="H672" t="s">
        <v>45</v>
      </c>
      <c r="I672">
        <v>6</v>
      </c>
      <c r="J672" s="3">
        <v>94.76</v>
      </c>
      <c r="K672" s="2">
        <v>0.1</v>
      </c>
      <c r="L672" s="3">
        <v>511.7</v>
      </c>
      <c r="M672" s="3">
        <v>134.22999999999999</v>
      </c>
      <c r="N672" t="s">
        <v>40</v>
      </c>
      <c r="O672" s="3"/>
      <c r="P672" s="3"/>
    </row>
    <row r="673" spans="1:16" x14ac:dyDescent="0.3">
      <c r="A673" t="s">
        <v>1777</v>
      </c>
      <c r="B673" s="9" t="s">
        <v>1541</v>
      </c>
      <c r="C673" s="20" t="str">
        <f t="shared" si="10"/>
        <v>Dec</v>
      </c>
      <c r="D673" t="s">
        <v>757</v>
      </c>
      <c r="E673" s="10" t="s">
        <v>1778</v>
      </c>
      <c r="F673" t="s">
        <v>25</v>
      </c>
      <c r="G673" t="s">
        <v>18</v>
      </c>
      <c r="H673" t="s">
        <v>19</v>
      </c>
      <c r="I673">
        <v>7</v>
      </c>
      <c r="J673" s="3">
        <v>72.459999999999994</v>
      </c>
      <c r="K673" s="2">
        <v>0.1</v>
      </c>
      <c r="L673" s="3">
        <v>456.5</v>
      </c>
      <c r="M673" s="3">
        <v>127.63</v>
      </c>
      <c r="N673" t="s">
        <v>40</v>
      </c>
      <c r="O673" s="3"/>
      <c r="P673" s="3"/>
    </row>
    <row r="674" spans="1:16" x14ac:dyDescent="0.3">
      <c r="A674" t="s">
        <v>1779</v>
      </c>
      <c r="B674" s="9" t="s">
        <v>1573</v>
      </c>
      <c r="C674" s="20" t="str">
        <f t="shared" si="10"/>
        <v>Mar</v>
      </c>
      <c r="D674" t="s">
        <v>1780</v>
      </c>
      <c r="E674" s="10" t="s">
        <v>418</v>
      </c>
      <c r="F674" t="s">
        <v>64</v>
      </c>
      <c r="G674" t="s">
        <v>89</v>
      </c>
      <c r="H674" t="s">
        <v>131</v>
      </c>
      <c r="I674">
        <v>7</v>
      </c>
      <c r="J674" s="3">
        <v>169.98</v>
      </c>
      <c r="K674" s="2">
        <v>0.1</v>
      </c>
      <c r="L674" s="3">
        <v>1070.8699999999999</v>
      </c>
      <c r="M674" s="3">
        <v>134.15</v>
      </c>
      <c r="N674" t="s">
        <v>40</v>
      </c>
      <c r="O674" s="3"/>
      <c r="P674" s="3"/>
    </row>
    <row r="675" spans="1:16" x14ac:dyDescent="0.3">
      <c r="A675" t="s">
        <v>1781</v>
      </c>
      <c r="B675" s="9" t="s">
        <v>104</v>
      </c>
      <c r="C675" s="20" t="str">
        <f t="shared" si="10"/>
        <v>May</v>
      </c>
      <c r="D675" t="s">
        <v>1782</v>
      </c>
      <c r="E675" s="10" t="s">
        <v>747</v>
      </c>
      <c r="F675" t="s">
        <v>59</v>
      </c>
      <c r="G675" t="s">
        <v>18</v>
      </c>
      <c r="H675" t="s">
        <v>19</v>
      </c>
      <c r="I675">
        <v>7</v>
      </c>
      <c r="J675" s="3">
        <v>224.95</v>
      </c>
      <c r="K675" s="2">
        <v>0.1</v>
      </c>
      <c r="L675" s="3">
        <v>1417.18</v>
      </c>
      <c r="M675" s="3">
        <v>213.22</v>
      </c>
      <c r="N675" t="s">
        <v>20</v>
      </c>
      <c r="O675" s="3"/>
      <c r="P675" s="3"/>
    </row>
    <row r="676" spans="1:16" x14ac:dyDescent="0.3">
      <c r="A676" t="s">
        <v>1783</v>
      </c>
      <c r="B676" s="9" t="s">
        <v>489</v>
      </c>
      <c r="C676" s="20" t="str">
        <f t="shared" si="10"/>
        <v>Mar</v>
      </c>
      <c r="D676" t="s">
        <v>310</v>
      </c>
      <c r="E676" s="10" t="s">
        <v>212</v>
      </c>
      <c r="F676" t="s">
        <v>59</v>
      </c>
      <c r="G676" t="s">
        <v>89</v>
      </c>
      <c r="H676" t="s">
        <v>90</v>
      </c>
      <c r="I676">
        <v>8</v>
      </c>
      <c r="J676" s="3">
        <v>92.97</v>
      </c>
      <c r="K676" s="2">
        <v>0</v>
      </c>
      <c r="L676" s="3">
        <v>743.76</v>
      </c>
      <c r="M676" s="3">
        <v>64.78</v>
      </c>
      <c r="N676" t="s">
        <v>40</v>
      </c>
      <c r="O676" s="3"/>
      <c r="P676" s="3"/>
    </row>
    <row r="677" spans="1:16" x14ac:dyDescent="0.3">
      <c r="A677" t="s">
        <v>1784</v>
      </c>
      <c r="B677" s="9" t="s">
        <v>309</v>
      </c>
      <c r="C677" s="20" t="str">
        <f t="shared" si="10"/>
        <v>Feb</v>
      </c>
      <c r="D677" t="s">
        <v>1589</v>
      </c>
      <c r="E677" s="10" t="s">
        <v>710</v>
      </c>
      <c r="F677" t="s">
        <v>25</v>
      </c>
      <c r="G677" t="s">
        <v>18</v>
      </c>
      <c r="H677" t="s">
        <v>79</v>
      </c>
      <c r="I677">
        <v>2</v>
      </c>
      <c r="J677" s="3">
        <v>145.69999999999999</v>
      </c>
      <c r="K677" s="2">
        <v>0.15</v>
      </c>
      <c r="L677" s="3">
        <v>247.69</v>
      </c>
      <c r="M677" s="3">
        <v>42.48</v>
      </c>
      <c r="N677" t="s">
        <v>20</v>
      </c>
      <c r="O677" s="3"/>
      <c r="P677" s="3"/>
    </row>
    <row r="678" spans="1:16" x14ac:dyDescent="0.3">
      <c r="A678" t="s">
        <v>1785</v>
      </c>
      <c r="B678" s="9" t="s">
        <v>248</v>
      </c>
      <c r="C678" s="20" t="str">
        <f t="shared" si="10"/>
        <v>Jan</v>
      </c>
      <c r="D678" t="s">
        <v>413</v>
      </c>
      <c r="E678" s="10" t="s">
        <v>284</v>
      </c>
      <c r="F678" t="s">
        <v>32</v>
      </c>
      <c r="G678" t="s">
        <v>18</v>
      </c>
      <c r="H678" t="s">
        <v>19</v>
      </c>
      <c r="I678">
        <v>7</v>
      </c>
      <c r="J678" s="3">
        <v>182.9</v>
      </c>
      <c r="K678" s="2">
        <v>0.15</v>
      </c>
      <c r="L678" s="3">
        <v>1088.25</v>
      </c>
      <c r="M678" s="3">
        <v>201.58</v>
      </c>
      <c r="N678" t="s">
        <v>20</v>
      </c>
      <c r="O678" s="3"/>
      <c r="P678" s="3"/>
    </row>
    <row r="679" spans="1:16" x14ac:dyDescent="0.3">
      <c r="A679" t="s">
        <v>1786</v>
      </c>
      <c r="B679" s="9" t="s">
        <v>195</v>
      </c>
      <c r="C679" s="20" t="str">
        <f t="shared" si="10"/>
        <v>Nov</v>
      </c>
      <c r="D679" t="s">
        <v>1574</v>
      </c>
      <c r="E679" s="10" t="s">
        <v>1106</v>
      </c>
      <c r="F679" t="s">
        <v>32</v>
      </c>
      <c r="G679" t="s">
        <v>89</v>
      </c>
      <c r="H679" t="s">
        <v>131</v>
      </c>
      <c r="I679">
        <v>1</v>
      </c>
      <c r="J679" s="3">
        <v>18.11</v>
      </c>
      <c r="K679" s="2">
        <v>0.05</v>
      </c>
      <c r="L679" s="3">
        <v>17.2</v>
      </c>
      <c r="M679" s="3">
        <v>1.86</v>
      </c>
      <c r="N679" t="s">
        <v>40</v>
      </c>
      <c r="O679" s="3"/>
      <c r="P679" s="3"/>
    </row>
    <row r="680" spans="1:16" x14ac:dyDescent="0.3">
      <c r="A680" t="s">
        <v>1787</v>
      </c>
      <c r="B680" s="9" t="s">
        <v>242</v>
      </c>
      <c r="C680" s="20" t="str">
        <f t="shared" si="10"/>
        <v>Jun</v>
      </c>
      <c r="D680" t="s">
        <v>717</v>
      </c>
      <c r="E680" s="10" t="s">
        <v>780</v>
      </c>
      <c r="F680" t="s">
        <v>32</v>
      </c>
      <c r="G680" t="s">
        <v>89</v>
      </c>
      <c r="H680" t="s">
        <v>150</v>
      </c>
      <c r="I680">
        <v>4</v>
      </c>
      <c r="J680" s="3">
        <v>44.07</v>
      </c>
      <c r="K680" s="2">
        <v>0.15</v>
      </c>
      <c r="L680" s="3">
        <v>149.84</v>
      </c>
      <c r="M680" s="3">
        <v>35.159999999999997</v>
      </c>
      <c r="N680" t="s">
        <v>20</v>
      </c>
      <c r="O680" s="3"/>
      <c r="P680" s="3"/>
    </row>
    <row r="681" spans="1:16" x14ac:dyDescent="0.3">
      <c r="A681" t="s">
        <v>1788</v>
      </c>
      <c r="B681" s="9" t="s">
        <v>278</v>
      </c>
      <c r="C681" s="20" t="str">
        <f t="shared" si="10"/>
        <v>Jul</v>
      </c>
      <c r="D681" t="s">
        <v>1789</v>
      </c>
      <c r="E681" s="10" t="s">
        <v>172</v>
      </c>
      <c r="F681" t="s">
        <v>59</v>
      </c>
      <c r="G681" t="s">
        <v>33</v>
      </c>
      <c r="H681" t="s">
        <v>69</v>
      </c>
      <c r="I681">
        <v>5</v>
      </c>
      <c r="J681" s="3">
        <v>129.24</v>
      </c>
      <c r="K681" s="2">
        <v>0.15</v>
      </c>
      <c r="L681" s="3">
        <v>549.27</v>
      </c>
      <c r="M681" s="3">
        <v>118.72</v>
      </c>
      <c r="N681" t="s">
        <v>40</v>
      </c>
      <c r="O681" s="3"/>
      <c r="P681" s="3"/>
    </row>
    <row r="682" spans="1:16" x14ac:dyDescent="0.3">
      <c r="A682" t="s">
        <v>1790</v>
      </c>
      <c r="B682" s="9" t="s">
        <v>1441</v>
      </c>
      <c r="C682" s="20" t="str">
        <f t="shared" si="10"/>
        <v>Apr</v>
      </c>
      <c r="D682" t="s">
        <v>838</v>
      </c>
      <c r="E682" s="10" t="s">
        <v>1791</v>
      </c>
      <c r="F682" t="s">
        <v>25</v>
      </c>
      <c r="G682" t="s">
        <v>33</v>
      </c>
      <c r="H682" t="s">
        <v>50</v>
      </c>
      <c r="I682">
        <v>4</v>
      </c>
      <c r="J682" s="3">
        <v>103.25</v>
      </c>
      <c r="K682" s="2">
        <v>0.1</v>
      </c>
      <c r="L682" s="3">
        <v>371.7</v>
      </c>
      <c r="M682" s="3">
        <v>67.010000000000005</v>
      </c>
      <c r="N682" t="s">
        <v>40</v>
      </c>
      <c r="O682" s="3"/>
      <c r="P682" s="3"/>
    </row>
    <row r="683" spans="1:16" x14ac:dyDescent="0.3">
      <c r="A683" t="s">
        <v>1792</v>
      </c>
      <c r="B683" s="9" t="s">
        <v>56</v>
      </c>
      <c r="C683" s="20" t="str">
        <f t="shared" si="10"/>
        <v>Dec</v>
      </c>
      <c r="D683" t="s">
        <v>1793</v>
      </c>
      <c r="E683" s="10" t="s">
        <v>1794</v>
      </c>
      <c r="F683" t="s">
        <v>59</v>
      </c>
      <c r="G683" t="s">
        <v>89</v>
      </c>
      <c r="H683" t="s">
        <v>131</v>
      </c>
      <c r="I683">
        <v>5</v>
      </c>
      <c r="J683" s="3">
        <v>93.31</v>
      </c>
      <c r="K683" s="2">
        <v>0</v>
      </c>
      <c r="L683" s="3">
        <v>466.55</v>
      </c>
      <c r="M683" s="3">
        <v>99</v>
      </c>
      <c r="N683" t="s">
        <v>20</v>
      </c>
      <c r="O683" s="3"/>
      <c r="P683" s="3"/>
    </row>
    <row r="684" spans="1:16" x14ac:dyDescent="0.3">
      <c r="A684" t="s">
        <v>1795</v>
      </c>
      <c r="B684" s="9" t="s">
        <v>810</v>
      </c>
      <c r="C684" s="20" t="str">
        <f t="shared" si="10"/>
        <v>Feb</v>
      </c>
      <c r="D684" t="s">
        <v>682</v>
      </c>
      <c r="E684" s="10" t="s">
        <v>1468</v>
      </c>
      <c r="F684" t="s">
        <v>59</v>
      </c>
      <c r="G684" t="s">
        <v>33</v>
      </c>
      <c r="H684" t="s">
        <v>69</v>
      </c>
      <c r="I684">
        <v>1</v>
      </c>
      <c r="J684" s="3">
        <v>207.71</v>
      </c>
      <c r="K684" s="2">
        <v>0.05</v>
      </c>
      <c r="L684" s="3">
        <v>197.32</v>
      </c>
      <c r="M684" s="3">
        <v>30.53</v>
      </c>
      <c r="N684" t="s">
        <v>20</v>
      </c>
      <c r="O684" s="3"/>
      <c r="P684" s="3"/>
    </row>
    <row r="685" spans="1:16" x14ac:dyDescent="0.3">
      <c r="A685" t="s">
        <v>1796</v>
      </c>
      <c r="B685" s="9" t="s">
        <v>1746</v>
      </c>
      <c r="C685" s="20" t="str">
        <f t="shared" si="10"/>
        <v>Sep</v>
      </c>
      <c r="D685" t="s">
        <v>1353</v>
      </c>
      <c r="E685" s="10" t="s">
        <v>1718</v>
      </c>
      <c r="F685" t="s">
        <v>17</v>
      </c>
      <c r="G685" t="s">
        <v>33</v>
      </c>
      <c r="H685" t="s">
        <v>69</v>
      </c>
      <c r="I685">
        <v>2</v>
      </c>
      <c r="J685" s="3">
        <v>243.68</v>
      </c>
      <c r="K685" s="2">
        <v>0</v>
      </c>
      <c r="L685" s="3">
        <v>487.36</v>
      </c>
      <c r="M685" s="3">
        <v>104.59</v>
      </c>
      <c r="N685" t="s">
        <v>40</v>
      </c>
      <c r="O685" s="3"/>
      <c r="P685" s="3"/>
    </row>
    <row r="686" spans="1:16" x14ac:dyDescent="0.3">
      <c r="A686" t="s">
        <v>1797</v>
      </c>
      <c r="B686" s="9" t="s">
        <v>317</v>
      </c>
      <c r="C686" s="20" t="str">
        <f t="shared" si="10"/>
        <v>May</v>
      </c>
      <c r="D686" t="s">
        <v>1798</v>
      </c>
      <c r="E686" s="10" t="s">
        <v>745</v>
      </c>
      <c r="F686" t="s">
        <v>17</v>
      </c>
      <c r="G686" t="s">
        <v>89</v>
      </c>
      <c r="H686" t="s">
        <v>90</v>
      </c>
      <c r="I686">
        <v>3</v>
      </c>
      <c r="J686" s="3">
        <v>68.13</v>
      </c>
      <c r="K686" s="2">
        <v>0.1</v>
      </c>
      <c r="L686" s="3">
        <v>183.95</v>
      </c>
      <c r="M686" s="3">
        <v>52.43</v>
      </c>
      <c r="N686" t="s">
        <v>35</v>
      </c>
      <c r="O686" s="3"/>
      <c r="P686" s="3"/>
    </row>
    <row r="687" spans="1:16" x14ac:dyDescent="0.3">
      <c r="A687" t="s">
        <v>1799</v>
      </c>
      <c r="B687" s="9" t="s">
        <v>663</v>
      </c>
      <c r="C687" s="20" t="str">
        <f t="shared" si="10"/>
        <v>Oct</v>
      </c>
      <c r="D687" t="s">
        <v>372</v>
      </c>
      <c r="E687" s="10" t="s">
        <v>1295</v>
      </c>
      <c r="F687" t="s">
        <v>17</v>
      </c>
      <c r="G687" t="s">
        <v>26</v>
      </c>
      <c r="H687" t="s">
        <v>84</v>
      </c>
      <c r="I687">
        <v>1</v>
      </c>
      <c r="J687" s="3">
        <v>47.87</v>
      </c>
      <c r="K687" s="2">
        <v>0.1</v>
      </c>
      <c r="L687" s="3">
        <v>43.08</v>
      </c>
      <c r="M687" s="3">
        <v>5.56</v>
      </c>
      <c r="N687" t="s">
        <v>20</v>
      </c>
      <c r="O687" s="3"/>
      <c r="P687" s="3"/>
    </row>
    <row r="688" spans="1:16" x14ac:dyDescent="0.3">
      <c r="A688" t="s">
        <v>1800</v>
      </c>
      <c r="B688" s="9" t="s">
        <v>1801</v>
      </c>
      <c r="C688" s="20" t="str">
        <f t="shared" si="10"/>
        <v>Apr</v>
      </c>
      <c r="D688" t="s">
        <v>1802</v>
      </c>
      <c r="E688" s="10" t="s">
        <v>1803</v>
      </c>
      <c r="F688" t="s">
        <v>17</v>
      </c>
      <c r="G688" t="s">
        <v>33</v>
      </c>
      <c r="H688" t="s">
        <v>69</v>
      </c>
      <c r="I688">
        <v>6</v>
      </c>
      <c r="J688" s="3">
        <v>197.04</v>
      </c>
      <c r="K688" s="2">
        <v>0</v>
      </c>
      <c r="L688" s="3">
        <v>1182.24</v>
      </c>
      <c r="M688" s="3">
        <v>335.58</v>
      </c>
      <c r="N688" t="s">
        <v>20</v>
      </c>
      <c r="O688" s="3"/>
      <c r="P688" s="3"/>
    </row>
    <row r="689" spans="1:16" x14ac:dyDescent="0.3">
      <c r="A689" t="s">
        <v>1804</v>
      </c>
      <c r="B689" s="9" t="s">
        <v>1805</v>
      </c>
      <c r="C689" s="20" t="str">
        <f t="shared" si="10"/>
        <v>May</v>
      </c>
      <c r="D689" t="s">
        <v>291</v>
      </c>
      <c r="E689" s="10" t="s">
        <v>1315</v>
      </c>
      <c r="F689" t="s">
        <v>64</v>
      </c>
      <c r="G689" t="s">
        <v>33</v>
      </c>
      <c r="H689" t="s">
        <v>69</v>
      </c>
      <c r="I689">
        <v>3</v>
      </c>
      <c r="J689" s="3">
        <v>76.27</v>
      </c>
      <c r="K689" s="2">
        <v>0.15</v>
      </c>
      <c r="L689" s="3">
        <v>194.49</v>
      </c>
      <c r="M689" s="3">
        <v>44.26</v>
      </c>
      <c r="N689" t="s">
        <v>40</v>
      </c>
      <c r="O689" s="3"/>
      <c r="P689" s="3"/>
    </row>
    <row r="690" spans="1:16" x14ac:dyDescent="0.3">
      <c r="A690" t="s">
        <v>1806</v>
      </c>
      <c r="B690" s="9" t="s">
        <v>1101</v>
      </c>
      <c r="C690" s="20" t="str">
        <f t="shared" si="10"/>
        <v>Jul</v>
      </c>
      <c r="D690" t="s">
        <v>1807</v>
      </c>
      <c r="E690" s="10" t="s">
        <v>1592</v>
      </c>
      <c r="F690" t="s">
        <v>59</v>
      </c>
      <c r="G690" t="s">
        <v>18</v>
      </c>
      <c r="H690" t="s">
        <v>79</v>
      </c>
      <c r="I690">
        <v>7</v>
      </c>
      <c r="J690" s="3">
        <v>73.02</v>
      </c>
      <c r="K690" s="2">
        <v>0.1</v>
      </c>
      <c r="L690" s="3">
        <v>460.03</v>
      </c>
      <c r="M690" s="3">
        <v>76.22</v>
      </c>
      <c r="N690" t="s">
        <v>35</v>
      </c>
      <c r="O690" s="3"/>
      <c r="P690" s="3"/>
    </row>
    <row r="691" spans="1:16" x14ac:dyDescent="0.3">
      <c r="A691" t="s">
        <v>1808</v>
      </c>
      <c r="B691" s="9" t="s">
        <v>705</v>
      </c>
      <c r="C691" s="20" t="str">
        <f t="shared" si="10"/>
        <v>Mar</v>
      </c>
      <c r="D691" t="s">
        <v>941</v>
      </c>
      <c r="E691" s="10" t="s">
        <v>1809</v>
      </c>
      <c r="F691" t="s">
        <v>32</v>
      </c>
      <c r="G691" t="s">
        <v>33</v>
      </c>
      <c r="H691" t="s">
        <v>50</v>
      </c>
      <c r="I691">
        <v>3</v>
      </c>
      <c r="J691" s="3">
        <v>201.98</v>
      </c>
      <c r="K691" s="2">
        <v>0.15</v>
      </c>
      <c r="L691" s="3">
        <v>515.04999999999995</v>
      </c>
      <c r="M691" s="3">
        <v>146.09</v>
      </c>
      <c r="N691" t="s">
        <v>40</v>
      </c>
      <c r="O691" s="3"/>
      <c r="P691" s="3"/>
    </row>
    <row r="692" spans="1:16" x14ac:dyDescent="0.3">
      <c r="A692" t="s">
        <v>1810</v>
      </c>
      <c r="B692" s="9" t="s">
        <v>124</v>
      </c>
      <c r="C692" s="20" t="str">
        <f t="shared" si="10"/>
        <v>Jun</v>
      </c>
      <c r="D692" t="s">
        <v>1811</v>
      </c>
      <c r="E692" s="10" t="s">
        <v>363</v>
      </c>
      <c r="F692" t="s">
        <v>25</v>
      </c>
      <c r="G692" t="s">
        <v>89</v>
      </c>
      <c r="H692" t="s">
        <v>150</v>
      </c>
      <c r="I692">
        <v>2</v>
      </c>
      <c r="J692" s="3">
        <v>240.02</v>
      </c>
      <c r="K692" s="2">
        <v>0.15</v>
      </c>
      <c r="L692" s="3">
        <v>408.03</v>
      </c>
      <c r="M692" s="3">
        <v>64.010000000000005</v>
      </c>
      <c r="N692" t="s">
        <v>40</v>
      </c>
      <c r="O692" s="3"/>
      <c r="P692" s="3"/>
    </row>
    <row r="693" spans="1:16" x14ac:dyDescent="0.3">
      <c r="A693" t="s">
        <v>1812</v>
      </c>
      <c r="B693" s="9" t="s">
        <v>1813</v>
      </c>
      <c r="C693" s="20" t="str">
        <f t="shared" si="10"/>
        <v>Mar</v>
      </c>
      <c r="D693" t="s">
        <v>1591</v>
      </c>
      <c r="E693" s="10" t="s">
        <v>1791</v>
      </c>
      <c r="F693" t="s">
        <v>25</v>
      </c>
      <c r="G693" t="s">
        <v>89</v>
      </c>
      <c r="H693" t="s">
        <v>150</v>
      </c>
      <c r="I693">
        <v>1</v>
      </c>
      <c r="J693" s="3">
        <v>239.94</v>
      </c>
      <c r="K693" s="2">
        <v>0.1</v>
      </c>
      <c r="L693" s="3">
        <v>215.95</v>
      </c>
      <c r="M693" s="3">
        <v>32.549999999999997</v>
      </c>
      <c r="N693" t="s">
        <v>40</v>
      </c>
      <c r="O693" s="3"/>
      <c r="P693" s="3"/>
    </row>
    <row r="694" spans="1:16" x14ac:dyDescent="0.3">
      <c r="A694" t="s">
        <v>1814</v>
      </c>
      <c r="B694" s="9" t="s">
        <v>1815</v>
      </c>
      <c r="C694" s="20" t="str">
        <f t="shared" si="10"/>
        <v>Oct</v>
      </c>
      <c r="D694" t="s">
        <v>1220</v>
      </c>
      <c r="E694" s="10" t="s">
        <v>347</v>
      </c>
      <c r="F694" t="s">
        <v>25</v>
      </c>
      <c r="G694" t="s">
        <v>89</v>
      </c>
      <c r="H694" t="s">
        <v>131</v>
      </c>
      <c r="I694">
        <v>2</v>
      </c>
      <c r="J694" s="3">
        <v>148.77000000000001</v>
      </c>
      <c r="K694" s="2">
        <v>0.05</v>
      </c>
      <c r="L694" s="3">
        <v>282.66000000000003</v>
      </c>
      <c r="M694" s="3">
        <v>73.72</v>
      </c>
      <c r="N694" t="s">
        <v>35</v>
      </c>
      <c r="O694" s="3"/>
      <c r="P694" s="3"/>
    </row>
    <row r="695" spans="1:16" x14ac:dyDescent="0.3">
      <c r="A695" t="s">
        <v>1816</v>
      </c>
      <c r="B695" s="9" t="s">
        <v>1005</v>
      </c>
      <c r="C695" s="20" t="str">
        <f t="shared" si="10"/>
        <v>Apr</v>
      </c>
      <c r="D695" t="s">
        <v>1817</v>
      </c>
      <c r="E695" s="10" t="s">
        <v>695</v>
      </c>
      <c r="F695" t="s">
        <v>64</v>
      </c>
      <c r="G695" t="s">
        <v>26</v>
      </c>
      <c r="H695" t="s">
        <v>27</v>
      </c>
      <c r="I695">
        <v>8</v>
      </c>
      <c r="J695" s="3">
        <v>234.16</v>
      </c>
      <c r="K695" s="2">
        <v>0.1</v>
      </c>
      <c r="L695" s="3">
        <v>1685.95</v>
      </c>
      <c r="M695" s="3">
        <v>416.89</v>
      </c>
      <c r="N695" t="s">
        <v>20</v>
      </c>
      <c r="O695" s="3"/>
      <c r="P695" s="3"/>
    </row>
    <row r="696" spans="1:16" x14ac:dyDescent="0.3">
      <c r="A696" t="s">
        <v>1818</v>
      </c>
      <c r="B696" s="9" t="s">
        <v>715</v>
      </c>
      <c r="C696" s="20" t="str">
        <f t="shared" si="10"/>
        <v>Jun</v>
      </c>
      <c r="D696" t="s">
        <v>1255</v>
      </c>
      <c r="E696" s="10" t="s">
        <v>1819</v>
      </c>
      <c r="F696" t="s">
        <v>59</v>
      </c>
      <c r="G696" t="s">
        <v>89</v>
      </c>
      <c r="H696" t="s">
        <v>131</v>
      </c>
      <c r="I696">
        <v>7</v>
      </c>
      <c r="J696" s="3">
        <v>203.29</v>
      </c>
      <c r="K696" s="2">
        <v>0.05</v>
      </c>
      <c r="L696" s="3">
        <v>1351.88</v>
      </c>
      <c r="M696" s="3">
        <v>401.67</v>
      </c>
      <c r="N696" t="s">
        <v>40</v>
      </c>
      <c r="O696" s="3"/>
      <c r="P696" s="3"/>
    </row>
    <row r="697" spans="1:16" x14ac:dyDescent="0.3">
      <c r="A697" t="s">
        <v>1820</v>
      </c>
      <c r="B697" s="9" t="s">
        <v>768</v>
      </c>
      <c r="C697" s="20" t="str">
        <f t="shared" si="10"/>
        <v>Jun</v>
      </c>
      <c r="D697" t="s">
        <v>1821</v>
      </c>
      <c r="E697" s="10" t="s">
        <v>1822</v>
      </c>
      <c r="F697" t="s">
        <v>32</v>
      </c>
      <c r="G697" t="s">
        <v>26</v>
      </c>
      <c r="H697" t="s">
        <v>27</v>
      </c>
      <c r="I697">
        <v>6</v>
      </c>
      <c r="J697" s="3">
        <v>85.93</v>
      </c>
      <c r="K697" s="2">
        <v>0.1</v>
      </c>
      <c r="L697" s="3">
        <v>464.02</v>
      </c>
      <c r="M697" s="3">
        <v>71.540000000000006</v>
      </c>
      <c r="N697" t="s">
        <v>20</v>
      </c>
      <c r="O697" s="3"/>
      <c r="P697" s="3"/>
    </row>
    <row r="698" spans="1:16" x14ac:dyDescent="0.3">
      <c r="A698" t="s">
        <v>1823</v>
      </c>
      <c r="B698" s="9" t="s">
        <v>489</v>
      </c>
      <c r="C698" s="20" t="str">
        <f t="shared" si="10"/>
        <v>Mar</v>
      </c>
      <c r="D698" t="s">
        <v>567</v>
      </c>
      <c r="E698" s="10" t="s">
        <v>937</v>
      </c>
      <c r="F698" t="s">
        <v>17</v>
      </c>
      <c r="G698" t="s">
        <v>26</v>
      </c>
      <c r="H698" t="s">
        <v>118</v>
      </c>
      <c r="I698">
        <v>2</v>
      </c>
      <c r="J698" s="3">
        <v>221.49</v>
      </c>
      <c r="K698" s="2">
        <v>0.1</v>
      </c>
      <c r="L698" s="3">
        <v>398.68</v>
      </c>
      <c r="M698" s="3">
        <v>98.73</v>
      </c>
      <c r="N698" t="s">
        <v>40</v>
      </c>
      <c r="O698" s="3"/>
      <c r="P698" s="3"/>
    </row>
    <row r="699" spans="1:16" x14ac:dyDescent="0.3">
      <c r="A699" t="s">
        <v>1824</v>
      </c>
      <c r="B699" s="9" t="s">
        <v>1216</v>
      </c>
      <c r="C699" s="20" t="str">
        <f t="shared" si="10"/>
        <v>Oct</v>
      </c>
      <c r="D699" t="s">
        <v>1825</v>
      </c>
      <c r="E699" s="10" t="s">
        <v>501</v>
      </c>
      <c r="F699" t="s">
        <v>17</v>
      </c>
      <c r="G699" t="s">
        <v>33</v>
      </c>
      <c r="H699" t="s">
        <v>69</v>
      </c>
      <c r="I699">
        <v>4</v>
      </c>
      <c r="J699" s="3">
        <v>20.190000000000001</v>
      </c>
      <c r="K699" s="2">
        <v>0.1</v>
      </c>
      <c r="L699" s="3">
        <v>72.680000000000007</v>
      </c>
      <c r="M699" s="3">
        <v>15.59</v>
      </c>
      <c r="N699" t="s">
        <v>20</v>
      </c>
      <c r="O699" s="3"/>
      <c r="P699" s="3"/>
    </row>
    <row r="700" spans="1:16" x14ac:dyDescent="0.3">
      <c r="A700" t="s">
        <v>1826</v>
      </c>
      <c r="B700" s="9" t="s">
        <v>1827</v>
      </c>
      <c r="C700" s="20" t="str">
        <f t="shared" si="10"/>
        <v>Sep</v>
      </c>
      <c r="D700" t="s">
        <v>590</v>
      </c>
      <c r="E700" s="10" t="s">
        <v>1828</v>
      </c>
      <c r="F700" t="s">
        <v>64</v>
      </c>
      <c r="G700" t="s">
        <v>89</v>
      </c>
      <c r="H700" t="s">
        <v>90</v>
      </c>
      <c r="I700">
        <v>6</v>
      </c>
      <c r="J700" s="3">
        <v>59.58</v>
      </c>
      <c r="K700" s="2">
        <v>0.15</v>
      </c>
      <c r="L700" s="3">
        <v>303.86</v>
      </c>
      <c r="M700" s="3">
        <v>50.93</v>
      </c>
      <c r="N700" t="s">
        <v>40</v>
      </c>
      <c r="O700" s="3"/>
      <c r="P700" s="3"/>
    </row>
    <row r="701" spans="1:16" x14ac:dyDescent="0.3">
      <c r="A701" t="s">
        <v>1829</v>
      </c>
      <c r="B701" s="9" t="s">
        <v>999</v>
      </c>
      <c r="C701" s="20" t="str">
        <f t="shared" si="10"/>
        <v>Jan</v>
      </c>
      <c r="D701" t="s">
        <v>164</v>
      </c>
      <c r="E701" s="10" t="s">
        <v>16</v>
      </c>
      <c r="F701" t="s">
        <v>32</v>
      </c>
      <c r="G701" t="s">
        <v>18</v>
      </c>
      <c r="H701" t="s">
        <v>19</v>
      </c>
      <c r="I701">
        <v>8</v>
      </c>
      <c r="J701" s="3">
        <v>186.16</v>
      </c>
      <c r="K701" s="2">
        <v>0.15</v>
      </c>
      <c r="L701" s="3">
        <v>1265.8900000000001</v>
      </c>
      <c r="M701" s="3">
        <v>159.85</v>
      </c>
      <c r="N701" t="s">
        <v>20</v>
      </c>
      <c r="O701" s="3"/>
      <c r="P701" s="3"/>
    </row>
    <row r="702" spans="1:16" x14ac:dyDescent="0.3">
      <c r="A702" t="s">
        <v>1830</v>
      </c>
      <c r="B702" s="9" t="s">
        <v>796</v>
      </c>
      <c r="C702" s="20" t="str">
        <f t="shared" si="10"/>
        <v>Apr</v>
      </c>
      <c r="D702" t="s">
        <v>1831</v>
      </c>
      <c r="E702" s="10" t="s">
        <v>466</v>
      </c>
      <c r="F702" t="s">
        <v>59</v>
      </c>
      <c r="G702" t="s">
        <v>18</v>
      </c>
      <c r="H702" t="s">
        <v>19</v>
      </c>
      <c r="I702">
        <v>8</v>
      </c>
      <c r="J702" s="3">
        <v>173.77</v>
      </c>
      <c r="K702" s="2">
        <v>0</v>
      </c>
      <c r="L702" s="3">
        <v>1390.16</v>
      </c>
      <c r="M702" s="3">
        <v>129.31</v>
      </c>
      <c r="N702" t="s">
        <v>20</v>
      </c>
      <c r="O702" s="3"/>
      <c r="P702" s="3"/>
    </row>
    <row r="703" spans="1:16" x14ac:dyDescent="0.3">
      <c r="A703" t="s">
        <v>1832</v>
      </c>
      <c r="B703" s="9" t="s">
        <v>1691</v>
      </c>
      <c r="C703" s="20" t="str">
        <f t="shared" si="10"/>
        <v>Nov</v>
      </c>
      <c r="D703" t="s">
        <v>1833</v>
      </c>
      <c r="E703" s="10" t="s">
        <v>1834</v>
      </c>
      <c r="F703" t="s">
        <v>32</v>
      </c>
      <c r="G703" t="s">
        <v>33</v>
      </c>
      <c r="H703" t="s">
        <v>74</v>
      </c>
      <c r="I703">
        <v>8</v>
      </c>
      <c r="J703" s="3">
        <v>53.41</v>
      </c>
      <c r="K703" s="2">
        <v>0.15</v>
      </c>
      <c r="L703" s="3">
        <v>363.19</v>
      </c>
      <c r="M703" s="3">
        <v>73.06</v>
      </c>
      <c r="N703" t="s">
        <v>35</v>
      </c>
      <c r="O703" s="3"/>
      <c r="P703" s="3"/>
    </row>
    <row r="704" spans="1:16" x14ac:dyDescent="0.3">
      <c r="A704" t="s">
        <v>1835</v>
      </c>
      <c r="B704" s="9" t="s">
        <v>1703</v>
      </c>
      <c r="C704" s="20" t="str">
        <f t="shared" si="10"/>
        <v>Jan</v>
      </c>
      <c r="D704" t="s">
        <v>1836</v>
      </c>
      <c r="E704" s="10" t="s">
        <v>710</v>
      </c>
      <c r="F704" t="s">
        <v>59</v>
      </c>
      <c r="G704" t="s">
        <v>33</v>
      </c>
      <c r="H704" t="s">
        <v>50</v>
      </c>
      <c r="I704">
        <v>8</v>
      </c>
      <c r="J704" s="3">
        <v>203.9</v>
      </c>
      <c r="K704" s="2">
        <v>0.15</v>
      </c>
      <c r="L704" s="3">
        <v>1386.52</v>
      </c>
      <c r="M704" s="3">
        <v>373.25</v>
      </c>
      <c r="N704" t="s">
        <v>40</v>
      </c>
      <c r="O704" s="3"/>
      <c r="P704" s="3"/>
    </row>
    <row r="705" spans="1:16" x14ac:dyDescent="0.3">
      <c r="A705" t="s">
        <v>1837</v>
      </c>
      <c r="B705" s="9" t="s">
        <v>14</v>
      </c>
      <c r="C705" s="20" t="str">
        <f t="shared" si="10"/>
        <v>Aug</v>
      </c>
      <c r="D705" t="s">
        <v>1217</v>
      </c>
      <c r="E705" s="10" t="s">
        <v>427</v>
      </c>
      <c r="F705" t="s">
        <v>64</v>
      </c>
      <c r="G705" t="s">
        <v>33</v>
      </c>
      <c r="H705" t="s">
        <v>50</v>
      </c>
      <c r="I705">
        <v>4</v>
      </c>
      <c r="J705" s="3">
        <v>190.05</v>
      </c>
      <c r="K705" s="2">
        <v>0.1</v>
      </c>
      <c r="L705" s="3">
        <v>684.18</v>
      </c>
      <c r="M705" s="3">
        <v>136.34</v>
      </c>
      <c r="N705" t="s">
        <v>40</v>
      </c>
      <c r="O705" s="3"/>
      <c r="P705" s="3"/>
    </row>
    <row r="706" spans="1:16" x14ac:dyDescent="0.3">
      <c r="A706" t="s">
        <v>1838</v>
      </c>
      <c r="B706" s="9" t="s">
        <v>335</v>
      </c>
      <c r="C706" s="20" t="str">
        <f t="shared" ref="C706:C769" si="11">TEXT(B:B, "mmm")</f>
        <v>Oct</v>
      </c>
      <c r="D706" t="s">
        <v>531</v>
      </c>
      <c r="E706" s="10" t="s">
        <v>1161</v>
      </c>
      <c r="F706" t="s">
        <v>32</v>
      </c>
      <c r="G706" t="s">
        <v>26</v>
      </c>
      <c r="H706" t="s">
        <v>84</v>
      </c>
      <c r="I706">
        <v>2</v>
      </c>
      <c r="J706" s="3">
        <v>187.43</v>
      </c>
      <c r="K706" s="2">
        <v>0.05</v>
      </c>
      <c r="L706" s="3">
        <v>356.12</v>
      </c>
      <c r="M706" s="3">
        <v>51.48</v>
      </c>
      <c r="N706" t="s">
        <v>40</v>
      </c>
      <c r="O706" s="3"/>
      <c r="P706" s="3"/>
    </row>
    <row r="707" spans="1:16" x14ac:dyDescent="0.3">
      <c r="A707" t="s">
        <v>1839</v>
      </c>
      <c r="B707" s="9" t="s">
        <v>349</v>
      </c>
      <c r="C707" s="20" t="str">
        <f t="shared" si="11"/>
        <v>May</v>
      </c>
      <c r="D707" t="s">
        <v>477</v>
      </c>
      <c r="E707" s="10" t="s">
        <v>94</v>
      </c>
      <c r="F707" t="s">
        <v>17</v>
      </c>
      <c r="G707" t="s">
        <v>26</v>
      </c>
      <c r="H707" t="s">
        <v>118</v>
      </c>
      <c r="I707">
        <v>5</v>
      </c>
      <c r="J707" s="3">
        <v>133.19</v>
      </c>
      <c r="K707" s="2">
        <v>0</v>
      </c>
      <c r="L707" s="3">
        <v>665.95</v>
      </c>
      <c r="M707" s="3">
        <v>137.43</v>
      </c>
      <c r="N707" t="s">
        <v>35</v>
      </c>
      <c r="O707" s="3"/>
      <c r="P707" s="3"/>
    </row>
    <row r="708" spans="1:16" x14ac:dyDescent="0.3">
      <c r="A708" t="s">
        <v>1840</v>
      </c>
      <c r="B708" s="9" t="s">
        <v>1650</v>
      </c>
      <c r="C708" s="20" t="str">
        <f t="shared" si="11"/>
        <v>Sep</v>
      </c>
      <c r="D708" t="s">
        <v>1000</v>
      </c>
      <c r="E708" s="10" t="s">
        <v>532</v>
      </c>
      <c r="F708" t="s">
        <v>17</v>
      </c>
      <c r="G708" t="s">
        <v>26</v>
      </c>
      <c r="H708" t="s">
        <v>84</v>
      </c>
      <c r="I708">
        <v>3</v>
      </c>
      <c r="J708" s="3">
        <v>193.8</v>
      </c>
      <c r="K708" s="2">
        <v>0.15</v>
      </c>
      <c r="L708" s="3">
        <v>494.19</v>
      </c>
      <c r="M708" s="3">
        <v>134.32</v>
      </c>
      <c r="N708" t="s">
        <v>35</v>
      </c>
      <c r="O708" s="3"/>
      <c r="P708" s="3"/>
    </row>
    <row r="709" spans="1:16" x14ac:dyDescent="0.3">
      <c r="A709" t="s">
        <v>1841</v>
      </c>
      <c r="B709" s="9" t="s">
        <v>964</v>
      </c>
      <c r="C709" s="20" t="str">
        <f t="shared" si="11"/>
        <v>Oct</v>
      </c>
      <c r="D709" t="s">
        <v>1842</v>
      </c>
      <c r="E709" s="10" t="s">
        <v>1426</v>
      </c>
      <c r="F709" t="s">
        <v>32</v>
      </c>
      <c r="G709" t="s">
        <v>33</v>
      </c>
      <c r="H709" t="s">
        <v>34</v>
      </c>
      <c r="I709">
        <v>5</v>
      </c>
      <c r="J709" s="3">
        <v>29.82</v>
      </c>
      <c r="K709" s="2">
        <v>0</v>
      </c>
      <c r="L709" s="3">
        <v>149.1</v>
      </c>
      <c r="M709" s="3">
        <v>30.53</v>
      </c>
      <c r="N709" t="s">
        <v>35</v>
      </c>
      <c r="O709" s="3"/>
      <c r="P709" s="3"/>
    </row>
    <row r="710" spans="1:16" x14ac:dyDescent="0.3">
      <c r="A710" t="s">
        <v>1843</v>
      </c>
      <c r="B710" s="9" t="s">
        <v>889</v>
      </c>
      <c r="C710" s="20" t="str">
        <f t="shared" si="11"/>
        <v>Dec</v>
      </c>
      <c r="D710" t="s">
        <v>975</v>
      </c>
      <c r="E710" s="10" t="s">
        <v>688</v>
      </c>
      <c r="F710" t="s">
        <v>64</v>
      </c>
      <c r="G710" t="s">
        <v>18</v>
      </c>
      <c r="H710" t="s">
        <v>19</v>
      </c>
      <c r="I710">
        <v>4</v>
      </c>
      <c r="J710" s="3">
        <v>66.7</v>
      </c>
      <c r="K710" s="2">
        <v>0.05</v>
      </c>
      <c r="L710" s="3">
        <v>253.46</v>
      </c>
      <c r="M710" s="3">
        <v>27.62</v>
      </c>
      <c r="N710" t="s">
        <v>35</v>
      </c>
      <c r="O710" s="3"/>
      <c r="P710" s="3"/>
    </row>
    <row r="711" spans="1:16" x14ac:dyDescent="0.3">
      <c r="A711" t="s">
        <v>1844</v>
      </c>
      <c r="B711" s="9" t="s">
        <v>1773</v>
      </c>
      <c r="C711" s="20" t="str">
        <f t="shared" si="11"/>
        <v>Nov</v>
      </c>
      <c r="D711" t="s">
        <v>640</v>
      </c>
      <c r="E711" s="10" t="s">
        <v>244</v>
      </c>
      <c r="F711" t="s">
        <v>64</v>
      </c>
      <c r="G711" t="s">
        <v>26</v>
      </c>
      <c r="H711" t="s">
        <v>84</v>
      </c>
      <c r="I711">
        <v>7</v>
      </c>
      <c r="J711" s="3">
        <v>97.89</v>
      </c>
      <c r="K711" s="2">
        <v>0.05</v>
      </c>
      <c r="L711" s="3">
        <v>650.97</v>
      </c>
      <c r="M711" s="3">
        <v>192.86</v>
      </c>
      <c r="N711" t="s">
        <v>35</v>
      </c>
      <c r="O711" s="3"/>
      <c r="P711" s="3"/>
    </row>
    <row r="712" spans="1:16" x14ac:dyDescent="0.3">
      <c r="A712" t="s">
        <v>1845</v>
      </c>
      <c r="B712" s="9" t="s">
        <v>1846</v>
      </c>
      <c r="C712" s="20" t="str">
        <f t="shared" si="11"/>
        <v>Jul</v>
      </c>
      <c r="D712" t="s">
        <v>941</v>
      </c>
      <c r="E712" s="10" t="s">
        <v>1072</v>
      </c>
      <c r="F712" t="s">
        <v>32</v>
      </c>
      <c r="G712" t="s">
        <v>33</v>
      </c>
      <c r="H712" t="s">
        <v>34</v>
      </c>
      <c r="I712">
        <v>6</v>
      </c>
      <c r="J712" s="3">
        <v>175.66</v>
      </c>
      <c r="K712" s="2">
        <v>0.15</v>
      </c>
      <c r="L712" s="3">
        <v>895.87</v>
      </c>
      <c r="M712" s="3">
        <v>86.55</v>
      </c>
      <c r="N712" t="s">
        <v>40</v>
      </c>
      <c r="O712" s="3"/>
      <c r="P712" s="3"/>
    </row>
    <row r="713" spans="1:16" x14ac:dyDescent="0.3">
      <c r="A713" t="s">
        <v>1847</v>
      </c>
      <c r="B713" s="9" t="s">
        <v>1276</v>
      </c>
      <c r="C713" s="20" t="str">
        <f t="shared" si="11"/>
        <v>Jul</v>
      </c>
      <c r="D713" t="s">
        <v>1848</v>
      </c>
      <c r="E713" s="10" t="s">
        <v>1849</v>
      </c>
      <c r="F713" t="s">
        <v>59</v>
      </c>
      <c r="G713" t="s">
        <v>18</v>
      </c>
      <c r="H713" t="s">
        <v>45</v>
      </c>
      <c r="I713">
        <v>8</v>
      </c>
      <c r="J713" s="3">
        <v>214.84</v>
      </c>
      <c r="K713" s="2">
        <v>0.15</v>
      </c>
      <c r="L713" s="3">
        <v>1460.91</v>
      </c>
      <c r="M713" s="3">
        <v>426.2</v>
      </c>
      <c r="N713" t="s">
        <v>40</v>
      </c>
      <c r="O713" s="3"/>
      <c r="P713" s="3"/>
    </row>
    <row r="714" spans="1:16" x14ac:dyDescent="0.3">
      <c r="A714" t="s">
        <v>1850</v>
      </c>
      <c r="B714" s="9" t="s">
        <v>1280</v>
      </c>
      <c r="C714" s="20" t="str">
        <f t="shared" si="11"/>
        <v>Apr</v>
      </c>
      <c r="D714" t="s">
        <v>129</v>
      </c>
      <c r="E714" s="10" t="s">
        <v>1851</v>
      </c>
      <c r="F714" t="s">
        <v>25</v>
      </c>
      <c r="G714" t="s">
        <v>89</v>
      </c>
      <c r="H714" t="s">
        <v>131</v>
      </c>
      <c r="I714">
        <v>6</v>
      </c>
      <c r="J714" s="3">
        <v>197.3</v>
      </c>
      <c r="K714" s="2">
        <v>0</v>
      </c>
      <c r="L714" s="3">
        <v>1183.8</v>
      </c>
      <c r="M714" s="3">
        <v>126.63</v>
      </c>
      <c r="N714" t="s">
        <v>20</v>
      </c>
      <c r="O714" s="3"/>
      <c r="P714" s="3"/>
    </row>
    <row r="715" spans="1:16" x14ac:dyDescent="0.3">
      <c r="A715" t="s">
        <v>1852</v>
      </c>
      <c r="B715" s="9" t="s">
        <v>1853</v>
      </c>
      <c r="C715" s="20" t="str">
        <f t="shared" si="11"/>
        <v>Jan</v>
      </c>
      <c r="D715" t="s">
        <v>586</v>
      </c>
      <c r="E715" s="10" t="s">
        <v>542</v>
      </c>
      <c r="F715" t="s">
        <v>64</v>
      </c>
      <c r="G715" t="s">
        <v>26</v>
      </c>
      <c r="H715" t="s">
        <v>27</v>
      </c>
      <c r="I715">
        <v>6</v>
      </c>
      <c r="J715" s="3">
        <v>149.57</v>
      </c>
      <c r="K715" s="2">
        <v>0.15</v>
      </c>
      <c r="L715" s="3">
        <v>762.81</v>
      </c>
      <c r="M715" s="3">
        <v>190.87</v>
      </c>
      <c r="N715" t="s">
        <v>40</v>
      </c>
      <c r="O715" s="3"/>
      <c r="P715" s="3"/>
    </row>
    <row r="716" spans="1:16" x14ac:dyDescent="0.3">
      <c r="A716" t="s">
        <v>1854</v>
      </c>
      <c r="B716" s="9" t="s">
        <v>1049</v>
      </c>
      <c r="C716" s="20" t="str">
        <f t="shared" si="11"/>
        <v>Aug</v>
      </c>
      <c r="D716" t="s">
        <v>802</v>
      </c>
      <c r="E716" s="10" t="s">
        <v>1161</v>
      </c>
      <c r="F716" t="s">
        <v>64</v>
      </c>
      <c r="G716" t="s">
        <v>18</v>
      </c>
      <c r="H716" t="s">
        <v>45</v>
      </c>
      <c r="I716">
        <v>7</v>
      </c>
      <c r="J716" s="3">
        <v>223.66</v>
      </c>
      <c r="K716" s="2">
        <v>0.05</v>
      </c>
      <c r="L716" s="3">
        <v>1487.34</v>
      </c>
      <c r="M716" s="3">
        <v>193.63</v>
      </c>
      <c r="N716" t="s">
        <v>35</v>
      </c>
      <c r="O716" s="3"/>
      <c r="P716" s="3"/>
    </row>
    <row r="717" spans="1:16" x14ac:dyDescent="0.3">
      <c r="A717" t="s">
        <v>1855</v>
      </c>
      <c r="B717" s="9" t="s">
        <v>120</v>
      </c>
      <c r="C717" s="20" t="str">
        <f t="shared" si="11"/>
        <v>Aug</v>
      </c>
      <c r="D717" t="s">
        <v>567</v>
      </c>
      <c r="E717" s="10" t="s">
        <v>1856</v>
      </c>
      <c r="F717" t="s">
        <v>64</v>
      </c>
      <c r="G717" t="s">
        <v>18</v>
      </c>
      <c r="H717" t="s">
        <v>19</v>
      </c>
      <c r="I717">
        <v>8</v>
      </c>
      <c r="J717" s="3">
        <v>84.23</v>
      </c>
      <c r="K717" s="2">
        <v>0</v>
      </c>
      <c r="L717" s="3">
        <v>673.84</v>
      </c>
      <c r="M717" s="3">
        <v>135.71</v>
      </c>
      <c r="N717" t="s">
        <v>20</v>
      </c>
      <c r="O717" s="3"/>
      <c r="P717" s="3"/>
    </row>
    <row r="718" spans="1:16" x14ac:dyDescent="0.3">
      <c r="A718" t="s">
        <v>1857</v>
      </c>
      <c r="B718" s="9" t="s">
        <v>432</v>
      </c>
      <c r="C718" s="20" t="str">
        <f t="shared" si="11"/>
        <v>Jul</v>
      </c>
      <c r="D718" t="s">
        <v>1858</v>
      </c>
      <c r="E718" s="10" t="s">
        <v>1859</v>
      </c>
      <c r="F718" t="s">
        <v>25</v>
      </c>
      <c r="G718" t="s">
        <v>33</v>
      </c>
      <c r="H718" t="s">
        <v>74</v>
      </c>
      <c r="I718">
        <v>1</v>
      </c>
      <c r="J718" s="3">
        <v>24.09</v>
      </c>
      <c r="K718" s="2">
        <v>0</v>
      </c>
      <c r="L718" s="3">
        <v>24.09</v>
      </c>
      <c r="M718" s="3">
        <v>2.81</v>
      </c>
      <c r="N718" t="s">
        <v>35</v>
      </c>
      <c r="O718" s="3"/>
      <c r="P718" s="3"/>
    </row>
    <row r="719" spans="1:16" x14ac:dyDescent="0.3">
      <c r="A719" t="s">
        <v>1863</v>
      </c>
      <c r="B719" s="9" t="s">
        <v>701</v>
      </c>
      <c r="C719" s="20" t="str">
        <f t="shared" si="11"/>
        <v>Nov</v>
      </c>
      <c r="D719" t="s">
        <v>597</v>
      </c>
      <c r="E719" s="10" t="s">
        <v>1479</v>
      </c>
      <c r="F719" t="s">
        <v>17</v>
      </c>
      <c r="G719" t="s">
        <v>33</v>
      </c>
      <c r="H719" t="s">
        <v>50</v>
      </c>
      <c r="I719">
        <v>1</v>
      </c>
      <c r="J719" s="3">
        <v>127.67</v>
      </c>
      <c r="K719" s="2">
        <v>0</v>
      </c>
      <c r="L719" s="3">
        <v>127.67</v>
      </c>
      <c r="M719" s="3">
        <v>12.05</v>
      </c>
      <c r="N719" t="s">
        <v>20</v>
      </c>
      <c r="O719" s="3"/>
      <c r="P719" s="3"/>
    </row>
    <row r="720" spans="1:16" x14ac:dyDescent="0.3">
      <c r="A720" t="s">
        <v>1864</v>
      </c>
      <c r="B720" s="9" t="s">
        <v>1350</v>
      </c>
      <c r="C720" s="20" t="str">
        <f t="shared" si="11"/>
        <v>Sep</v>
      </c>
      <c r="D720" t="s">
        <v>471</v>
      </c>
      <c r="E720" s="10" t="s">
        <v>1865</v>
      </c>
      <c r="F720" t="s">
        <v>64</v>
      </c>
      <c r="G720" t="s">
        <v>18</v>
      </c>
      <c r="H720" t="s">
        <v>45</v>
      </c>
      <c r="I720">
        <v>6</v>
      </c>
      <c r="J720" s="3">
        <v>97.67</v>
      </c>
      <c r="K720" s="2">
        <v>0.05</v>
      </c>
      <c r="L720" s="3">
        <v>556.72</v>
      </c>
      <c r="M720" s="3">
        <v>59.45</v>
      </c>
      <c r="N720" t="s">
        <v>20</v>
      </c>
      <c r="O720" s="3"/>
      <c r="P720" s="3"/>
    </row>
    <row r="721" spans="1:16" x14ac:dyDescent="0.3">
      <c r="A721" t="s">
        <v>1866</v>
      </c>
      <c r="B721" s="9" t="s">
        <v>1626</v>
      </c>
      <c r="C721" s="20" t="str">
        <f t="shared" si="11"/>
        <v>Oct</v>
      </c>
      <c r="D721" t="s">
        <v>916</v>
      </c>
      <c r="E721" s="10" t="s">
        <v>63</v>
      </c>
      <c r="F721" t="s">
        <v>64</v>
      </c>
      <c r="G721" t="s">
        <v>26</v>
      </c>
      <c r="H721" t="s">
        <v>27</v>
      </c>
      <c r="I721">
        <v>7</v>
      </c>
      <c r="J721" s="3">
        <v>146.66999999999999</v>
      </c>
      <c r="K721" s="2">
        <v>0</v>
      </c>
      <c r="L721" s="3">
        <v>1026.69</v>
      </c>
      <c r="M721" s="3">
        <v>212.43</v>
      </c>
      <c r="N721" t="s">
        <v>20</v>
      </c>
      <c r="O721" s="3"/>
      <c r="P721" s="3"/>
    </row>
    <row r="722" spans="1:16" x14ac:dyDescent="0.3">
      <c r="A722" t="s">
        <v>1867</v>
      </c>
      <c r="B722" s="9" t="s">
        <v>1868</v>
      </c>
      <c r="C722" s="20" t="str">
        <f t="shared" si="11"/>
        <v>Nov</v>
      </c>
      <c r="D722" t="s">
        <v>211</v>
      </c>
      <c r="E722" s="10" t="s">
        <v>189</v>
      </c>
      <c r="F722" t="s">
        <v>32</v>
      </c>
      <c r="G722" t="s">
        <v>33</v>
      </c>
      <c r="H722" t="s">
        <v>34</v>
      </c>
      <c r="I722">
        <v>7</v>
      </c>
      <c r="J722" s="3">
        <v>230.33</v>
      </c>
      <c r="K722" s="2">
        <v>0.15</v>
      </c>
      <c r="L722" s="3">
        <v>1370.46</v>
      </c>
      <c r="M722" s="3">
        <v>251.98</v>
      </c>
      <c r="N722" t="s">
        <v>40</v>
      </c>
      <c r="O722" s="3"/>
      <c r="P722" s="3"/>
    </row>
    <row r="723" spans="1:16" x14ac:dyDescent="0.3">
      <c r="A723" t="s">
        <v>1869</v>
      </c>
      <c r="B723" s="9" t="s">
        <v>140</v>
      </c>
      <c r="C723" s="20" t="str">
        <f t="shared" si="11"/>
        <v>May</v>
      </c>
      <c r="D723" t="s">
        <v>876</v>
      </c>
      <c r="E723" s="10" t="s">
        <v>495</v>
      </c>
      <c r="F723" t="s">
        <v>59</v>
      </c>
      <c r="G723" t="s">
        <v>33</v>
      </c>
      <c r="H723" t="s">
        <v>34</v>
      </c>
      <c r="I723">
        <v>7</v>
      </c>
      <c r="J723" s="3">
        <v>139.38</v>
      </c>
      <c r="K723" s="2">
        <v>0.05</v>
      </c>
      <c r="L723" s="3">
        <v>926.88</v>
      </c>
      <c r="M723" s="3">
        <v>230.62</v>
      </c>
      <c r="N723" t="s">
        <v>20</v>
      </c>
      <c r="O723" s="3"/>
      <c r="P723" s="3"/>
    </row>
    <row r="724" spans="1:16" x14ac:dyDescent="0.3">
      <c r="A724" t="s">
        <v>1870</v>
      </c>
      <c r="B724" s="9" t="s">
        <v>548</v>
      </c>
      <c r="C724" s="20" t="str">
        <f t="shared" si="11"/>
        <v>Aug</v>
      </c>
      <c r="D724" t="s">
        <v>994</v>
      </c>
      <c r="E724" s="10" t="s">
        <v>1822</v>
      </c>
      <c r="F724" t="s">
        <v>25</v>
      </c>
      <c r="G724" t="s">
        <v>18</v>
      </c>
      <c r="H724" t="s">
        <v>19</v>
      </c>
      <c r="I724">
        <v>4</v>
      </c>
      <c r="J724" s="3">
        <v>196.43</v>
      </c>
      <c r="K724" s="2">
        <v>0.1</v>
      </c>
      <c r="L724" s="3">
        <v>707.15</v>
      </c>
      <c r="M724" s="3">
        <v>152.65</v>
      </c>
      <c r="N724" t="s">
        <v>20</v>
      </c>
      <c r="O724" s="3"/>
      <c r="P724" s="3"/>
    </row>
    <row r="725" spans="1:16" x14ac:dyDescent="0.3">
      <c r="A725" t="s">
        <v>1871</v>
      </c>
      <c r="B725" s="9" t="s">
        <v>1581</v>
      </c>
      <c r="C725" s="20" t="str">
        <f t="shared" si="11"/>
        <v>May</v>
      </c>
      <c r="D725" t="s">
        <v>1728</v>
      </c>
      <c r="E725" s="10" t="s">
        <v>266</v>
      </c>
      <c r="F725" t="s">
        <v>59</v>
      </c>
      <c r="G725" t="s">
        <v>89</v>
      </c>
      <c r="H725" t="s">
        <v>90</v>
      </c>
      <c r="I725">
        <v>1</v>
      </c>
      <c r="J725" s="3">
        <v>210.96</v>
      </c>
      <c r="K725" s="2">
        <v>0.1</v>
      </c>
      <c r="L725" s="3">
        <v>189.86</v>
      </c>
      <c r="M725" s="3">
        <v>41.08</v>
      </c>
      <c r="N725" t="s">
        <v>20</v>
      </c>
      <c r="O725" s="3"/>
      <c r="P725" s="3"/>
    </row>
    <row r="726" spans="1:16" x14ac:dyDescent="0.3">
      <c r="A726" t="s">
        <v>1872</v>
      </c>
      <c r="B726" s="9" t="s">
        <v>1483</v>
      </c>
      <c r="C726" s="20" t="str">
        <f t="shared" si="11"/>
        <v>Dec</v>
      </c>
      <c r="D726" t="s">
        <v>307</v>
      </c>
      <c r="E726" s="10" t="s">
        <v>874</v>
      </c>
      <c r="F726" t="s">
        <v>32</v>
      </c>
      <c r="G726" t="s">
        <v>26</v>
      </c>
      <c r="H726" t="s">
        <v>84</v>
      </c>
      <c r="I726">
        <v>4</v>
      </c>
      <c r="J726" s="3">
        <v>130.47</v>
      </c>
      <c r="K726" s="2">
        <v>0.15</v>
      </c>
      <c r="L726" s="3">
        <v>443.6</v>
      </c>
      <c r="M726" s="3">
        <v>71.86</v>
      </c>
      <c r="N726" t="s">
        <v>40</v>
      </c>
      <c r="O726" s="3"/>
      <c r="P726" s="3"/>
    </row>
    <row r="727" spans="1:16" x14ac:dyDescent="0.3">
      <c r="A727" t="s">
        <v>1873</v>
      </c>
      <c r="B727" s="9" t="s">
        <v>697</v>
      </c>
      <c r="C727" s="20" t="str">
        <f t="shared" si="11"/>
        <v>Oct</v>
      </c>
      <c r="D727" t="s">
        <v>116</v>
      </c>
      <c r="E727" s="10" t="s">
        <v>322</v>
      </c>
      <c r="F727" t="s">
        <v>17</v>
      </c>
      <c r="G727" t="s">
        <v>18</v>
      </c>
      <c r="H727" t="s">
        <v>45</v>
      </c>
      <c r="I727">
        <v>1</v>
      </c>
      <c r="J727" s="3">
        <v>84.18</v>
      </c>
      <c r="K727" s="2">
        <v>0.1</v>
      </c>
      <c r="L727" s="3">
        <v>75.760000000000005</v>
      </c>
      <c r="M727" s="3">
        <v>16.899999999999999</v>
      </c>
      <c r="N727" t="s">
        <v>35</v>
      </c>
      <c r="O727" s="3"/>
      <c r="P727" s="3"/>
    </row>
    <row r="728" spans="1:16" x14ac:dyDescent="0.3">
      <c r="A728" t="s">
        <v>1874</v>
      </c>
      <c r="B728" s="9" t="s">
        <v>1015</v>
      </c>
      <c r="C728" s="20" t="str">
        <f t="shared" si="11"/>
        <v>Mar</v>
      </c>
      <c r="D728" t="s">
        <v>800</v>
      </c>
      <c r="E728" s="10" t="s">
        <v>1072</v>
      </c>
      <c r="F728" t="s">
        <v>64</v>
      </c>
      <c r="G728" t="s">
        <v>18</v>
      </c>
      <c r="H728" t="s">
        <v>79</v>
      </c>
      <c r="I728">
        <v>6</v>
      </c>
      <c r="J728" s="3">
        <v>239.5</v>
      </c>
      <c r="K728" s="2">
        <v>0</v>
      </c>
      <c r="L728" s="3">
        <v>1437</v>
      </c>
      <c r="M728" s="3">
        <v>303.83</v>
      </c>
      <c r="N728" t="s">
        <v>20</v>
      </c>
      <c r="O728" s="3"/>
      <c r="P728" s="3"/>
    </row>
    <row r="729" spans="1:16" x14ac:dyDescent="0.3">
      <c r="A729" t="s">
        <v>1875</v>
      </c>
      <c r="B729" s="9" t="s">
        <v>66</v>
      </c>
      <c r="C729" s="20" t="str">
        <f t="shared" si="11"/>
        <v>Mar</v>
      </c>
      <c r="D729" t="s">
        <v>926</v>
      </c>
      <c r="E729" s="10" t="s">
        <v>300</v>
      </c>
      <c r="F729" t="s">
        <v>32</v>
      </c>
      <c r="G729" t="s">
        <v>33</v>
      </c>
      <c r="H729" t="s">
        <v>69</v>
      </c>
      <c r="I729">
        <v>5</v>
      </c>
      <c r="J729" s="3">
        <v>24.06</v>
      </c>
      <c r="K729" s="2">
        <v>0</v>
      </c>
      <c r="L729" s="3">
        <v>120.3</v>
      </c>
      <c r="M729" s="3">
        <v>25.94</v>
      </c>
      <c r="N729" t="s">
        <v>35</v>
      </c>
      <c r="O729" s="3"/>
      <c r="P729" s="3"/>
    </row>
    <row r="730" spans="1:16" x14ac:dyDescent="0.3">
      <c r="A730" t="s">
        <v>1876</v>
      </c>
      <c r="B730" s="9" t="s">
        <v>1198</v>
      </c>
      <c r="C730" s="20" t="str">
        <f t="shared" si="11"/>
        <v>Jul</v>
      </c>
      <c r="D730" t="s">
        <v>1102</v>
      </c>
      <c r="E730" s="10" t="s">
        <v>1856</v>
      </c>
      <c r="F730" t="s">
        <v>64</v>
      </c>
      <c r="G730" t="s">
        <v>26</v>
      </c>
      <c r="H730" t="s">
        <v>118</v>
      </c>
      <c r="I730">
        <v>2</v>
      </c>
      <c r="J730" s="3">
        <v>151.47</v>
      </c>
      <c r="K730" s="2">
        <v>0.1</v>
      </c>
      <c r="L730" s="3">
        <v>272.64999999999998</v>
      </c>
      <c r="M730" s="3">
        <v>51.96</v>
      </c>
      <c r="N730" t="s">
        <v>35</v>
      </c>
      <c r="O730" s="3"/>
      <c r="P730" s="3"/>
    </row>
    <row r="731" spans="1:16" x14ac:dyDescent="0.3">
      <c r="A731" t="s">
        <v>1877</v>
      </c>
      <c r="B731" s="9" t="s">
        <v>728</v>
      </c>
      <c r="C731" s="20" t="str">
        <f t="shared" si="11"/>
        <v>Jun</v>
      </c>
      <c r="D731" t="s">
        <v>93</v>
      </c>
      <c r="E731" s="10" t="s">
        <v>445</v>
      </c>
      <c r="F731" t="s">
        <v>64</v>
      </c>
      <c r="G731" t="s">
        <v>18</v>
      </c>
      <c r="H731" t="s">
        <v>79</v>
      </c>
      <c r="I731">
        <v>6</v>
      </c>
      <c r="J731" s="3">
        <v>117.25</v>
      </c>
      <c r="K731" s="2">
        <v>0.05</v>
      </c>
      <c r="L731" s="3">
        <v>668.32</v>
      </c>
      <c r="M731" s="3">
        <v>178.44</v>
      </c>
      <c r="N731" t="s">
        <v>20</v>
      </c>
      <c r="O731" s="3"/>
      <c r="P731" s="3"/>
    </row>
    <row r="732" spans="1:16" x14ac:dyDescent="0.3">
      <c r="A732" t="s">
        <v>1878</v>
      </c>
      <c r="B732" s="9" t="s">
        <v>1879</v>
      </c>
      <c r="C732" s="20" t="str">
        <f t="shared" si="11"/>
        <v>Jul</v>
      </c>
      <c r="D732" t="s">
        <v>57</v>
      </c>
      <c r="E732" s="10" t="s">
        <v>1278</v>
      </c>
      <c r="F732" t="s">
        <v>64</v>
      </c>
      <c r="G732" t="s">
        <v>89</v>
      </c>
      <c r="H732" t="s">
        <v>90</v>
      </c>
      <c r="I732">
        <v>5</v>
      </c>
      <c r="J732" s="3">
        <v>195.46</v>
      </c>
      <c r="K732" s="2">
        <v>0.15</v>
      </c>
      <c r="L732" s="3">
        <v>830.71</v>
      </c>
      <c r="M732" s="3">
        <v>240.3</v>
      </c>
      <c r="N732" t="s">
        <v>20</v>
      </c>
      <c r="O732" s="3"/>
      <c r="P732" s="3"/>
    </row>
    <row r="733" spans="1:16" x14ac:dyDescent="0.3">
      <c r="A733" t="s">
        <v>1880</v>
      </c>
      <c r="B733" s="9" t="s">
        <v>1108</v>
      </c>
      <c r="C733" s="20" t="str">
        <f t="shared" si="11"/>
        <v>Dec</v>
      </c>
      <c r="D733" t="s">
        <v>1881</v>
      </c>
      <c r="E733" s="10" t="s">
        <v>141</v>
      </c>
      <c r="F733" t="s">
        <v>32</v>
      </c>
      <c r="G733" t="s">
        <v>26</v>
      </c>
      <c r="H733" t="s">
        <v>27</v>
      </c>
      <c r="I733">
        <v>3</v>
      </c>
      <c r="J733" s="3">
        <v>123.97</v>
      </c>
      <c r="K733" s="2">
        <v>0.05</v>
      </c>
      <c r="L733" s="3">
        <v>353.31</v>
      </c>
      <c r="M733" s="3">
        <v>90.81</v>
      </c>
      <c r="N733" t="s">
        <v>40</v>
      </c>
      <c r="O733" s="3"/>
      <c r="P733" s="3"/>
    </row>
    <row r="734" spans="1:16" x14ac:dyDescent="0.3">
      <c r="A734" t="s">
        <v>1882</v>
      </c>
      <c r="B734" s="9" t="s">
        <v>1883</v>
      </c>
      <c r="C734" s="20" t="str">
        <f t="shared" si="11"/>
        <v>Jun</v>
      </c>
      <c r="D734" t="s">
        <v>1090</v>
      </c>
      <c r="E734" s="10" t="s">
        <v>1884</v>
      </c>
      <c r="F734" t="s">
        <v>17</v>
      </c>
      <c r="G734" t="s">
        <v>33</v>
      </c>
      <c r="H734" t="s">
        <v>69</v>
      </c>
      <c r="I734">
        <v>6</v>
      </c>
      <c r="J734" s="3">
        <v>140.32</v>
      </c>
      <c r="K734" s="2">
        <v>0.05</v>
      </c>
      <c r="L734" s="3">
        <v>799.82</v>
      </c>
      <c r="M734" s="3">
        <v>181.84</v>
      </c>
      <c r="N734" t="s">
        <v>35</v>
      </c>
      <c r="O734" s="3"/>
      <c r="P734" s="3"/>
    </row>
    <row r="735" spans="1:16" x14ac:dyDescent="0.3">
      <c r="A735" t="s">
        <v>1885</v>
      </c>
      <c r="B735" s="9" t="s">
        <v>1226</v>
      </c>
      <c r="C735" s="20" t="str">
        <f t="shared" si="11"/>
        <v>Nov</v>
      </c>
      <c r="D735" t="s">
        <v>729</v>
      </c>
      <c r="E735" s="10" t="s">
        <v>851</v>
      </c>
      <c r="F735" t="s">
        <v>64</v>
      </c>
      <c r="G735" t="s">
        <v>89</v>
      </c>
      <c r="H735" t="s">
        <v>90</v>
      </c>
      <c r="I735">
        <v>7</v>
      </c>
      <c r="J735" s="3">
        <v>76.91</v>
      </c>
      <c r="K735" s="2">
        <v>0.15</v>
      </c>
      <c r="L735" s="3">
        <v>457.61</v>
      </c>
      <c r="M735" s="3">
        <v>95</v>
      </c>
      <c r="N735" t="s">
        <v>40</v>
      </c>
      <c r="O735" s="3"/>
      <c r="P735" s="3"/>
    </row>
    <row r="736" spans="1:16" x14ac:dyDescent="0.3">
      <c r="A736" t="s">
        <v>1886</v>
      </c>
      <c r="B736" s="9" t="s">
        <v>385</v>
      </c>
      <c r="C736" s="20" t="str">
        <f t="shared" si="11"/>
        <v>Aug</v>
      </c>
      <c r="D736" t="s">
        <v>1817</v>
      </c>
      <c r="E736" s="10" t="s">
        <v>427</v>
      </c>
      <c r="F736" t="s">
        <v>17</v>
      </c>
      <c r="G736" t="s">
        <v>18</v>
      </c>
      <c r="H736" t="s">
        <v>79</v>
      </c>
      <c r="I736">
        <v>3</v>
      </c>
      <c r="J736" s="3">
        <v>241.6</v>
      </c>
      <c r="K736" s="2">
        <v>0.1</v>
      </c>
      <c r="L736" s="3">
        <v>652.32000000000005</v>
      </c>
      <c r="M736" s="3">
        <v>153.69</v>
      </c>
      <c r="N736" t="s">
        <v>35</v>
      </c>
      <c r="O736" s="3"/>
      <c r="P736" s="3"/>
    </row>
    <row r="737" spans="1:16" x14ac:dyDescent="0.3">
      <c r="A737" t="s">
        <v>1887</v>
      </c>
      <c r="B737" s="9" t="s">
        <v>544</v>
      </c>
      <c r="C737" s="20" t="str">
        <f t="shared" si="11"/>
        <v>Dec</v>
      </c>
      <c r="D737" t="s">
        <v>1888</v>
      </c>
      <c r="E737" s="10" t="s">
        <v>1889</v>
      </c>
      <c r="F737" t="s">
        <v>64</v>
      </c>
      <c r="G737" t="s">
        <v>89</v>
      </c>
      <c r="H737" t="s">
        <v>131</v>
      </c>
      <c r="I737">
        <v>1</v>
      </c>
      <c r="J737" s="3">
        <v>31.95</v>
      </c>
      <c r="K737" s="2">
        <v>0</v>
      </c>
      <c r="L737" s="3">
        <v>31.95</v>
      </c>
      <c r="M737" s="3">
        <v>8.08</v>
      </c>
      <c r="N737" t="s">
        <v>20</v>
      </c>
      <c r="O737" s="3"/>
      <c r="P737" s="3"/>
    </row>
    <row r="738" spans="1:16" x14ac:dyDescent="0.3">
      <c r="A738" t="s">
        <v>1890</v>
      </c>
      <c r="B738" s="9" t="s">
        <v>708</v>
      </c>
      <c r="C738" s="20" t="str">
        <f t="shared" si="11"/>
        <v>Oct</v>
      </c>
      <c r="D738" t="s">
        <v>565</v>
      </c>
      <c r="E738" s="10" t="s">
        <v>995</v>
      </c>
      <c r="F738" t="s">
        <v>64</v>
      </c>
      <c r="G738" t="s">
        <v>26</v>
      </c>
      <c r="H738" t="s">
        <v>27</v>
      </c>
      <c r="I738">
        <v>8</v>
      </c>
      <c r="J738" s="3">
        <v>56.13</v>
      </c>
      <c r="K738" s="2">
        <v>0.1</v>
      </c>
      <c r="L738" s="3">
        <v>404.14</v>
      </c>
      <c r="M738" s="3">
        <v>82.94</v>
      </c>
      <c r="N738" t="s">
        <v>20</v>
      </c>
      <c r="O738" s="3"/>
      <c r="P738" s="3"/>
    </row>
    <row r="739" spans="1:16" x14ac:dyDescent="0.3">
      <c r="A739" t="s">
        <v>1891</v>
      </c>
      <c r="B739" s="9" t="s">
        <v>1005</v>
      </c>
      <c r="C739" s="20" t="str">
        <f t="shared" si="11"/>
        <v>Apr</v>
      </c>
      <c r="D739" t="s">
        <v>1861</v>
      </c>
      <c r="E739" s="10" t="s">
        <v>233</v>
      </c>
      <c r="F739" t="s">
        <v>64</v>
      </c>
      <c r="G739" t="s">
        <v>18</v>
      </c>
      <c r="H739" t="s">
        <v>45</v>
      </c>
      <c r="I739">
        <v>2</v>
      </c>
      <c r="J739" s="3">
        <v>75.19</v>
      </c>
      <c r="K739" s="2">
        <v>0.05</v>
      </c>
      <c r="L739" s="3">
        <v>142.86000000000001</v>
      </c>
      <c r="M739" s="3">
        <v>14.69</v>
      </c>
      <c r="N739" t="s">
        <v>40</v>
      </c>
      <c r="O739" s="3"/>
      <c r="P739" s="3"/>
    </row>
    <row r="740" spans="1:16" x14ac:dyDescent="0.3">
      <c r="A740" t="s">
        <v>1892</v>
      </c>
      <c r="B740" s="9" t="s">
        <v>294</v>
      </c>
      <c r="C740" s="20" t="str">
        <f t="shared" si="11"/>
        <v>Sep</v>
      </c>
      <c r="D740" t="s">
        <v>1558</v>
      </c>
      <c r="E740" s="10" t="s">
        <v>1734</v>
      </c>
      <c r="F740" t="s">
        <v>32</v>
      </c>
      <c r="G740" t="s">
        <v>33</v>
      </c>
      <c r="H740" t="s">
        <v>69</v>
      </c>
      <c r="I740">
        <v>8</v>
      </c>
      <c r="J740" s="3">
        <v>207.99</v>
      </c>
      <c r="K740" s="2">
        <v>0</v>
      </c>
      <c r="L740" s="3">
        <v>1663.92</v>
      </c>
      <c r="M740" s="3">
        <v>270.39999999999998</v>
      </c>
      <c r="N740" t="s">
        <v>40</v>
      </c>
      <c r="O740" s="3"/>
      <c r="P740" s="3"/>
    </row>
    <row r="741" spans="1:16" x14ac:dyDescent="0.3">
      <c r="A741" t="s">
        <v>1893</v>
      </c>
      <c r="B741" s="9" t="s">
        <v>349</v>
      </c>
      <c r="C741" s="20" t="str">
        <f t="shared" si="11"/>
        <v>May</v>
      </c>
      <c r="D741" t="s">
        <v>1894</v>
      </c>
      <c r="E741" s="10" t="s">
        <v>1228</v>
      </c>
      <c r="F741" t="s">
        <v>64</v>
      </c>
      <c r="G741" t="s">
        <v>89</v>
      </c>
      <c r="H741" t="s">
        <v>150</v>
      </c>
      <c r="I741">
        <v>1</v>
      </c>
      <c r="J741" s="3">
        <v>211.84</v>
      </c>
      <c r="K741" s="2">
        <v>0</v>
      </c>
      <c r="L741" s="3">
        <v>211.84</v>
      </c>
      <c r="M741" s="3">
        <v>25.25</v>
      </c>
      <c r="N741" t="s">
        <v>40</v>
      </c>
      <c r="O741" s="3"/>
      <c r="P741" s="3"/>
    </row>
    <row r="742" spans="1:16" x14ac:dyDescent="0.3">
      <c r="A742" t="s">
        <v>1895</v>
      </c>
      <c r="B742" s="9" t="s">
        <v>1896</v>
      </c>
      <c r="C742" s="20" t="str">
        <f t="shared" si="11"/>
        <v>Jun</v>
      </c>
      <c r="D742" t="s">
        <v>1700</v>
      </c>
      <c r="E742" s="10" t="s">
        <v>1897</v>
      </c>
      <c r="F742" t="s">
        <v>17</v>
      </c>
      <c r="G742" t="s">
        <v>89</v>
      </c>
      <c r="H742" t="s">
        <v>150</v>
      </c>
      <c r="I742">
        <v>4</v>
      </c>
      <c r="J742" s="3">
        <v>51.42</v>
      </c>
      <c r="K742" s="2">
        <v>0.1</v>
      </c>
      <c r="L742" s="3">
        <v>185.11</v>
      </c>
      <c r="M742" s="3">
        <v>48.65</v>
      </c>
      <c r="N742" t="s">
        <v>20</v>
      </c>
      <c r="O742" s="3"/>
      <c r="P742" s="3"/>
    </row>
    <row r="743" spans="1:16" x14ac:dyDescent="0.3">
      <c r="A743" t="s">
        <v>1898</v>
      </c>
      <c r="B743" s="9" t="s">
        <v>248</v>
      </c>
      <c r="C743" s="20" t="str">
        <f t="shared" si="11"/>
        <v>Jan</v>
      </c>
      <c r="D743" t="s">
        <v>200</v>
      </c>
      <c r="E743" s="10" t="s">
        <v>1899</v>
      </c>
      <c r="F743" t="s">
        <v>59</v>
      </c>
      <c r="G743" t="s">
        <v>33</v>
      </c>
      <c r="H743" t="s">
        <v>74</v>
      </c>
      <c r="I743">
        <v>7</v>
      </c>
      <c r="J743" s="3">
        <v>181.33</v>
      </c>
      <c r="K743" s="2">
        <v>0.1</v>
      </c>
      <c r="L743" s="3">
        <v>1142.3800000000001</v>
      </c>
      <c r="M743" s="3">
        <v>92.01</v>
      </c>
      <c r="N743" t="s">
        <v>35</v>
      </c>
      <c r="O743" s="3"/>
      <c r="P743" s="3"/>
    </row>
    <row r="744" spans="1:16" x14ac:dyDescent="0.3">
      <c r="A744" t="s">
        <v>1900</v>
      </c>
      <c r="B744" s="9" t="s">
        <v>1879</v>
      </c>
      <c r="C744" s="20" t="str">
        <f t="shared" si="11"/>
        <v>Jul</v>
      </c>
      <c r="D744" t="s">
        <v>507</v>
      </c>
      <c r="E744" s="10" t="s">
        <v>1245</v>
      </c>
      <c r="F744" t="s">
        <v>64</v>
      </c>
      <c r="G744" t="s">
        <v>26</v>
      </c>
      <c r="H744" t="s">
        <v>84</v>
      </c>
      <c r="I744">
        <v>1</v>
      </c>
      <c r="J744" s="3">
        <v>118.72</v>
      </c>
      <c r="K744" s="2">
        <v>0.1</v>
      </c>
      <c r="L744" s="3">
        <v>106.85</v>
      </c>
      <c r="M744" s="3">
        <v>26.83</v>
      </c>
      <c r="N744" t="s">
        <v>40</v>
      </c>
      <c r="O744" s="3"/>
      <c r="P744" s="3"/>
    </row>
    <row r="745" spans="1:16" x14ac:dyDescent="0.3">
      <c r="A745" t="s">
        <v>1901</v>
      </c>
      <c r="B745" s="9" t="s">
        <v>1629</v>
      </c>
      <c r="C745" s="20" t="str">
        <f t="shared" si="11"/>
        <v>Oct</v>
      </c>
      <c r="D745" t="s">
        <v>861</v>
      </c>
      <c r="E745" s="10" t="s">
        <v>1902</v>
      </c>
      <c r="F745" t="s">
        <v>64</v>
      </c>
      <c r="G745" t="s">
        <v>89</v>
      </c>
      <c r="H745" t="s">
        <v>150</v>
      </c>
      <c r="I745">
        <v>7</v>
      </c>
      <c r="J745" s="3">
        <v>220.63</v>
      </c>
      <c r="K745" s="2">
        <v>0.05</v>
      </c>
      <c r="L745" s="3">
        <v>1467.19</v>
      </c>
      <c r="M745" s="3">
        <v>377.91</v>
      </c>
      <c r="N745" t="s">
        <v>40</v>
      </c>
      <c r="O745" s="3"/>
      <c r="P745" s="3"/>
    </row>
    <row r="746" spans="1:16" x14ac:dyDescent="0.3">
      <c r="A746" t="s">
        <v>1903</v>
      </c>
      <c r="B746" s="9" t="s">
        <v>1408</v>
      </c>
      <c r="C746" s="20" t="str">
        <f t="shared" si="11"/>
        <v>Apr</v>
      </c>
      <c r="D746" t="s">
        <v>633</v>
      </c>
      <c r="E746" s="10" t="s">
        <v>1904</v>
      </c>
      <c r="F746" t="s">
        <v>59</v>
      </c>
      <c r="G746" t="s">
        <v>33</v>
      </c>
      <c r="H746" t="s">
        <v>69</v>
      </c>
      <c r="I746">
        <v>3</v>
      </c>
      <c r="J746" s="3">
        <v>30.52</v>
      </c>
      <c r="K746" s="2">
        <v>0</v>
      </c>
      <c r="L746" s="3">
        <v>91.56</v>
      </c>
      <c r="M746" s="3">
        <v>21.75</v>
      </c>
      <c r="N746" t="s">
        <v>20</v>
      </c>
      <c r="O746" s="3"/>
      <c r="P746" s="3"/>
    </row>
    <row r="747" spans="1:16" x14ac:dyDescent="0.3">
      <c r="A747" t="s">
        <v>1905</v>
      </c>
      <c r="B747" s="9" t="s">
        <v>1081</v>
      </c>
      <c r="C747" s="20" t="str">
        <f t="shared" si="11"/>
        <v>Sep</v>
      </c>
      <c r="D747" t="s">
        <v>1331</v>
      </c>
      <c r="E747" s="10" t="s">
        <v>1122</v>
      </c>
      <c r="F747" t="s">
        <v>17</v>
      </c>
      <c r="G747" t="s">
        <v>18</v>
      </c>
      <c r="H747" t="s">
        <v>79</v>
      </c>
      <c r="I747">
        <v>8</v>
      </c>
      <c r="J747" s="3">
        <v>54.97</v>
      </c>
      <c r="K747" s="2">
        <v>0</v>
      </c>
      <c r="L747" s="3">
        <v>439.76</v>
      </c>
      <c r="M747" s="3">
        <v>59.69</v>
      </c>
      <c r="N747" t="s">
        <v>20</v>
      </c>
      <c r="O747" s="3"/>
      <c r="P747" s="3"/>
    </row>
    <row r="748" spans="1:16" x14ac:dyDescent="0.3">
      <c r="A748" t="s">
        <v>1906</v>
      </c>
      <c r="B748" s="9" t="s">
        <v>856</v>
      </c>
      <c r="C748" s="20" t="str">
        <f t="shared" si="11"/>
        <v>Jun</v>
      </c>
      <c r="D748" t="s">
        <v>1861</v>
      </c>
      <c r="E748" s="10" t="s">
        <v>1655</v>
      </c>
      <c r="F748" t="s">
        <v>17</v>
      </c>
      <c r="G748" t="s">
        <v>33</v>
      </c>
      <c r="H748" t="s">
        <v>50</v>
      </c>
      <c r="I748">
        <v>5</v>
      </c>
      <c r="J748" s="3">
        <v>180.88</v>
      </c>
      <c r="K748" s="2">
        <v>0.05</v>
      </c>
      <c r="L748" s="3">
        <v>859.18</v>
      </c>
      <c r="M748" s="3">
        <v>214.82</v>
      </c>
      <c r="N748" t="s">
        <v>35</v>
      </c>
      <c r="O748" s="3"/>
      <c r="P748" s="3"/>
    </row>
    <row r="749" spans="1:16" x14ac:dyDescent="0.3">
      <c r="A749" t="s">
        <v>1907</v>
      </c>
      <c r="B749" s="9" t="s">
        <v>731</v>
      </c>
      <c r="C749" s="20" t="str">
        <f t="shared" si="11"/>
        <v>Oct</v>
      </c>
      <c r="D749" t="s">
        <v>1749</v>
      </c>
      <c r="E749" s="10" t="s">
        <v>1904</v>
      </c>
      <c r="F749" t="s">
        <v>17</v>
      </c>
      <c r="G749" t="s">
        <v>18</v>
      </c>
      <c r="H749" t="s">
        <v>79</v>
      </c>
      <c r="I749">
        <v>8</v>
      </c>
      <c r="J749" s="3">
        <v>226.82</v>
      </c>
      <c r="K749" s="2">
        <v>0.15</v>
      </c>
      <c r="L749" s="3">
        <v>1542.38</v>
      </c>
      <c r="M749" s="3">
        <v>274</v>
      </c>
      <c r="N749" t="s">
        <v>20</v>
      </c>
      <c r="O749" s="3"/>
      <c r="P749" s="3"/>
    </row>
    <row r="750" spans="1:16" x14ac:dyDescent="0.3">
      <c r="A750" t="s">
        <v>1908</v>
      </c>
      <c r="B750" s="9" t="s">
        <v>650</v>
      </c>
      <c r="C750" s="20" t="str">
        <f t="shared" si="11"/>
        <v>Mar</v>
      </c>
      <c r="D750" t="s">
        <v>1728</v>
      </c>
      <c r="E750" s="10" t="s">
        <v>1622</v>
      </c>
      <c r="F750" t="s">
        <v>64</v>
      </c>
      <c r="G750" t="s">
        <v>89</v>
      </c>
      <c r="H750" t="s">
        <v>131</v>
      </c>
      <c r="I750">
        <v>5</v>
      </c>
      <c r="J750" s="3">
        <v>29.22</v>
      </c>
      <c r="K750" s="2">
        <v>0.15</v>
      </c>
      <c r="L750" s="3">
        <v>124.18</v>
      </c>
      <c r="M750" s="3">
        <v>33.5</v>
      </c>
      <c r="N750" t="s">
        <v>35</v>
      </c>
      <c r="O750" s="3"/>
      <c r="P750" s="3"/>
    </row>
    <row r="751" spans="1:16" x14ac:dyDescent="0.3">
      <c r="A751" t="s">
        <v>1909</v>
      </c>
      <c r="B751" s="9" t="s">
        <v>722</v>
      </c>
      <c r="C751" s="20" t="str">
        <f t="shared" si="11"/>
        <v>Feb</v>
      </c>
      <c r="D751" t="s">
        <v>152</v>
      </c>
      <c r="E751" s="10" t="s">
        <v>1910</v>
      </c>
      <c r="F751" t="s">
        <v>32</v>
      </c>
      <c r="G751" t="s">
        <v>89</v>
      </c>
      <c r="H751" t="s">
        <v>150</v>
      </c>
      <c r="I751">
        <v>2</v>
      </c>
      <c r="J751" s="3">
        <v>249.82</v>
      </c>
      <c r="K751" s="2">
        <v>0.05</v>
      </c>
      <c r="L751" s="3">
        <v>474.66</v>
      </c>
      <c r="M751" s="3">
        <v>39.380000000000003</v>
      </c>
      <c r="N751" t="s">
        <v>35</v>
      </c>
      <c r="O751" s="3"/>
      <c r="P751" s="3"/>
    </row>
    <row r="752" spans="1:16" x14ac:dyDescent="0.3">
      <c r="A752" t="s">
        <v>1911</v>
      </c>
      <c r="B752" s="9" t="s">
        <v>1733</v>
      </c>
      <c r="C752" s="20" t="str">
        <f t="shared" si="11"/>
        <v>Apr</v>
      </c>
      <c r="D752" t="s">
        <v>177</v>
      </c>
      <c r="E752" s="10" t="s">
        <v>1375</v>
      </c>
      <c r="F752" t="s">
        <v>32</v>
      </c>
      <c r="G752" t="s">
        <v>33</v>
      </c>
      <c r="H752" t="s">
        <v>50</v>
      </c>
      <c r="I752">
        <v>8</v>
      </c>
      <c r="J752" s="3">
        <v>91.08</v>
      </c>
      <c r="K752" s="2">
        <v>0.1</v>
      </c>
      <c r="L752" s="3">
        <v>655.78</v>
      </c>
      <c r="M752" s="3">
        <v>106.64</v>
      </c>
      <c r="N752" t="s">
        <v>20</v>
      </c>
      <c r="O752" s="3"/>
      <c r="P752" s="3"/>
    </row>
    <row r="753" spans="1:16" x14ac:dyDescent="0.3">
      <c r="A753" t="s">
        <v>1912</v>
      </c>
      <c r="B753" s="9" t="s">
        <v>1155</v>
      </c>
      <c r="C753" s="20" t="str">
        <f t="shared" si="11"/>
        <v>Sep</v>
      </c>
      <c r="D753" t="s">
        <v>834</v>
      </c>
      <c r="E753" s="10" t="s">
        <v>919</v>
      </c>
      <c r="F753" t="s">
        <v>59</v>
      </c>
      <c r="G753" t="s">
        <v>18</v>
      </c>
      <c r="H753" t="s">
        <v>45</v>
      </c>
      <c r="I753">
        <v>6</v>
      </c>
      <c r="J753" s="3">
        <v>145.27000000000001</v>
      </c>
      <c r="K753" s="2">
        <v>0.05</v>
      </c>
      <c r="L753" s="3">
        <v>828.04</v>
      </c>
      <c r="M753" s="3">
        <v>85.54</v>
      </c>
      <c r="N753" t="s">
        <v>20</v>
      </c>
      <c r="O753" s="3"/>
      <c r="P753" s="3"/>
    </row>
    <row r="754" spans="1:16" x14ac:dyDescent="0.3">
      <c r="A754" t="s">
        <v>1913</v>
      </c>
      <c r="B754" s="9" t="s">
        <v>1883</v>
      </c>
      <c r="C754" s="20" t="str">
        <f t="shared" si="11"/>
        <v>Jun</v>
      </c>
      <c r="D754" t="s">
        <v>230</v>
      </c>
      <c r="E754" s="10" t="s">
        <v>1914</v>
      </c>
      <c r="F754" t="s">
        <v>17</v>
      </c>
      <c r="G754" t="s">
        <v>26</v>
      </c>
      <c r="H754" t="s">
        <v>27</v>
      </c>
      <c r="I754">
        <v>8</v>
      </c>
      <c r="J754" s="3">
        <v>53.73</v>
      </c>
      <c r="K754" s="2">
        <v>0.05</v>
      </c>
      <c r="L754" s="3">
        <v>408.35</v>
      </c>
      <c r="M754" s="3">
        <v>45.64</v>
      </c>
      <c r="N754" t="s">
        <v>40</v>
      </c>
      <c r="O754" s="3"/>
      <c r="P754" s="3"/>
    </row>
    <row r="755" spans="1:16" x14ac:dyDescent="0.3">
      <c r="A755" t="s">
        <v>1915</v>
      </c>
      <c r="B755" s="9" t="s">
        <v>1710</v>
      </c>
      <c r="C755" s="20" t="str">
        <f t="shared" si="11"/>
        <v>Mar</v>
      </c>
      <c r="D755" t="s">
        <v>458</v>
      </c>
      <c r="E755" s="10" t="s">
        <v>1583</v>
      </c>
      <c r="F755" t="s">
        <v>17</v>
      </c>
      <c r="G755" t="s">
        <v>18</v>
      </c>
      <c r="H755" t="s">
        <v>45</v>
      </c>
      <c r="I755">
        <v>8</v>
      </c>
      <c r="J755" s="3">
        <v>132.35</v>
      </c>
      <c r="K755" s="2">
        <v>0.1</v>
      </c>
      <c r="L755" s="3">
        <v>952.92</v>
      </c>
      <c r="M755" s="3">
        <v>212.59</v>
      </c>
      <c r="N755" t="s">
        <v>40</v>
      </c>
      <c r="O755" s="3"/>
      <c r="P755" s="3"/>
    </row>
    <row r="756" spans="1:16" x14ac:dyDescent="0.3">
      <c r="A756" t="s">
        <v>1916</v>
      </c>
      <c r="B756" s="9" t="s">
        <v>530</v>
      </c>
      <c r="C756" s="20" t="str">
        <f t="shared" si="11"/>
        <v>Mar</v>
      </c>
      <c r="D756" t="s">
        <v>654</v>
      </c>
      <c r="E756" s="10" t="s">
        <v>1250</v>
      </c>
      <c r="F756" t="s">
        <v>59</v>
      </c>
      <c r="G756" t="s">
        <v>18</v>
      </c>
      <c r="H756" t="s">
        <v>19</v>
      </c>
      <c r="I756">
        <v>1</v>
      </c>
      <c r="J756" s="3">
        <v>48.91</v>
      </c>
      <c r="K756" s="2">
        <v>0.15</v>
      </c>
      <c r="L756" s="3">
        <v>41.57</v>
      </c>
      <c r="M756" s="3">
        <v>12.46</v>
      </c>
      <c r="N756" t="s">
        <v>20</v>
      </c>
      <c r="O756" s="3"/>
      <c r="P756" s="3"/>
    </row>
    <row r="757" spans="1:16" x14ac:dyDescent="0.3">
      <c r="A757" t="s">
        <v>1917</v>
      </c>
      <c r="B757" s="9" t="s">
        <v>503</v>
      </c>
      <c r="C757" s="20" t="str">
        <f t="shared" si="11"/>
        <v>Mar</v>
      </c>
      <c r="D757" t="s">
        <v>1918</v>
      </c>
      <c r="E757" s="10" t="s">
        <v>153</v>
      </c>
      <c r="F757" t="s">
        <v>25</v>
      </c>
      <c r="G757" t="s">
        <v>89</v>
      </c>
      <c r="H757" t="s">
        <v>131</v>
      </c>
      <c r="I757">
        <v>8</v>
      </c>
      <c r="J757" s="3">
        <v>170.07</v>
      </c>
      <c r="K757" s="2">
        <v>0.15</v>
      </c>
      <c r="L757" s="3">
        <v>1156.48</v>
      </c>
      <c r="M757" s="3">
        <v>93.64</v>
      </c>
      <c r="N757" t="s">
        <v>35</v>
      </c>
      <c r="O757" s="3"/>
      <c r="P757" s="3"/>
    </row>
    <row r="758" spans="1:16" x14ac:dyDescent="0.3">
      <c r="A758" t="s">
        <v>1919</v>
      </c>
      <c r="B758" s="9" t="s">
        <v>294</v>
      </c>
      <c r="C758" s="20" t="str">
        <f t="shared" si="11"/>
        <v>Sep</v>
      </c>
      <c r="D758" t="s">
        <v>1920</v>
      </c>
      <c r="E758" s="10" t="s">
        <v>149</v>
      </c>
      <c r="F758" t="s">
        <v>17</v>
      </c>
      <c r="G758" t="s">
        <v>18</v>
      </c>
      <c r="H758" t="s">
        <v>79</v>
      </c>
      <c r="I758">
        <v>4</v>
      </c>
      <c r="J758" s="3">
        <v>214.47</v>
      </c>
      <c r="K758" s="2">
        <v>0</v>
      </c>
      <c r="L758" s="3">
        <v>857.88</v>
      </c>
      <c r="M758" s="3">
        <v>239.83</v>
      </c>
      <c r="N758" t="s">
        <v>20</v>
      </c>
      <c r="O758" s="3"/>
      <c r="P758" s="3"/>
    </row>
    <row r="759" spans="1:16" x14ac:dyDescent="0.3">
      <c r="A759" t="s">
        <v>1921</v>
      </c>
      <c r="B759" s="9" t="s">
        <v>1428</v>
      </c>
      <c r="C759" s="20" t="str">
        <f t="shared" si="11"/>
        <v>Jun</v>
      </c>
      <c r="D759" t="s">
        <v>1922</v>
      </c>
      <c r="E759" s="10" t="s">
        <v>1923</v>
      </c>
      <c r="F759" t="s">
        <v>32</v>
      </c>
      <c r="G759" t="s">
        <v>89</v>
      </c>
      <c r="H759" t="s">
        <v>90</v>
      </c>
      <c r="I759">
        <v>2</v>
      </c>
      <c r="J759" s="3">
        <v>116.98</v>
      </c>
      <c r="K759" s="2">
        <v>0.05</v>
      </c>
      <c r="L759" s="3">
        <v>222.26</v>
      </c>
      <c r="M759" s="3">
        <v>22.47</v>
      </c>
      <c r="N759" t="s">
        <v>20</v>
      </c>
      <c r="O759" s="3"/>
      <c r="P759" s="3"/>
    </row>
    <row r="760" spans="1:16" x14ac:dyDescent="0.3">
      <c r="A760" t="s">
        <v>1924</v>
      </c>
      <c r="B760" s="9" t="s">
        <v>1925</v>
      </c>
      <c r="C760" s="20" t="str">
        <f t="shared" si="11"/>
        <v>May</v>
      </c>
      <c r="D760" t="s">
        <v>1926</v>
      </c>
      <c r="E760" s="10" t="s">
        <v>1436</v>
      </c>
      <c r="F760" t="s">
        <v>59</v>
      </c>
      <c r="G760" t="s">
        <v>33</v>
      </c>
      <c r="H760" t="s">
        <v>74</v>
      </c>
      <c r="I760">
        <v>8</v>
      </c>
      <c r="J760" s="3">
        <v>127.95</v>
      </c>
      <c r="K760" s="2">
        <v>0.15</v>
      </c>
      <c r="L760" s="3">
        <v>870.06</v>
      </c>
      <c r="M760" s="3">
        <v>237.43</v>
      </c>
      <c r="N760" t="s">
        <v>40</v>
      </c>
      <c r="O760" s="3"/>
      <c r="P760" s="3"/>
    </row>
    <row r="761" spans="1:16" x14ac:dyDescent="0.3">
      <c r="A761" t="s">
        <v>1927</v>
      </c>
      <c r="B761" s="9" t="s">
        <v>900</v>
      </c>
      <c r="C761" s="20" t="str">
        <f t="shared" si="11"/>
        <v>Oct</v>
      </c>
      <c r="D761" t="s">
        <v>303</v>
      </c>
      <c r="E761" s="10" t="s">
        <v>227</v>
      </c>
      <c r="F761" t="s">
        <v>32</v>
      </c>
      <c r="G761" t="s">
        <v>18</v>
      </c>
      <c r="H761" t="s">
        <v>79</v>
      </c>
      <c r="I761">
        <v>1</v>
      </c>
      <c r="J761" s="3">
        <v>129.34</v>
      </c>
      <c r="K761" s="2">
        <v>0.1</v>
      </c>
      <c r="L761" s="3">
        <v>116.41</v>
      </c>
      <c r="M761" s="3">
        <v>26.03</v>
      </c>
      <c r="N761" t="s">
        <v>40</v>
      </c>
      <c r="O761" s="3"/>
      <c r="P761" s="3"/>
    </row>
    <row r="762" spans="1:16" x14ac:dyDescent="0.3">
      <c r="A762" t="s">
        <v>1928</v>
      </c>
      <c r="B762" s="9" t="s">
        <v>335</v>
      </c>
      <c r="C762" s="20" t="str">
        <f t="shared" si="11"/>
        <v>Oct</v>
      </c>
      <c r="D762" t="s">
        <v>253</v>
      </c>
      <c r="E762" s="10" t="s">
        <v>808</v>
      </c>
      <c r="F762" t="s">
        <v>59</v>
      </c>
      <c r="G762" t="s">
        <v>26</v>
      </c>
      <c r="H762" t="s">
        <v>84</v>
      </c>
      <c r="I762">
        <v>6</v>
      </c>
      <c r="J762" s="3">
        <v>102.22</v>
      </c>
      <c r="K762" s="2">
        <v>0</v>
      </c>
      <c r="L762" s="3">
        <v>613.32000000000005</v>
      </c>
      <c r="M762" s="3">
        <v>102.58</v>
      </c>
      <c r="N762" t="s">
        <v>35</v>
      </c>
      <c r="O762" s="3"/>
      <c r="P762" s="3"/>
    </row>
    <row r="763" spans="1:16" x14ac:dyDescent="0.3">
      <c r="A763" t="s">
        <v>1929</v>
      </c>
      <c r="B763" s="9" t="s">
        <v>163</v>
      </c>
      <c r="C763" s="20" t="str">
        <f t="shared" si="11"/>
        <v>Nov</v>
      </c>
      <c r="D763" t="s">
        <v>637</v>
      </c>
      <c r="E763" s="10" t="s">
        <v>601</v>
      </c>
      <c r="F763" t="s">
        <v>25</v>
      </c>
      <c r="G763" t="s">
        <v>33</v>
      </c>
      <c r="H763" t="s">
        <v>50</v>
      </c>
      <c r="I763">
        <v>5</v>
      </c>
      <c r="J763" s="3">
        <v>70.239999999999995</v>
      </c>
      <c r="K763" s="2">
        <v>0.05</v>
      </c>
      <c r="L763" s="3">
        <v>333.64</v>
      </c>
      <c r="M763" s="3">
        <v>41.24</v>
      </c>
      <c r="N763" t="s">
        <v>20</v>
      </c>
      <c r="O763" s="3"/>
      <c r="P763" s="3"/>
    </row>
    <row r="764" spans="1:16" x14ac:dyDescent="0.3">
      <c r="A764" t="s">
        <v>1930</v>
      </c>
      <c r="B764" s="9" t="s">
        <v>1931</v>
      </c>
      <c r="C764" s="20" t="str">
        <f t="shared" si="11"/>
        <v>Jul</v>
      </c>
      <c r="D764" t="s">
        <v>1932</v>
      </c>
      <c r="E764" s="10" t="s">
        <v>1250</v>
      </c>
      <c r="F764" t="s">
        <v>25</v>
      </c>
      <c r="G764" t="s">
        <v>33</v>
      </c>
      <c r="H764" t="s">
        <v>50</v>
      </c>
      <c r="I764">
        <v>1</v>
      </c>
      <c r="J764" s="3">
        <v>106</v>
      </c>
      <c r="K764" s="2">
        <v>0</v>
      </c>
      <c r="L764" s="3">
        <v>106</v>
      </c>
      <c r="M764" s="3">
        <v>13.35</v>
      </c>
      <c r="N764" t="s">
        <v>35</v>
      </c>
      <c r="O764" s="3"/>
      <c r="P764" s="3"/>
    </row>
    <row r="765" spans="1:16" x14ac:dyDescent="0.3">
      <c r="A765" t="s">
        <v>1933</v>
      </c>
      <c r="B765" s="9" t="s">
        <v>731</v>
      </c>
      <c r="C765" s="20" t="str">
        <f t="shared" si="11"/>
        <v>Oct</v>
      </c>
      <c r="D765" t="s">
        <v>725</v>
      </c>
      <c r="E765" s="10" t="s">
        <v>1934</v>
      </c>
      <c r="F765" t="s">
        <v>17</v>
      </c>
      <c r="G765" t="s">
        <v>26</v>
      </c>
      <c r="H765" t="s">
        <v>84</v>
      </c>
      <c r="I765">
        <v>5</v>
      </c>
      <c r="J765" s="3">
        <v>182.08</v>
      </c>
      <c r="K765" s="2">
        <v>0.15</v>
      </c>
      <c r="L765" s="3">
        <v>773.84</v>
      </c>
      <c r="M765" s="3">
        <v>103.24</v>
      </c>
      <c r="N765" t="s">
        <v>20</v>
      </c>
      <c r="O765" s="3"/>
      <c r="P765" s="3"/>
    </row>
    <row r="766" spans="1:16" x14ac:dyDescent="0.3">
      <c r="A766" t="s">
        <v>1935</v>
      </c>
      <c r="B766" s="9" t="s">
        <v>636</v>
      </c>
      <c r="C766" s="20" t="str">
        <f t="shared" si="11"/>
        <v>Jan</v>
      </c>
      <c r="D766" t="s">
        <v>1936</v>
      </c>
      <c r="E766" s="10" t="s">
        <v>1701</v>
      </c>
      <c r="F766" t="s">
        <v>25</v>
      </c>
      <c r="G766" t="s">
        <v>33</v>
      </c>
      <c r="H766" t="s">
        <v>69</v>
      </c>
      <c r="I766">
        <v>1</v>
      </c>
      <c r="J766" s="3">
        <v>59.51</v>
      </c>
      <c r="K766" s="2">
        <v>0.1</v>
      </c>
      <c r="L766" s="3">
        <v>53.56</v>
      </c>
      <c r="M766" s="3">
        <v>5.56</v>
      </c>
      <c r="N766" t="s">
        <v>20</v>
      </c>
      <c r="O766" s="3"/>
      <c r="P766" s="3"/>
    </row>
    <row r="767" spans="1:16" x14ac:dyDescent="0.3">
      <c r="A767" t="s">
        <v>1937</v>
      </c>
      <c r="B767" s="9" t="s">
        <v>140</v>
      </c>
      <c r="C767" s="20" t="str">
        <f t="shared" si="11"/>
        <v>May</v>
      </c>
      <c r="D767" t="s">
        <v>740</v>
      </c>
      <c r="E767" s="10" t="s">
        <v>624</v>
      </c>
      <c r="F767" t="s">
        <v>25</v>
      </c>
      <c r="G767" t="s">
        <v>26</v>
      </c>
      <c r="H767" t="s">
        <v>27</v>
      </c>
      <c r="I767">
        <v>1</v>
      </c>
      <c r="J767" s="3">
        <v>180.09</v>
      </c>
      <c r="K767" s="2">
        <v>0</v>
      </c>
      <c r="L767" s="3">
        <v>180.09</v>
      </c>
      <c r="M767" s="3">
        <v>23.11</v>
      </c>
      <c r="N767" t="s">
        <v>35</v>
      </c>
      <c r="O767" s="3"/>
      <c r="P767" s="3"/>
    </row>
    <row r="768" spans="1:16" x14ac:dyDescent="0.3">
      <c r="A768" t="s">
        <v>1938</v>
      </c>
      <c r="B768" s="9" t="s">
        <v>335</v>
      </c>
      <c r="C768" s="20" t="str">
        <f t="shared" si="11"/>
        <v>Oct</v>
      </c>
      <c r="D768" t="s">
        <v>474</v>
      </c>
      <c r="E768" s="10" t="s">
        <v>1272</v>
      </c>
      <c r="F768" t="s">
        <v>17</v>
      </c>
      <c r="G768" t="s">
        <v>33</v>
      </c>
      <c r="H768" t="s">
        <v>34</v>
      </c>
      <c r="I768">
        <v>7</v>
      </c>
      <c r="J768" s="3">
        <v>92.4</v>
      </c>
      <c r="K768" s="2">
        <v>0</v>
      </c>
      <c r="L768" s="3">
        <v>646.79999999999995</v>
      </c>
      <c r="M768" s="3">
        <v>143.03</v>
      </c>
      <c r="N768" t="s">
        <v>40</v>
      </c>
      <c r="O768" s="3"/>
      <c r="P768" s="3"/>
    </row>
    <row r="769" spans="1:16" x14ac:dyDescent="0.3">
      <c r="A769" t="s">
        <v>1939</v>
      </c>
      <c r="B769" s="9" t="s">
        <v>686</v>
      </c>
      <c r="C769" s="20" t="str">
        <f t="shared" si="11"/>
        <v>Aug</v>
      </c>
      <c r="D769" t="s">
        <v>321</v>
      </c>
      <c r="E769" s="10" t="s">
        <v>495</v>
      </c>
      <c r="F769" t="s">
        <v>32</v>
      </c>
      <c r="G769" t="s">
        <v>33</v>
      </c>
      <c r="H769" t="s">
        <v>50</v>
      </c>
      <c r="I769">
        <v>6</v>
      </c>
      <c r="J769" s="3">
        <v>35.69</v>
      </c>
      <c r="K769" s="2">
        <v>0.1</v>
      </c>
      <c r="L769" s="3">
        <v>192.73</v>
      </c>
      <c r="M769" s="3">
        <v>49.82</v>
      </c>
      <c r="N769" t="s">
        <v>40</v>
      </c>
      <c r="O769" s="3"/>
      <c r="P769" s="3"/>
    </row>
    <row r="770" spans="1:16" x14ac:dyDescent="0.3">
      <c r="A770" t="s">
        <v>1940</v>
      </c>
      <c r="B770" s="9" t="s">
        <v>423</v>
      </c>
      <c r="C770" s="20" t="str">
        <f t="shared" ref="C770:C833" si="12">TEXT(B:B, "mmm")</f>
        <v>Oct</v>
      </c>
      <c r="D770" t="s">
        <v>660</v>
      </c>
      <c r="E770" s="10" t="s">
        <v>441</v>
      </c>
      <c r="F770" t="s">
        <v>32</v>
      </c>
      <c r="G770" t="s">
        <v>89</v>
      </c>
      <c r="H770" t="s">
        <v>131</v>
      </c>
      <c r="I770">
        <v>4</v>
      </c>
      <c r="J770" s="3">
        <v>194.36</v>
      </c>
      <c r="K770" s="2">
        <v>0.1</v>
      </c>
      <c r="L770" s="3">
        <v>699.7</v>
      </c>
      <c r="M770" s="3">
        <v>202.62</v>
      </c>
      <c r="N770" t="s">
        <v>35</v>
      </c>
      <c r="O770" s="3"/>
      <c r="P770" s="3"/>
    </row>
    <row r="771" spans="1:16" x14ac:dyDescent="0.3">
      <c r="A771" t="s">
        <v>1941</v>
      </c>
      <c r="B771" s="9" t="s">
        <v>392</v>
      </c>
      <c r="C771" s="20" t="str">
        <f t="shared" si="12"/>
        <v>Jan</v>
      </c>
      <c r="D771" t="s">
        <v>575</v>
      </c>
      <c r="E771" s="10" t="s">
        <v>280</v>
      </c>
      <c r="F771" t="s">
        <v>17</v>
      </c>
      <c r="G771" t="s">
        <v>26</v>
      </c>
      <c r="H771" t="s">
        <v>27</v>
      </c>
      <c r="I771">
        <v>7</v>
      </c>
      <c r="J771" s="3">
        <v>48.61</v>
      </c>
      <c r="K771" s="2">
        <v>0.1</v>
      </c>
      <c r="L771" s="3">
        <v>306.24</v>
      </c>
      <c r="M771" s="3">
        <v>79.28</v>
      </c>
      <c r="N771" t="s">
        <v>40</v>
      </c>
      <c r="O771" s="3"/>
      <c r="P771" s="3"/>
    </row>
    <row r="772" spans="1:16" x14ac:dyDescent="0.3">
      <c r="A772" t="s">
        <v>1942</v>
      </c>
      <c r="B772" s="9" t="s">
        <v>856</v>
      </c>
      <c r="C772" s="20" t="str">
        <f t="shared" si="12"/>
        <v>Jun</v>
      </c>
      <c r="D772" t="s">
        <v>769</v>
      </c>
      <c r="E772" s="10" t="s">
        <v>1943</v>
      </c>
      <c r="F772" t="s">
        <v>59</v>
      </c>
      <c r="G772" t="s">
        <v>18</v>
      </c>
      <c r="H772" t="s">
        <v>79</v>
      </c>
      <c r="I772">
        <v>5</v>
      </c>
      <c r="J772" s="3">
        <v>148.44</v>
      </c>
      <c r="K772" s="2">
        <v>0.1</v>
      </c>
      <c r="L772" s="3">
        <v>667.98</v>
      </c>
      <c r="M772" s="3">
        <v>87.07</v>
      </c>
      <c r="N772" t="s">
        <v>20</v>
      </c>
      <c r="O772" s="3"/>
      <c r="P772" s="3"/>
    </row>
    <row r="773" spans="1:16" x14ac:dyDescent="0.3">
      <c r="A773" t="s">
        <v>1944</v>
      </c>
      <c r="B773" s="9" t="s">
        <v>964</v>
      </c>
      <c r="C773" s="20" t="str">
        <f t="shared" si="12"/>
        <v>Oct</v>
      </c>
      <c r="D773" t="s">
        <v>1523</v>
      </c>
      <c r="E773" s="10" t="s">
        <v>695</v>
      </c>
      <c r="F773" t="s">
        <v>59</v>
      </c>
      <c r="G773" t="s">
        <v>89</v>
      </c>
      <c r="H773" t="s">
        <v>90</v>
      </c>
      <c r="I773">
        <v>3</v>
      </c>
      <c r="J773" s="3">
        <v>243.52</v>
      </c>
      <c r="K773" s="2">
        <v>0.1</v>
      </c>
      <c r="L773" s="3">
        <v>657.5</v>
      </c>
      <c r="M773" s="3">
        <v>104.37</v>
      </c>
      <c r="N773" t="s">
        <v>40</v>
      </c>
      <c r="O773" s="3"/>
      <c r="P773" s="3"/>
    </row>
    <row r="774" spans="1:16" x14ac:dyDescent="0.3">
      <c r="A774" t="s">
        <v>1945</v>
      </c>
      <c r="B774" s="9" t="s">
        <v>242</v>
      </c>
      <c r="C774" s="20" t="str">
        <f t="shared" si="12"/>
        <v>Jun</v>
      </c>
      <c r="D774" t="s">
        <v>1831</v>
      </c>
      <c r="E774" s="10" t="s">
        <v>1946</v>
      </c>
      <c r="F774" t="s">
        <v>59</v>
      </c>
      <c r="G774" t="s">
        <v>89</v>
      </c>
      <c r="H774" t="s">
        <v>131</v>
      </c>
      <c r="I774">
        <v>2</v>
      </c>
      <c r="J774" s="3">
        <v>32.31</v>
      </c>
      <c r="K774" s="2">
        <v>0.1</v>
      </c>
      <c r="L774" s="3">
        <v>58.16</v>
      </c>
      <c r="M774" s="3">
        <v>7.46</v>
      </c>
      <c r="N774" t="s">
        <v>35</v>
      </c>
      <c r="O774" s="3"/>
      <c r="P774" s="3"/>
    </row>
    <row r="775" spans="1:16" x14ac:dyDescent="0.3">
      <c r="A775" t="s">
        <v>1947</v>
      </c>
      <c r="B775" s="9" t="s">
        <v>616</v>
      </c>
      <c r="C775" s="20" t="str">
        <f t="shared" si="12"/>
        <v>Aug</v>
      </c>
      <c r="D775" t="s">
        <v>1247</v>
      </c>
      <c r="E775" s="10" t="s">
        <v>475</v>
      </c>
      <c r="F775" t="s">
        <v>17</v>
      </c>
      <c r="G775" t="s">
        <v>26</v>
      </c>
      <c r="H775" t="s">
        <v>84</v>
      </c>
      <c r="I775">
        <v>1</v>
      </c>
      <c r="J775" s="3">
        <v>192.86</v>
      </c>
      <c r="K775" s="2">
        <v>0</v>
      </c>
      <c r="L775" s="3">
        <v>192.86</v>
      </c>
      <c r="M775" s="3">
        <v>17.579999999999998</v>
      </c>
      <c r="N775" t="s">
        <v>20</v>
      </c>
      <c r="O775" s="3"/>
      <c r="P775" s="3"/>
    </row>
    <row r="776" spans="1:16" x14ac:dyDescent="0.3">
      <c r="A776" t="s">
        <v>1948</v>
      </c>
      <c r="B776" s="9" t="s">
        <v>616</v>
      </c>
      <c r="C776" s="20" t="str">
        <f t="shared" si="12"/>
        <v>Aug</v>
      </c>
      <c r="D776" t="s">
        <v>980</v>
      </c>
      <c r="E776" s="10" t="s">
        <v>1828</v>
      </c>
      <c r="F776" t="s">
        <v>17</v>
      </c>
      <c r="G776" t="s">
        <v>18</v>
      </c>
      <c r="H776" t="s">
        <v>79</v>
      </c>
      <c r="I776">
        <v>7</v>
      </c>
      <c r="J776" s="3">
        <v>205.05</v>
      </c>
      <c r="K776" s="2">
        <v>0</v>
      </c>
      <c r="L776" s="3">
        <v>1435.35</v>
      </c>
      <c r="M776" s="3">
        <v>264.02</v>
      </c>
      <c r="N776" t="s">
        <v>35</v>
      </c>
      <c r="O776" s="3"/>
      <c r="P776" s="3"/>
    </row>
    <row r="777" spans="1:16" x14ac:dyDescent="0.3">
      <c r="A777" t="s">
        <v>1949</v>
      </c>
      <c r="B777" s="9" t="s">
        <v>1801</v>
      </c>
      <c r="C777" s="20" t="str">
        <f t="shared" si="12"/>
        <v>Apr</v>
      </c>
      <c r="D777" t="s">
        <v>1406</v>
      </c>
      <c r="E777" s="10" t="s">
        <v>376</v>
      </c>
      <c r="F777" t="s">
        <v>25</v>
      </c>
      <c r="G777" t="s">
        <v>33</v>
      </c>
      <c r="H777" t="s">
        <v>50</v>
      </c>
      <c r="I777">
        <v>7</v>
      </c>
      <c r="J777" s="3">
        <v>130.6</v>
      </c>
      <c r="K777" s="2">
        <v>0.1</v>
      </c>
      <c r="L777" s="3">
        <v>822.78</v>
      </c>
      <c r="M777" s="3">
        <v>192.9</v>
      </c>
      <c r="N777" t="s">
        <v>40</v>
      </c>
      <c r="O777" s="3"/>
      <c r="P777" s="3"/>
    </row>
    <row r="778" spans="1:16" x14ac:dyDescent="0.3">
      <c r="A778" t="s">
        <v>1950</v>
      </c>
      <c r="B778" s="9" t="s">
        <v>558</v>
      </c>
      <c r="C778" s="20" t="str">
        <f t="shared" si="12"/>
        <v>Sep</v>
      </c>
      <c r="D778" t="s">
        <v>1951</v>
      </c>
      <c r="E778" s="10" t="s">
        <v>197</v>
      </c>
      <c r="F778" t="s">
        <v>17</v>
      </c>
      <c r="G778" t="s">
        <v>18</v>
      </c>
      <c r="H778" t="s">
        <v>45</v>
      </c>
      <c r="I778">
        <v>5</v>
      </c>
      <c r="J778" s="3">
        <v>44.67</v>
      </c>
      <c r="K778" s="2">
        <v>0</v>
      </c>
      <c r="L778" s="3">
        <v>223.35</v>
      </c>
      <c r="M778" s="3">
        <v>29.08</v>
      </c>
      <c r="N778" t="s">
        <v>20</v>
      </c>
      <c r="O778" s="3"/>
      <c r="P778" s="3"/>
    </row>
    <row r="779" spans="1:16" x14ac:dyDescent="0.3">
      <c r="A779" t="s">
        <v>1952</v>
      </c>
      <c r="B779" s="9" t="s">
        <v>260</v>
      </c>
      <c r="C779" s="20" t="str">
        <f t="shared" si="12"/>
        <v>Sep</v>
      </c>
      <c r="D779" t="s">
        <v>958</v>
      </c>
      <c r="E779" s="10" t="s">
        <v>1484</v>
      </c>
      <c r="F779" t="s">
        <v>32</v>
      </c>
      <c r="G779" t="s">
        <v>33</v>
      </c>
      <c r="H779" t="s">
        <v>34</v>
      </c>
      <c r="I779">
        <v>6</v>
      </c>
      <c r="J779" s="3">
        <v>89.54</v>
      </c>
      <c r="K779" s="2">
        <v>0.05</v>
      </c>
      <c r="L779" s="3">
        <v>510.38</v>
      </c>
      <c r="M779" s="3">
        <v>42.92</v>
      </c>
      <c r="N779" t="s">
        <v>20</v>
      </c>
      <c r="O779" s="3"/>
      <c r="P779" s="3"/>
    </row>
    <row r="780" spans="1:16" x14ac:dyDescent="0.3">
      <c r="A780" t="s">
        <v>1953</v>
      </c>
      <c r="B780" s="9" t="s">
        <v>603</v>
      </c>
      <c r="C780" s="20" t="str">
        <f t="shared" si="12"/>
        <v>Nov</v>
      </c>
      <c r="D780" t="s">
        <v>204</v>
      </c>
      <c r="E780" s="10" t="s">
        <v>786</v>
      </c>
      <c r="F780" t="s">
        <v>59</v>
      </c>
      <c r="G780" t="s">
        <v>26</v>
      </c>
      <c r="H780" t="s">
        <v>118</v>
      </c>
      <c r="I780">
        <v>4</v>
      </c>
      <c r="J780" s="3">
        <v>23.44</v>
      </c>
      <c r="K780" s="2">
        <v>0</v>
      </c>
      <c r="L780" s="3">
        <v>93.76</v>
      </c>
      <c r="M780" s="3">
        <v>14.84</v>
      </c>
      <c r="N780" t="s">
        <v>20</v>
      </c>
      <c r="O780" s="3"/>
      <c r="P780" s="3"/>
    </row>
    <row r="781" spans="1:16" x14ac:dyDescent="0.3">
      <c r="A781" t="s">
        <v>1954</v>
      </c>
      <c r="B781" s="9" t="s">
        <v>1043</v>
      </c>
      <c r="C781" s="20" t="str">
        <f t="shared" si="12"/>
        <v>Mar</v>
      </c>
      <c r="D781" t="s">
        <v>1833</v>
      </c>
      <c r="E781" s="10" t="s">
        <v>1261</v>
      </c>
      <c r="F781" t="s">
        <v>17</v>
      </c>
      <c r="G781" t="s">
        <v>33</v>
      </c>
      <c r="H781" t="s">
        <v>69</v>
      </c>
      <c r="I781">
        <v>8</v>
      </c>
      <c r="J781" s="3">
        <v>77.13</v>
      </c>
      <c r="K781" s="2">
        <v>0</v>
      </c>
      <c r="L781" s="3">
        <v>617.04</v>
      </c>
      <c r="M781" s="3">
        <v>100.63</v>
      </c>
      <c r="N781" t="s">
        <v>35</v>
      </c>
      <c r="O781" s="3"/>
      <c r="P781" s="3"/>
    </row>
    <row r="782" spans="1:16" x14ac:dyDescent="0.3">
      <c r="A782" t="s">
        <v>1955</v>
      </c>
      <c r="B782" s="9" t="s">
        <v>1956</v>
      </c>
      <c r="C782" s="20" t="str">
        <f t="shared" si="12"/>
        <v>Jun</v>
      </c>
      <c r="D782" t="s">
        <v>1957</v>
      </c>
      <c r="E782" s="10" t="s">
        <v>1056</v>
      </c>
      <c r="F782" t="s">
        <v>64</v>
      </c>
      <c r="G782" t="s">
        <v>26</v>
      </c>
      <c r="H782" t="s">
        <v>27</v>
      </c>
      <c r="I782">
        <v>8</v>
      </c>
      <c r="J782" s="3">
        <v>214.26</v>
      </c>
      <c r="K782" s="2">
        <v>0.05</v>
      </c>
      <c r="L782" s="3">
        <v>1628.38</v>
      </c>
      <c r="M782" s="3">
        <v>373.85</v>
      </c>
      <c r="N782" t="s">
        <v>35</v>
      </c>
      <c r="O782" s="3"/>
      <c r="P782" s="3"/>
    </row>
    <row r="783" spans="1:16" x14ac:dyDescent="0.3">
      <c r="A783" t="s">
        <v>1958</v>
      </c>
      <c r="B783" s="9" t="s">
        <v>137</v>
      </c>
      <c r="C783" s="20" t="str">
        <f t="shared" si="12"/>
        <v>Mar</v>
      </c>
      <c r="D783" t="s">
        <v>1030</v>
      </c>
      <c r="E783" s="10" t="s">
        <v>1959</v>
      </c>
      <c r="F783" t="s">
        <v>59</v>
      </c>
      <c r="G783" t="s">
        <v>33</v>
      </c>
      <c r="H783" t="s">
        <v>69</v>
      </c>
      <c r="I783">
        <v>3</v>
      </c>
      <c r="J783" s="3">
        <v>214.2</v>
      </c>
      <c r="K783" s="2">
        <v>0.1</v>
      </c>
      <c r="L783" s="3">
        <v>578.34</v>
      </c>
      <c r="M783" s="3">
        <v>66.05</v>
      </c>
      <c r="N783" t="s">
        <v>20</v>
      </c>
      <c r="O783" s="3"/>
      <c r="P783" s="3"/>
    </row>
    <row r="784" spans="1:16" x14ac:dyDescent="0.3">
      <c r="A784" t="s">
        <v>1960</v>
      </c>
      <c r="B784" s="9" t="s">
        <v>1961</v>
      </c>
      <c r="C784" s="20" t="str">
        <f t="shared" si="12"/>
        <v>Feb</v>
      </c>
      <c r="D784" t="s">
        <v>1176</v>
      </c>
      <c r="E784" s="10" t="s">
        <v>333</v>
      </c>
      <c r="F784" t="s">
        <v>32</v>
      </c>
      <c r="G784" t="s">
        <v>89</v>
      </c>
      <c r="H784" t="s">
        <v>150</v>
      </c>
      <c r="I784">
        <v>3</v>
      </c>
      <c r="J784" s="3">
        <v>102.4</v>
      </c>
      <c r="K784" s="2">
        <v>0.05</v>
      </c>
      <c r="L784" s="3">
        <v>291.83999999999997</v>
      </c>
      <c r="M784" s="3">
        <v>55.56</v>
      </c>
      <c r="N784" t="s">
        <v>35</v>
      </c>
      <c r="O784" s="3"/>
      <c r="P784" s="3"/>
    </row>
    <row r="785" spans="1:16" x14ac:dyDescent="0.3">
      <c r="A785" t="s">
        <v>1962</v>
      </c>
      <c r="B785" s="9" t="s">
        <v>86</v>
      </c>
      <c r="C785" s="20" t="str">
        <f t="shared" si="12"/>
        <v>Feb</v>
      </c>
      <c r="D785" t="s">
        <v>436</v>
      </c>
      <c r="E785" s="10" t="s">
        <v>1103</v>
      </c>
      <c r="F785" t="s">
        <v>59</v>
      </c>
      <c r="G785" t="s">
        <v>26</v>
      </c>
      <c r="H785" t="s">
        <v>27</v>
      </c>
      <c r="I785">
        <v>7</v>
      </c>
      <c r="J785" s="3">
        <v>181.11</v>
      </c>
      <c r="K785" s="2">
        <v>0.15</v>
      </c>
      <c r="L785" s="3">
        <v>1077.5999999999999</v>
      </c>
      <c r="M785" s="3">
        <v>171.55</v>
      </c>
      <c r="N785" t="s">
        <v>40</v>
      </c>
      <c r="O785" s="3"/>
      <c r="P785" s="3"/>
    </row>
    <row r="786" spans="1:16" x14ac:dyDescent="0.3">
      <c r="A786" t="s">
        <v>1963</v>
      </c>
      <c r="B786" s="9" t="s">
        <v>1263</v>
      </c>
      <c r="C786" s="20" t="str">
        <f t="shared" si="12"/>
        <v>Dec</v>
      </c>
      <c r="D786" t="s">
        <v>471</v>
      </c>
      <c r="E786" s="10" t="s">
        <v>931</v>
      </c>
      <c r="F786" t="s">
        <v>25</v>
      </c>
      <c r="G786" t="s">
        <v>18</v>
      </c>
      <c r="H786" t="s">
        <v>19</v>
      </c>
      <c r="I786">
        <v>1</v>
      </c>
      <c r="J786" s="3">
        <v>148.41999999999999</v>
      </c>
      <c r="K786" s="2">
        <v>0</v>
      </c>
      <c r="L786" s="3">
        <v>148.41999999999999</v>
      </c>
      <c r="M786" s="3">
        <v>30.4</v>
      </c>
      <c r="N786" t="s">
        <v>20</v>
      </c>
      <c r="O786" s="3"/>
      <c r="P786" s="3"/>
    </row>
    <row r="787" spans="1:16" x14ac:dyDescent="0.3">
      <c r="A787" t="s">
        <v>1964</v>
      </c>
      <c r="B787" s="9" t="s">
        <v>1965</v>
      </c>
      <c r="C787" s="20" t="str">
        <f t="shared" si="12"/>
        <v>Mar</v>
      </c>
      <c r="D787" t="s">
        <v>1571</v>
      </c>
      <c r="E787" s="10" t="s">
        <v>1725</v>
      </c>
      <c r="F787" t="s">
        <v>17</v>
      </c>
      <c r="G787" t="s">
        <v>89</v>
      </c>
      <c r="H787" t="s">
        <v>150</v>
      </c>
      <c r="I787">
        <v>8</v>
      </c>
      <c r="J787" s="3">
        <v>157.74</v>
      </c>
      <c r="K787" s="2">
        <v>0.15</v>
      </c>
      <c r="L787" s="3">
        <v>1072.6300000000001</v>
      </c>
      <c r="M787" s="3">
        <v>172.79</v>
      </c>
      <c r="N787" t="s">
        <v>40</v>
      </c>
      <c r="O787" s="3"/>
      <c r="P787" s="3"/>
    </row>
    <row r="788" spans="1:16" x14ac:dyDescent="0.3">
      <c r="A788" t="s">
        <v>1966</v>
      </c>
      <c r="B788" s="9" t="s">
        <v>210</v>
      </c>
      <c r="C788" s="20" t="str">
        <f t="shared" si="12"/>
        <v>Mar</v>
      </c>
      <c r="D788" t="s">
        <v>912</v>
      </c>
      <c r="E788" s="10" t="s">
        <v>1300</v>
      </c>
      <c r="F788" t="s">
        <v>32</v>
      </c>
      <c r="G788" t="s">
        <v>33</v>
      </c>
      <c r="H788" t="s">
        <v>74</v>
      </c>
      <c r="I788">
        <v>1</v>
      </c>
      <c r="J788" s="3">
        <v>156.24</v>
      </c>
      <c r="K788" s="2">
        <v>0</v>
      </c>
      <c r="L788" s="3">
        <v>156.24</v>
      </c>
      <c r="M788" s="3">
        <v>33.22</v>
      </c>
      <c r="N788" t="s">
        <v>40</v>
      </c>
      <c r="O788" s="3"/>
      <c r="P788" s="3"/>
    </row>
    <row r="789" spans="1:16" x14ac:dyDescent="0.3">
      <c r="A789" t="s">
        <v>1967</v>
      </c>
      <c r="B789" s="9" t="s">
        <v>188</v>
      </c>
      <c r="C789" s="20" t="str">
        <f t="shared" si="12"/>
        <v>Feb</v>
      </c>
      <c r="D789" t="s">
        <v>1968</v>
      </c>
      <c r="E789" s="10" t="s">
        <v>1969</v>
      </c>
      <c r="F789" t="s">
        <v>59</v>
      </c>
      <c r="G789" t="s">
        <v>18</v>
      </c>
      <c r="H789" t="s">
        <v>79</v>
      </c>
      <c r="I789">
        <v>7</v>
      </c>
      <c r="J789" s="3">
        <v>134.63</v>
      </c>
      <c r="K789" s="2">
        <v>0.1</v>
      </c>
      <c r="L789" s="3">
        <v>848.17</v>
      </c>
      <c r="M789" s="3">
        <v>238.73</v>
      </c>
      <c r="N789" t="s">
        <v>35</v>
      </c>
      <c r="O789" s="3"/>
      <c r="P789" s="3"/>
    </row>
    <row r="790" spans="1:16" x14ac:dyDescent="0.3">
      <c r="A790" t="s">
        <v>1970</v>
      </c>
      <c r="B790" s="9" t="s">
        <v>1657</v>
      </c>
      <c r="C790" s="20" t="str">
        <f t="shared" si="12"/>
        <v>May</v>
      </c>
      <c r="D790" t="s">
        <v>1971</v>
      </c>
      <c r="E790" s="10" t="s">
        <v>94</v>
      </c>
      <c r="F790" t="s">
        <v>59</v>
      </c>
      <c r="G790" t="s">
        <v>89</v>
      </c>
      <c r="H790" t="s">
        <v>150</v>
      </c>
      <c r="I790">
        <v>7</v>
      </c>
      <c r="J790" s="3">
        <v>82.16</v>
      </c>
      <c r="K790" s="2">
        <v>0.1</v>
      </c>
      <c r="L790" s="3">
        <v>517.61</v>
      </c>
      <c r="M790" s="3">
        <v>104.71</v>
      </c>
      <c r="N790" t="s">
        <v>35</v>
      </c>
      <c r="O790" s="3"/>
      <c r="P790" s="3"/>
    </row>
    <row r="791" spans="1:16" x14ac:dyDescent="0.3">
      <c r="A791" t="s">
        <v>1972</v>
      </c>
      <c r="B791" s="9" t="s">
        <v>596</v>
      </c>
      <c r="C791" s="20" t="str">
        <f t="shared" si="12"/>
        <v>Sep</v>
      </c>
      <c r="D791" t="s">
        <v>644</v>
      </c>
      <c r="E791" s="10" t="s">
        <v>1755</v>
      </c>
      <c r="F791" t="s">
        <v>59</v>
      </c>
      <c r="G791" t="s">
        <v>18</v>
      </c>
      <c r="H791" t="s">
        <v>45</v>
      </c>
      <c r="I791">
        <v>6</v>
      </c>
      <c r="J791" s="3">
        <v>56.66</v>
      </c>
      <c r="K791" s="2">
        <v>0.15</v>
      </c>
      <c r="L791" s="3">
        <v>288.97000000000003</v>
      </c>
      <c r="M791" s="3">
        <v>46.75</v>
      </c>
      <c r="N791" t="s">
        <v>20</v>
      </c>
      <c r="O791" s="3"/>
      <c r="P791" s="3"/>
    </row>
    <row r="792" spans="1:16" x14ac:dyDescent="0.3">
      <c r="A792" t="s">
        <v>1973</v>
      </c>
      <c r="B792" s="9" t="s">
        <v>1408</v>
      </c>
      <c r="C792" s="20" t="str">
        <f t="shared" si="12"/>
        <v>Apr</v>
      </c>
      <c r="D792" t="s">
        <v>1974</v>
      </c>
      <c r="E792" s="10" t="s">
        <v>572</v>
      </c>
      <c r="F792" t="s">
        <v>59</v>
      </c>
      <c r="G792" t="s">
        <v>33</v>
      </c>
      <c r="H792" t="s">
        <v>34</v>
      </c>
      <c r="I792">
        <v>7</v>
      </c>
      <c r="J792" s="3">
        <v>16.34</v>
      </c>
      <c r="K792" s="2">
        <v>0</v>
      </c>
      <c r="L792" s="3">
        <v>114.38</v>
      </c>
      <c r="M792" s="3">
        <v>11.34</v>
      </c>
      <c r="N792" t="s">
        <v>40</v>
      </c>
      <c r="O792" s="3"/>
      <c r="P792" s="3"/>
    </row>
    <row r="793" spans="1:16" x14ac:dyDescent="0.3">
      <c r="A793" t="s">
        <v>1975</v>
      </c>
      <c r="B793" s="9" t="s">
        <v>570</v>
      </c>
      <c r="C793" s="20" t="str">
        <f t="shared" si="12"/>
        <v>Nov</v>
      </c>
      <c r="D793" t="s">
        <v>1339</v>
      </c>
      <c r="E793" s="10" t="s">
        <v>874</v>
      </c>
      <c r="F793" t="s">
        <v>17</v>
      </c>
      <c r="G793" t="s">
        <v>89</v>
      </c>
      <c r="H793" t="s">
        <v>131</v>
      </c>
      <c r="I793">
        <v>6</v>
      </c>
      <c r="J793" s="3">
        <v>138.52000000000001</v>
      </c>
      <c r="K793" s="2">
        <v>0.15</v>
      </c>
      <c r="L793" s="3">
        <v>706.45</v>
      </c>
      <c r="M793" s="3">
        <v>105.15</v>
      </c>
      <c r="N793" t="s">
        <v>20</v>
      </c>
      <c r="O793" s="3"/>
      <c r="P793" s="3"/>
    </row>
    <row r="794" spans="1:16" x14ac:dyDescent="0.3">
      <c r="A794" t="s">
        <v>1976</v>
      </c>
      <c r="B794" s="9" t="s">
        <v>294</v>
      </c>
      <c r="C794" s="20" t="str">
        <f t="shared" si="12"/>
        <v>Sep</v>
      </c>
      <c r="D794" t="s">
        <v>1558</v>
      </c>
      <c r="E794" s="10" t="s">
        <v>165</v>
      </c>
      <c r="F794" t="s">
        <v>25</v>
      </c>
      <c r="G794" t="s">
        <v>18</v>
      </c>
      <c r="H794" t="s">
        <v>79</v>
      </c>
      <c r="I794">
        <v>3</v>
      </c>
      <c r="J794" s="3">
        <v>171.58</v>
      </c>
      <c r="K794" s="2">
        <v>0.05</v>
      </c>
      <c r="L794" s="3">
        <v>489</v>
      </c>
      <c r="M794" s="3">
        <v>60.76</v>
      </c>
      <c r="N794" t="s">
        <v>20</v>
      </c>
      <c r="O794" s="3"/>
      <c r="P794" s="3"/>
    </row>
    <row r="795" spans="1:16" x14ac:dyDescent="0.3">
      <c r="A795" t="s">
        <v>1977</v>
      </c>
      <c r="B795" s="9" t="s">
        <v>1805</v>
      </c>
      <c r="C795" s="20" t="str">
        <f t="shared" si="12"/>
        <v>May</v>
      </c>
      <c r="D795" t="s">
        <v>1978</v>
      </c>
      <c r="E795" s="10" t="s">
        <v>1979</v>
      </c>
      <c r="F795" t="s">
        <v>32</v>
      </c>
      <c r="G795" t="s">
        <v>18</v>
      </c>
      <c r="H795" t="s">
        <v>19</v>
      </c>
      <c r="I795">
        <v>2</v>
      </c>
      <c r="J795" s="3">
        <v>233.79</v>
      </c>
      <c r="K795" s="2">
        <v>0.1</v>
      </c>
      <c r="L795" s="3">
        <v>420.82</v>
      </c>
      <c r="M795" s="3">
        <v>62.56</v>
      </c>
      <c r="N795" t="s">
        <v>35</v>
      </c>
      <c r="O795" s="3"/>
      <c r="P795" s="3"/>
    </row>
    <row r="796" spans="1:16" x14ac:dyDescent="0.3">
      <c r="A796" t="s">
        <v>1980</v>
      </c>
      <c r="B796" s="9" t="s">
        <v>681</v>
      </c>
      <c r="C796" s="20" t="str">
        <f t="shared" si="12"/>
        <v>Jan</v>
      </c>
      <c r="D796" t="s">
        <v>215</v>
      </c>
      <c r="E796" s="10" t="s">
        <v>1981</v>
      </c>
      <c r="F796" t="s">
        <v>64</v>
      </c>
      <c r="G796" t="s">
        <v>18</v>
      </c>
      <c r="H796" t="s">
        <v>19</v>
      </c>
      <c r="I796">
        <v>1</v>
      </c>
      <c r="J796" s="3">
        <v>124.7</v>
      </c>
      <c r="K796" s="2">
        <v>0.1</v>
      </c>
      <c r="L796" s="3">
        <v>112.23</v>
      </c>
      <c r="M796" s="3">
        <v>26.13</v>
      </c>
      <c r="N796" t="s">
        <v>20</v>
      </c>
      <c r="O796" s="3"/>
      <c r="P796" s="3"/>
    </row>
    <row r="797" spans="1:16" x14ac:dyDescent="0.3">
      <c r="A797" t="s">
        <v>1982</v>
      </c>
      <c r="B797" s="9" t="s">
        <v>1805</v>
      </c>
      <c r="C797" s="20" t="str">
        <f t="shared" si="12"/>
        <v>May</v>
      </c>
      <c r="D797" t="s">
        <v>545</v>
      </c>
      <c r="E797" s="10" t="s">
        <v>761</v>
      </c>
      <c r="F797" t="s">
        <v>25</v>
      </c>
      <c r="G797" t="s">
        <v>89</v>
      </c>
      <c r="H797" t="s">
        <v>90</v>
      </c>
      <c r="I797">
        <v>6</v>
      </c>
      <c r="J797" s="3">
        <v>218.3</v>
      </c>
      <c r="K797" s="2">
        <v>0.05</v>
      </c>
      <c r="L797" s="3">
        <v>1244.31</v>
      </c>
      <c r="M797" s="3">
        <v>269.64</v>
      </c>
      <c r="N797" t="s">
        <v>35</v>
      </c>
      <c r="O797" s="3"/>
      <c r="P797" s="3"/>
    </row>
    <row r="798" spans="1:16" x14ac:dyDescent="0.3">
      <c r="A798" t="s">
        <v>1983</v>
      </c>
      <c r="B798" s="9" t="s">
        <v>1883</v>
      </c>
      <c r="C798" s="20" t="str">
        <f t="shared" si="12"/>
        <v>Jun</v>
      </c>
      <c r="D798" t="s">
        <v>507</v>
      </c>
      <c r="E798" s="10" t="s">
        <v>1064</v>
      </c>
      <c r="F798" t="s">
        <v>64</v>
      </c>
      <c r="G798" t="s">
        <v>33</v>
      </c>
      <c r="H798" t="s">
        <v>50</v>
      </c>
      <c r="I798">
        <v>7</v>
      </c>
      <c r="J798" s="3">
        <v>183.56</v>
      </c>
      <c r="K798" s="2">
        <v>0</v>
      </c>
      <c r="L798" s="3">
        <v>1284.92</v>
      </c>
      <c r="M798" s="3">
        <v>236.63</v>
      </c>
      <c r="N798" t="s">
        <v>40</v>
      </c>
      <c r="O798" s="3"/>
      <c r="P798" s="3"/>
    </row>
    <row r="799" spans="1:16" x14ac:dyDescent="0.3">
      <c r="A799" t="s">
        <v>1984</v>
      </c>
      <c r="B799" s="9" t="s">
        <v>1495</v>
      </c>
      <c r="C799" s="20" t="str">
        <f t="shared" si="12"/>
        <v>Jan</v>
      </c>
      <c r="D799" t="s">
        <v>946</v>
      </c>
      <c r="E799" s="10" t="s">
        <v>1865</v>
      </c>
      <c r="F799" t="s">
        <v>17</v>
      </c>
      <c r="G799" t="s">
        <v>26</v>
      </c>
      <c r="H799" t="s">
        <v>118</v>
      </c>
      <c r="I799">
        <v>3</v>
      </c>
      <c r="J799" s="3">
        <v>129.69999999999999</v>
      </c>
      <c r="K799" s="2">
        <v>0.15</v>
      </c>
      <c r="L799" s="3">
        <v>330.73</v>
      </c>
      <c r="M799" s="3">
        <v>89.49</v>
      </c>
      <c r="N799" t="s">
        <v>20</v>
      </c>
      <c r="O799" s="3"/>
      <c r="P799" s="3"/>
    </row>
    <row r="800" spans="1:16" x14ac:dyDescent="0.3">
      <c r="A800" t="s">
        <v>1985</v>
      </c>
      <c r="B800" s="9" t="s">
        <v>124</v>
      </c>
      <c r="C800" s="20" t="str">
        <f t="shared" si="12"/>
        <v>Jun</v>
      </c>
      <c r="D800" t="s">
        <v>1237</v>
      </c>
      <c r="E800" s="10" t="s">
        <v>1182</v>
      </c>
      <c r="F800" t="s">
        <v>64</v>
      </c>
      <c r="G800" t="s">
        <v>89</v>
      </c>
      <c r="H800" t="s">
        <v>131</v>
      </c>
      <c r="I800">
        <v>8</v>
      </c>
      <c r="J800" s="3">
        <v>109.79</v>
      </c>
      <c r="K800" s="2">
        <v>0</v>
      </c>
      <c r="L800" s="3">
        <v>878.32</v>
      </c>
      <c r="M800" s="3">
        <v>129.54</v>
      </c>
      <c r="N800" t="s">
        <v>35</v>
      </c>
      <c r="O800" s="3"/>
      <c r="P800" s="3"/>
    </row>
    <row r="801" spans="1:16" x14ac:dyDescent="0.3">
      <c r="A801" t="s">
        <v>1986</v>
      </c>
      <c r="B801" s="9" t="s">
        <v>1896</v>
      </c>
      <c r="C801" s="20" t="str">
        <f t="shared" si="12"/>
        <v>Jun</v>
      </c>
      <c r="D801" t="s">
        <v>654</v>
      </c>
      <c r="E801" s="10" t="s">
        <v>161</v>
      </c>
      <c r="F801" t="s">
        <v>59</v>
      </c>
      <c r="G801" t="s">
        <v>89</v>
      </c>
      <c r="H801" t="s">
        <v>131</v>
      </c>
      <c r="I801">
        <v>7</v>
      </c>
      <c r="J801" s="3">
        <v>120.45</v>
      </c>
      <c r="K801" s="2">
        <v>0.15</v>
      </c>
      <c r="L801" s="3">
        <v>716.68</v>
      </c>
      <c r="M801" s="3">
        <v>67.13</v>
      </c>
      <c r="N801" t="s">
        <v>20</v>
      </c>
      <c r="O801" s="3"/>
      <c r="P801" s="3"/>
    </row>
    <row r="802" spans="1:16" x14ac:dyDescent="0.3">
      <c r="A802" t="s">
        <v>1987</v>
      </c>
      <c r="B802" s="9" t="s">
        <v>184</v>
      </c>
      <c r="C802" s="20" t="str">
        <f t="shared" si="12"/>
        <v>Aug</v>
      </c>
      <c r="D802" t="s">
        <v>834</v>
      </c>
      <c r="E802" s="10" t="s">
        <v>1988</v>
      </c>
      <c r="F802" t="s">
        <v>32</v>
      </c>
      <c r="G802" t="s">
        <v>18</v>
      </c>
      <c r="H802" t="s">
        <v>45</v>
      </c>
      <c r="I802">
        <v>1</v>
      </c>
      <c r="J802" s="3">
        <v>198.98</v>
      </c>
      <c r="K802" s="2">
        <v>0.05</v>
      </c>
      <c r="L802" s="3">
        <v>189.03</v>
      </c>
      <c r="M802" s="3">
        <v>20.91</v>
      </c>
      <c r="N802" t="s">
        <v>40</v>
      </c>
      <c r="O802" s="3"/>
      <c r="P802" s="3"/>
    </row>
    <row r="803" spans="1:16" x14ac:dyDescent="0.3">
      <c r="A803" t="s">
        <v>1989</v>
      </c>
      <c r="B803" s="9" t="s">
        <v>159</v>
      </c>
      <c r="C803" s="20" t="str">
        <f t="shared" si="12"/>
        <v>May</v>
      </c>
      <c r="D803" t="s">
        <v>1990</v>
      </c>
      <c r="E803" s="10" t="s">
        <v>851</v>
      </c>
      <c r="F803" t="s">
        <v>32</v>
      </c>
      <c r="G803" t="s">
        <v>26</v>
      </c>
      <c r="H803" t="s">
        <v>84</v>
      </c>
      <c r="I803">
        <v>6</v>
      </c>
      <c r="J803" s="3">
        <v>241.81</v>
      </c>
      <c r="K803" s="2">
        <v>0</v>
      </c>
      <c r="L803" s="3">
        <v>1450.86</v>
      </c>
      <c r="M803" s="3">
        <v>433.87</v>
      </c>
      <c r="N803" t="s">
        <v>35</v>
      </c>
      <c r="O803" s="3"/>
      <c r="P803" s="3"/>
    </row>
    <row r="804" spans="1:16" x14ac:dyDescent="0.3">
      <c r="A804" t="s">
        <v>1991</v>
      </c>
      <c r="B804" s="9" t="s">
        <v>1992</v>
      </c>
      <c r="C804" s="20" t="str">
        <f t="shared" si="12"/>
        <v>Jul</v>
      </c>
      <c r="D804" t="s">
        <v>1993</v>
      </c>
      <c r="E804" s="10" t="s">
        <v>1612</v>
      </c>
      <c r="F804" t="s">
        <v>64</v>
      </c>
      <c r="G804" t="s">
        <v>89</v>
      </c>
      <c r="H804" t="s">
        <v>131</v>
      </c>
      <c r="I804">
        <v>5</v>
      </c>
      <c r="J804" s="3">
        <v>139</v>
      </c>
      <c r="K804" s="2">
        <v>0.05</v>
      </c>
      <c r="L804" s="3">
        <v>660.25</v>
      </c>
      <c r="M804" s="3">
        <v>133.63999999999999</v>
      </c>
      <c r="N804" t="s">
        <v>20</v>
      </c>
      <c r="O804" s="3"/>
      <c r="P804" s="3"/>
    </row>
    <row r="805" spans="1:16" x14ac:dyDescent="0.3">
      <c r="A805" t="s">
        <v>1994</v>
      </c>
      <c r="B805" s="9" t="s">
        <v>636</v>
      </c>
      <c r="C805" s="20" t="str">
        <f t="shared" si="12"/>
        <v>Jan</v>
      </c>
      <c r="D805" t="s">
        <v>861</v>
      </c>
      <c r="E805" s="10" t="s">
        <v>1995</v>
      </c>
      <c r="F805" t="s">
        <v>64</v>
      </c>
      <c r="G805" t="s">
        <v>33</v>
      </c>
      <c r="H805" t="s">
        <v>74</v>
      </c>
      <c r="I805">
        <v>2</v>
      </c>
      <c r="J805" s="3">
        <v>99.22</v>
      </c>
      <c r="K805" s="2">
        <v>0</v>
      </c>
      <c r="L805" s="3">
        <v>198.44</v>
      </c>
      <c r="M805" s="3">
        <v>53.82</v>
      </c>
      <c r="N805" t="s">
        <v>40</v>
      </c>
      <c r="O805" s="3"/>
      <c r="P805" s="3"/>
    </row>
    <row r="806" spans="1:16" x14ac:dyDescent="0.3">
      <c r="A806" t="s">
        <v>1996</v>
      </c>
      <c r="B806" s="9" t="s">
        <v>1997</v>
      </c>
      <c r="C806" s="20" t="str">
        <f t="shared" si="12"/>
        <v>Sep</v>
      </c>
      <c r="D806" t="s">
        <v>1998</v>
      </c>
      <c r="E806" s="10" t="s">
        <v>1734</v>
      </c>
      <c r="F806" t="s">
        <v>25</v>
      </c>
      <c r="G806" t="s">
        <v>33</v>
      </c>
      <c r="H806" t="s">
        <v>50</v>
      </c>
      <c r="I806">
        <v>5</v>
      </c>
      <c r="J806" s="3">
        <v>30.43</v>
      </c>
      <c r="K806" s="2">
        <v>0</v>
      </c>
      <c r="L806" s="3">
        <v>152.15</v>
      </c>
      <c r="M806" s="3">
        <v>34.659999999999997</v>
      </c>
      <c r="N806" t="s">
        <v>35</v>
      </c>
      <c r="O806" s="3"/>
      <c r="P806" s="3"/>
    </row>
    <row r="807" spans="1:16" x14ac:dyDescent="0.3">
      <c r="A807" t="s">
        <v>1999</v>
      </c>
      <c r="B807" s="9" t="s">
        <v>1408</v>
      </c>
      <c r="C807" s="20" t="str">
        <f t="shared" si="12"/>
        <v>Apr</v>
      </c>
      <c r="D807" t="s">
        <v>2000</v>
      </c>
      <c r="E807" s="10" t="s">
        <v>919</v>
      </c>
      <c r="F807" t="s">
        <v>59</v>
      </c>
      <c r="G807" t="s">
        <v>89</v>
      </c>
      <c r="H807" t="s">
        <v>150</v>
      </c>
      <c r="I807">
        <v>1</v>
      </c>
      <c r="J807" s="3">
        <v>154.24</v>
      </c>
      <c r="K807" s="2">
        <v>0.05</v>
      </c>
      <c r="L807" s="3">
        <v>146.53</v>
      </c>
      <c r="M807" s="3">
        <v>39</v>
      </c>
      <c r="N807" t="s">
        <v>40</v>
      </c>
      <c r="O807" s="3"/>
      <c r="P807" s="3"/>
    </row>
    <row r="808" spans="1:16" x14ac:dyDescent="0.3">
      <c r="A808" t="s">
        <v>2001</v>
      </c>
      <c r="B808" s="9" t="s">
        <v>722</v>
      </c>
      <c r="C808" s="20" t="str">
        <f t="shared" si="12"/>
        <v>Feb</v>
      </c>
      <c r="D808" t="s">
        <v>196</v>
      </c>
      <c r="E808" s="10" t="s">
        <v>2002</v>
      </c>
      <c r="F808" t="s">
        <v>64</v>
      </c>
      <c r="G808" t="s">
        <v>18</v>
      </c>
      <c r="H808" t="s">
        <v>45</v>
      </c>
      <c r="I808">
        <v>6</v>
      </c>
      <c r="J808" s="3">
        <v>18.46</v>
      </c>
      <c r="K808" s="2">
        <v>0</v>
      </c>
      <c r="L808" s="3">
        <v>110.76</v>
      </c>
      <c r="M808" s="3">
        <v>31.11</v>
      </c>
      <c r="N808" t="s">
        <v>35</v>
      </c>
      <c r="O808" s="3"/>
      <c r="P808" s="3"/>
    </row>
    <row r="809" spans="1:16" x14ac:dyDescent="0.3">
      <c r="A809" t="s">
        <v>2003</v>
      </c>
      <c r="B809" s="9" t="s">
        <v>264</v>
      </c>
      <c r="C809" s="20" t="str">
        <f t="shared" si="12"/>
        <v>Jan</v>
      </c>
      <c r="D809" t="s">
        <v>2004</v>
      </c>
      <c r="E809" s="10" t="s">
        <v>73</v>
      </c>
      <c r="F809" t="s">
        <v>64</v>
      </c>
      <c r="G809" t="s">
        <v>18</v>
      </c>
      <c r="H809" t="s">
        <v>79</v>
      </c>
      <c r="I809">
        <v>7</v>
      </c>
      <c r="J809" s="3">
        <v>91.48</v>
      </c>
      <c r="K809" s="2">
        <v>0.05</v>
      </c>
      <c r="L809" s="3">
        <v>608.34</v>
      </c>
      <c r="M809" s="3">
        <v>83.47</v>
      </c>
      <c r="N809" t="s">
        <v>40</v>
      </c>
      <c r="O809" s="3"/>
      <c r="P809" s="3"/>
    </row>
    <row r="810" spans="1:16" x14ac:dyDescent="0.3">
      <c r="A810" t="s">
        <v>2005</v>
      </c>
      <c r="B810" s="9" t="s">
        <v>904</v>
      </c>
      <c r="C810" s="20" t="str">
        <f t="shared" si="12"/>
        <v>Apr</v>
      </c>
      <c r="D810" t="s">
        <v>230</v>
      </c>
      <c r="E810" s="10" t="s">
        <v>789</v>
      </c>
      <c r="F810" t="s">
        <v>32</v>
      </c>
      <c r="G810" t="s">
        <v>33</v>
      </c>
      <c r="H810" t="s">
        <v>50</v>
      </c>
      <c r="I810">
        <v>2</v>
      </c>
      <c r="J810" s="3">
        <v>15.41</v>
      </c>
      <c r="K810" s="2">
        <v>0</v>
      </c>
      <c r="L810" s="3">
        <v>30.82</v>
      </c>
      <c r="M810" s="3">
        <v>7.07</v>
      </c>
      <c r="N810" t="s">
        <v>40</v>
      </c>
      <c r="O810" s="3"/>
      <c r="P810" s="3"/>
    </row>
    <row r="811" spans="1:16" x14ac:dyDescent="0.3">
      <c r="A811" t="s">
        <v>2006</v>
      </c>
      <c r="B811" s="9" t="s">
        <v>2007</v>
      </c>
      <c r="C811" s="20" t="str">
        <f t="shared" si="12"/>
        <v>Oct</v>
      </c>
      <c r="D811" t="s">
        <v>1019</v>
      </c>
      <c r="E811" s="10" t="s">
        <v>1995</v>
      </c>
      <c r="F811" t="s">
        <v>64</v>
      </c>
      <c r="G811" t="s">
        <v>18</v>
      </c>
      <c r="H811" t="s">
        <v>19</v>
      </c>
      <c r="I811">
        <v>8</v>
      </c>
      <c r="J811" s="3">
        <v>180.77</v>
      </c>
      <c r="K811" s="2">
        <v>0.15</v>
      </c>
      <c r="L811" s="3">
        <v>1229.24</v>
      </c>
      <c r="M811" s="3">
        <v>346.66</v>
      </c>
      <c r="N811" t="s">
        <v>20</v>
      </c>
      <c r="O811" s="3"/>
      <c r="P811" s="3"/>
    </row>
    <row r="812" spans="1:16" x14ac:dyDescent="0.3">
      <c r="A812" t="s">
        <v>2008</v>
      </c>
      <c r="B812" s="9" t="s">
        <v>964</v>
      </c>
      <c r="C812" s="20" t="str">
        <f t="shared" si="12"/>
        <v>Oct</v>
      </c>
      <c r="D812" t="s">
        <v>261</v>
      </c>
      <c r="E812" s="10" t="s">
        <v>1943</v>
      </c>
      <c r="F812" t="s">
        <v>32</v>
      </c>
      <c r="G812" t="s">
        <v>18</v>
      </c>
      <c r="H812" t="s">
        <v>19</v>
      </c>
      <c r="I812">
        <v>8</v>
      </c>
      <c r="J812" s="3">
        <v>243.32</v>
      </c>
      <c r="K812" s="2">
        <v>0.1</v>
      </c>
      <c r="L812" s="3">
        <v>1751.9</v>
      </c>
      <c r="M812" s="3">
        <v>239.68</v>
      </c>
      <c r="N812" t="s">
        <v>20</v>
      </c>
      <c r="O812" s="3"/>
      <c r="P812" s="3"/>
    </row>
    <row r="813" spans="1:16" x14ac:dyDescent="0.3">
      <c r="A813" t="s">
        <v>2009</v>
      </c>
      <c r="B813" s="9" t="s">
        <v>489</v>
      </c>
      <c r="C813" s="20" t="str">
        <f t="shared" si="12"/>
        <v>Mar</v>
      </c>
      <c r="D813" t="s">
        <v>156</v>
      </c>
      <c r="E813" s="10" t="s">
        <v>2010</v>
      </c>
      <c r="F813" t="s">
        <v>59</v>
      </c>
      <c r="G813" t="s">
        <v>18</v>
      </c>
      <c r="H813" t="s">
        <v>45</v>
      </c>
      <c r="I813">
        <v>2</v>
      </c>
      <c r="J813" s="3">
        <v>94.87</v>
      </c>
      <c r="K813" s="2">
        <v>0</v>
      </c>
      <c r="L813" s="3">
        <v>189.74</v>
      </c>
      <c r="M813" s="3">
        <v>56.84</v>
      </c>
      <c r="N813" t="s">
        <v>20</v>
      </c>
      <c r="O813" s="3"/>
      <c r="P813" s="3"/>
    </row>
    <row r="814" spans="1:16" x14ac:dyDescent="0.3">
      <c r="A814" t="s">
        <v>2011</v>
      </c>
      <c r="B814" s="9" t="s">
        <v>940</v>
      </c>
      <c r="C814" s="20" t="str">
        <f t="shared" si="12"/>
        <v>Apr</v>
      </c>
      <c r="D814" t="s">
        <v>1760</v>
      </c>
      <c r="E814" s="10" t="s">
        <v>363</v>
      </c>
      <c r="F814" t="s">
        <v>17</v>
      </c>
      <c r="G814" t="s">
        <v>33</v>
      </c>
      <c r="H814" t="s">
        <v>74</v>
      </c>
      <c r="I814">
        <v>6</v>
      </c>
      <c r="J814" s="3">
        <v>221.92</v>
      </c>
      <c r="K814" s="2">
        <v>0.1</v>
      </c>
      <c r="L814" s="3">
        <v>1198.3699999999999</v>
      </c>
      <c r="M814" s="3">
        <v>303.27999999999997</v>
      </c>
      <c r="N814" t="s">
        <v>20</v>
      </c>
      <c r="O814" s="3"/>
      <c r="P814" s="3"/>
    </row>
    <row r="815" spans="1:16" x14ac:dyDescent="0.3">
      <c r="A815" t="s">
        <v>2012</v>
      </c>
      <c r="B815" s="9" t="s">
        <v>1089</v>
      </c>
      <c r="C815" s="20" t="str">
        <f t="shared" si="12"/>
        <v>Dec</v>
      </c>
      <c r="D815" t="s">
        <v>1322</v>
      </c>
      <c r="E815" s="10" t="s">
        <v>157</v>
      </c>
      <c r="F815" t="s">
        <v>59</v>
      </c>
      <c r="G815" t="s">
        <v>33</v>
      </c>
      <c r="H815" t="s">
        <v>50</v>
      </c>
      <c r="I815">
        <v>3</v>
      </c>
      <c r="J815" s="3">
        <v>129.46</v>
      </c>
      <c r="K815" s="2">
        <v>0</v>
      </c>
      <c r="L815" s="3">
        <v>388.38</v>
      </c>
      <c r="M815" s="3">
        <v>97.24</v>
      </c>
      <c r="N815" t="s">
        <v>35</v>
      </c>
      <c r="O815" s="3"/>
      <c r="P815" s="3"/>
    </row>
    <row r="816" spans="1:16" x14ac:dyDescent="0.3">
      <c r="A816" t="s">
        <v>2013</v>
      </c>
      <c r="B816" s="9" t="s">
        <v>489</v>
      </c>
      <c r="C816" s="20" t="str">
        <f t="shared" si="12"/>
        <v>Mar</v>
      </c>
      <c r="D816" t="s">
        <v>1387</v>
      </c>
      <c r="E816" s="10" t="s">
        <v>1369</v>
      </c>
      <c r="F816" t="s">
        <v>25</v>
      </c>
      <c r="G816" t="s">
        <v>89</v>
      </c>
      <c r="H816" t="s">
        <v>90</v>
      </c>
      <c r="I816">
        <v>2</v>
      </c>
      <c r="J816" s="3">
        <v>195.73</v>
      </c>
      <c r="K816" s="2">
        <v>0.15</v>
      </c>
      <c r="L816" s="3">
        <v>332.74</v>
      </c>
      <c r="M816" s="3">
        <v>31.42</v>
      </c>
      <c r="N816" t="s">
        <v>20</v>
      </c>
      <c r="O816" s="3"/>
      <c r="P816" s="3"/>
    </row>
    <row r="817" spans="1:16" x14ac:dyDescent="0.3">
      <c r="A817" t="s">
        <v>2014</v>
      </c>
      <c r="B817" s="9" t="s">
        <v>1805</v>
      </c>
      <c r="C817" s="20" t="str">
        <f t="shared" si="12"/>
        <v>May</v>
      </c>
      <c r="D817" t="s">
        <v>916</v>
      </c>
      <c r="E817" s="10" t="s">
        <v>1077</v>
      </c>
      <c r="F817" t="s">
        <v>59</v>
      </c>
      <c r="G817" t="s">
        <v>18</v>
      </c>
      <c r="H817" t="s">
        <v>79</v>
      </c>
      <c r="I817">
        <v>3</v>
      </c>
      <c r="J817" s="3">
        <v>92.04</v>
      </c>
      <c r="K817" s="2">
        <v>0.15</v>
      </c>
      <c r="L817" s="3">
        <v>234.7</v>
      </c>
      <c r="M817" s="3">
        <v>34.86</v>
      </c>
      <c r="N817" t="s">
        <v>20</v>
      </c>
      <c r="O817" s="3"/>
      <c r="P817" s="3"/>
    </row>
    <row r="818" spans="1:16" x14ac:dyDescent="0.3">
      <c r="A818" t="s">
        <v>2015</v>
      </c>
      <c r="B818" s="9" t="s">
        <v>630</v>
      </c>
      <c r="C818" s="20" t="str">
        <f t="shared" si="12"/>
        <v>Oct</v>
      </c>
      <c r="D818" t="s">
        <v>1119</v>
      </c>
      <c r="E818" s="10" t="s">
        <v>1315</v>
      </c>
      <c r="F818" t="s">
        <v>64</v>
      </c>
      <c r="G818" t="s">
        <v>33</v>
      </c>
      <c r="H818" t="s">
        <v>34</v>
      </c>
      <c r="I818">
        <v>1</v>
      </c>
      <c r="J818" s="3">
        <v>124.29</v>
      </c>
      <c r="K818" s="2">
        <v>0</v>
      </c>
      <c r="L818" s="3">
        <v>124.29</v>
      </c>
      <c r="M818" s="3">
        <v>11.16</v>
      </c>
      <c r="N818" t="s">
        <v>35</v>
      </c>
      <c r="O818" s="3"/>
      <c r="P818" s="3"/>
    </row>
    <row r="819" spans="1:16" x14ac:dyDescent="0.3">
      <c r="A819" t="s">
        <v>2016</v>
      </c>
      <c r="B819" s="9" t="s">
        <v>1415</v>
      </c>
      <c r="C819" s="20" t="str">
        <f t="shared" si="12"/>
        <v>Sep</v>
      </c>
      <c r="D819" t="s">
        <v>861</v>
      </c>
      <c r="E819" s="10" t="s">
        <v>2017</v>
      </c>
      <c r="F819" t="s">
        <v>25</v>
      </c>
      <c r="G819" t="s">
        <v>89</v>
      </c>
      <c r="H819" t="s">
        <v>150</v>
      </c>
      <c r="I819">
        <v>2</v>
      </c>
      <c r="J819" s="3">
        <v>75.92</v>
      </c>
      <c r="K819" s="2">
        <v>0.1</v>
      </c>
      <c r="L819" s="3">
        <v>136.66</v>
      </c>
      <c r="M819" s="3">
        <v>27.34</v>
      </c>
      <c r="N819" t="s">
        <v>35</v>
      </c>
      <c r="O819" s="3"/>
      <c r="P819" s="3"/>
    </row>
    <row r="820" spans="1:16" x14ac:dyDescent="0.3">
      <c r="A820" t="s">
        <v>2018</v>
      </c>
      <c r="B820" s="9" t="s">
        <v>432</v>
      </c>
      <c r="C820" s="20" t="str">
        <f t="shared" si="12"/>
        <v>Jul</v>
      </c>
      <c r="D820" t="s">
        <v>1082</v>
      </c>
      <c r="E820" s="10" t="s">
        <v>2010</v>
      </c>
      <c r="F820" t="s">
        <v>32</v>
      </c>
      <c r="G820" t="s">
        <v>89</v>
      </c>
      <c r="H820" t="s">
        <v>131</v>
      </c>
      <c r="I820">
        <v>2</v>
      </c>
      <c r="J820" s="3">
        <v>54.9</v>
      </c>
      <c r="K820" s="2">
        <v>0.1</v>
      </c>
      <c r="L820" s="3">
        <v>98.82</v>
      </c>
      <c r="M820" s="3">
        <v>14.09</v>
      </c>
      <c r="N820" t="s">
        <v>35</v>
      </c>
      <c r="O820" s="3"/>
      <c r="P820" s="3"/>
    </row>
    <row r="821" spans="1:16" x14ac:dyDescent="0.3">
      <c r="A821" t="s">
        <v>2019</v>
      </c>
      <c r="B821" s="9" t="s">
        <v>697</v>
      </c>
      <c r="C821" s="20" t="str">
        <f t="shared" si="12"/>
        <v>Oct</v>
      </c>
      <c r="D821" t="s">
        <v>249</v>
      </c>
      <c r="E821" s="10" t="s">
        <v>2020</v>
      </c>
      <c r="F821" t="s">
        <v>17</v>
      </c>
      <c r="G821" t="s">
        <v>89</v>
      </c>
      <c r="H821" t="s">
        <v>131</v>
      </c>
      <c r="I821">
        <v>7</v>
      </c>
      <c r="J821" s="3">
        <v>188.25</v>
      </c>
      <c r="K821" s="2">
        <v>0.1</v>
      </c>
      <c r="L821" s="3">
        <v>1185.98</v>
      </c>
      <c r="M821" s="3">
        <v>349.26</v>
      </c>
      <c r="N821" t="s">
        <v>35</v>
      </c>
      <c r="O821" s="3"/>
      <c r="P821" s="3"/>
    </row>
    <row r="822" spans="1:16" x14ac:dyDescent="0.3">
      <c r="A822" t="s">
        <v>2021</v>
      </c>
      <c r="B822" s="9" t="s">
        <v>2022</v>
      </c>
      <c r="C822" s="20" t="str">
        <f t="shared" si="12"/>
        <v>Jun</v>
      </c>
      <c r="D822" t="s">
        <v>668</v>
      </c>
      <c r="E822" s="10" t="s">
        <v>2023</v>
      </c>
      <c r="F822" t="s">
        <v>17</v>
      </c>
      <c r="G822" t="s">
        <v>33</v>
      </c>
      <c r="H822" t="s">
        <v>74</v>
      </c>
      <c r="I822">
        <v>2</v>
      </c>
      <c r="J822" s="3">
        <v>93.21</v>
      </c>
      <c r="K822" s="2">
        <v>0.1</v>
      </c>
      <c r="L822" s="3">
        <v>167.78</v>
      </c>
      <c r="M822" s="3">
        <v>21.99</v>
      </c>
      <c r="N822" t="s">
        <v>20</v>
      </c>
      <c r="O822" s="3"/>
      <c r="P822" s="3"/>
    </row>
    <row r="823" spans="1:16" x14ac:dyDescent="0.3">
      <c r="A823" t="s">
        <v>2024</v>
      </c>
      <c r="B823" s="9" t="s">
        <v>1198</v>
      </c>
      <c r="C823" s="20" t="str">
        <f t="shared" si="12"/>
        <v>Jul</v>
      </c>
      <c r="D823" t="s">
        <v>694</v>
      </c>
      <c r="E823" s="10" t="s">
        <v>1632</v>
      </c>
      <c r="F823" t="s">
        <v>25</v>
      </c>
      <c r="G823" t="s">
        <v>89</v>
      </c>
      <c r="H823" t="s">
        <v>90</v>
      </c>
      <c r="I823">
        <v>5</v>
      </c>
      <c r="J823" s="3">
        <v>234.3</v>
      </c>
      <c r="K823" s="2">
        <v>0.1</v>
      </c>
      <c r="L823" s="3">
        <v>1054.3499999999999</v>
      </c>
      <c r="M823" s="3">
        <v>116.15</v>
      </c>
      <c r="N823" t="s">
        <v>20</v>
      </c>
      <c r="O823" s="3"/>
      <c r="P823" s="3"/>
    </row>
    <row r="824" spans="1:16" x14ac:dyDescent="0.3">
      <c r="A824" t="s">
        <v>2025</v>
      </c>
      <c r="B824" s="9" t="s">
        <v>592</v>
      </c>
      <c r="C824" s="20" t="str">
        <f t="shared" si="12"/>
        <v>Aug</v>
      </c>
      <c r="D824" t="s">
        <v>2026</v>
      </c>
      <c r="E824" s="10" t="s">
        <v>498</v>
      </c>
      <c r="F824" t="s">
        <v>25</v>
      </c>
      <c r="G824" t="s">
        <v>33</v>
      </c>
      <c r="H824" t="s">
        <v>34</v>
      </c>
      <c r="I824">
        <v>8</v>
      </c>
      <c r="J824" s="3">
        <v>217.35</v>
      </c>
      <c r="K824" s="2">
        <v>0.05</v>
      </c>
      <c r="L824" s="3">
        <v>1651.86</v>
      </c>
      <c r="M824" s="3">
        <v>393.12</v>
      </c>
      <c r="N824" t="s">
        <v>40</v>
      </c>
      <c r="O824" s="3"/>
      <c r="P824" s="3"/>
    </row>
    <row r="825" spans="1:16" x14ac:dyDescent="0.3">
      <c r="A825" t="s">
        <v>2027</v>
      </c>
      <c r="B825" s="9" t="s">
        <v>570</v>
      </c>
      <c r="C825" s="20" t="str">
        <f t="shared" si="12"/>
        <v>Nov</v>
      </c>
      <c r="D825" t="s">
        <v>257</v>
      </c>
      <c r="E825" s="10" t="s">
        <v>1614</v>
      </c>
      <c r="F825" t="s">
        <v>32</v>
      </c>
      <c r="G825" t="s">
        <v>26</v>
      </c>
      <c r="H825" t="s">
        <v>27</v>
      </c>
      <c r="I825">
        <v>5</v>
      </c>
      <c r="J825" s="3">
        <v>73.11</v>
      </c>
      <c r="K825" s="2">
        <v>0.05</v>
      </c>
      <c r="L825" s="3">
        <v>347.27</v>
      </c>
      <c r="M825" s="3">
        <v>87.55</v>
      </c>
      <c r="N825" t="s">
        <v>35</v>
      </c>
      <c r="O825" s="3"/>
      <c r="P825" s="3"/>
    </row>
    <row r="826" spans="1:16" x14ac:dyDescent="0.3">
      <c r="A826" t="s">
        <v>2028</v>
      </c>
      <c r="B826" s="9" t="s">
        <v>544</v>
      </c>
      <c r="C826" s="20" t="str">
        <f t="shared" si="12"/>
        <v>Dec</v>
      </c>
      <c r="D826" t="s">
        <v>567</v>
      </c>
      <c r="E826" s="10" t="s">
        <v>1182</v>
      </c>
      <c r="F826" t="s">
        <v>64</v>
      </c>
      <c r="G826" t="s">
        <v>89</v>
      </c>
      <c r="H826" t="s">
        <v>131</v>
      </c>
      <c r="I826">
        <v>8</v>
      </c>
      <c r="J826" s="3">
        <v>136.32</v>
      </c>
      <c r="K826" s="2">
        <v>0.05</v>
      </c>
      <c r="L826" s="3">
        <v>1036.03</v>
      </c>
      <c r="M826" s="3">
        <v>130.99</v>
      </c>
      <c r="N826" t="s">
        <v>40</v>
      </c>
      <c r="O826" s="3"/>
      <c r="P826" s="3"/>
    </row>
    <row r="827" spans="1:16" x14ac:dyDescent="0.3">
      <c r="A827" t="s">
        <v>2029</v>
      </c>
      <c r="B827" s="9" t="s">
        <v>775</v>
      </c>
      <c r="C827" s="20" t="str">
        <f t="shared" si="12"/>
        <v>Sep</v>
      </c>
      <c r="D827" t="s">
        <v>2030</v>
      </c>
      <c r="E827" s="10" t="s">
        <v>430</v>
      </c>
      <c r="F827" t="s">
        <v>25</v>
      </c>
      <c r="G827" t="s">
        <v>18</v>
      </c>
      <c r="H827" t="s">
        <v>45</v>
      </c>
      <c r="I827">
        <v>6</v>
      </c>
      <c r="J827" s="3">
        <v>190.49</v>
      </c>
      <c r="K827" s="2">
        <v>0.15</v>
      </c>
      <c r="L827" s="3">
        <v>971.5</v>
      </c>
      <c r="M827" s="3">
        <v>261.70999999999998</v>
      </c>
      <c r="N827" t="s">
        <v>40</v>
      </c>
      <c r="O827" s="3"/>
      <c r="P827" s="3"/>
    </row>
    <row r="828" spans="1:16" x14ac:dyDescent="0.3">
      <c r="A828" t="s">
        <v>2031</v>
      </c>
      <c r="B828" s="9" t="s">
        <v>850</v>
      </c>
      <c r="C828" s="20" t="str">
        <f t="shared" si="12"/>
        <v>Mar</v>
      </c>
      <c r="D828" t="s">
        <v>783</v>
      </c>
      <c r="E828" s="10" t="s">
        <v>2032</v>
      </c>
      <c r="F828" t="s">
        <v>59</v>
      </c>
      <c r="G828" t="s">
        <v>18</v>
      </c>
      <c r="H828" t="s">
        <v>19</v>
      </c>
      <c r="I828">
        <v>5</v>
      </c>
      <c r="J828" s="3">
        <v>82.34</v>
      </c>
      <c r="K828" s="2">
        <v>0.1</v>
      </c>
      <c r="L828" s="3">
        <v>370.53</v>
      </c>
      <c r="M828" s="3">
        <v>92.6</v>
      </c>
      <c r="N828" t="s">
        <v>35</v>
      </c>
      <c r="O828" s="3"/>
      <c r="P828" s="3"/>
    </row>
    <row r="829" spans="1:16" x14ac:dyDescent="0.3">
      <c r="A829" t="s">
        <v>2033</v>
      </c>
      <c r="B829" s="9" t="s">
        <v>2034</v>
      </c>
      <c r="C829" s="20" t="str">
        <f t="shared" si="12"/>
        <v>Jan</v>
      </c>
      <c r="D829" t="s">
        <v>1760</v>
      </c>
      <c r="E829" s="10" t="s">
        <v>1274</v>
      </c>
      <c r="F829" t="s">
        <v>64</v>
      </c>
      <c r="G829" t="s">
        <v>26</v>
      </c>
      <c r="H829" t="s">
        <v>118</v>
      </c>
      <c r="I829">
        <v>6</v>
      </c>
      <c r="J829" s="3">
        <v>107.3</v>
      </c>
      <c r="K829" s="2">
        <v>0</v>
      </c>
      <c r="L829" s="3">
        <v>643.79999999999995</v>
      </c>
      <c r="M829" s="3">
        <v>186.69</v>
      </c>
      <c r="N829" t="s">
        <v>20</v>
      </c>
      <c r="O829" s="3"/>
      <c r="P829" s="3"/>
    </row>
    <row r="830" spans="1:16" x14ac:dyDescent="0.3">
      <c r="A830" t="s">
        <v>2035</v>
      </c>
      <c r="B830" s="9" t="s">
        <v>731</v>
      </c>
      <c r="C830" s="20" t="str">
        <f t="shared" si="12"/>
        <v>Oct</v>
      </c>
      <c r="D830" t="s">
        <v>1971</v>
      </c>
      <c r="E830" s="10" t="s">
        <v>1946</v>
      </c>
      <c r="F830" t="s">
        <v>59</v>
      </c>
      <c r="G830" t="s">
        <v>33</v>
      </c>
      <c r="H830" t="s">
        <v>34</v>
      </c>
      <c r="I830">
        <v>5</v>
      </c>
      <c r="J830" s="3">
        <v>111.23</v>
      </c>
      <c r="K830" s="2">
        <v>0.05</v>
      </c>
      <c r="L830" s="3">
        <v>528.34</v>
      </c>
      <c r="M830" s="3">
        <v>45.79</v>
      </c>
      <c r="N830" t="s">
        <v>40</v>
      </c>
      <c r="O830" s="3"/>
      <c r="P830" s="3"/>
    </row>
    <row r="831" spans="1:16" x14ac:dyDescent="0.3">
      <c r="A831" t="s">
        <v>2036</v>
      </c>
      <c r="B831" s="9" t="s">
        <v>534</v>
      </c>
      <c r="C831" s="20" t="str">
        <f t="shared" si="12"/>
        <v>Mar</v>
      </c>
      <c r="D831" t="s">
        <v>909</v>
      </c>
      <c r="E831" s="10" t="s">
        <v>501</v>
      </c>
      <c r="F831" t="s">
        <v>32</v>
      </c>
      <c r="G831" t="s">
        <v>26</v>
      </c>
      <c r="H831" t="s">
        <v>84</v>
      </c>
      <c r="I831">
        <v>6</v>
      </c>
      <c r="J831" s="3">
        <v>54.32</v>
      </c>
      <c r="K831" s="2">
        <v>0.15</v>
      </c>
      <c r="L831" s="3">
        <v>277.02999999999997</v>
      </c>
      <c r="M831" s="3">
        <v>38.270000000000003</v>
      </c>
      <c r="N831" t="s">
        <v>35</v>
      </c>
      <c r="O831" s="3"/>
      <c r="P831" s="3"/>
    </row>
    <row r="832" spans="1:16" x14ac:dyDescent="0.3">
      <c r="A832" t="s">
        <v>2037</v>
      </c>
      <c r="B832" s="9" t="s">
        <v>1242</v>
      </c>
      <c r="C832" s="20" t="str">
        <f t="shared" si="12"/>
        <v>Jun</v>
      </c>
      <c r="D832" t="s">
        <v>1019</v>
      </c>
      <c r="E832" s="10" t="s">
        <v>280</v>
      </c>
      <c r="F832" t="s">
        <v>17</v>
      </c>
      <c r="G832" t="s">
        <v>18</v>
      </c>
      <c r="H832" t="s">
        <v>79</v>
      </c>
      <c r="I832">
        <v>3</v>
      </c>
      <c r="J832" s="3">
        <v>91.65</v>
      </c>
      <c r="K832" s="2">
        <v>0.1</v>
      </c>
      <c r="L832" s="3">
        <v>247.46</v>
      </c>
      <c r="M832" s="3">
        <v>38.840000000000003</v>
      </c>
      <c r="N832" t="s">
        <v>35</v>
      </c>
      <c r="O832" s="3"/>
      <c r="P832" s="3"/>
    </row>
    <row r="833" spans="1:16" x14ac:dyDescent="0.3">
      <c r="A833" t="s">
        <v>2038</v>
      </c>
      <c r="B833" s="9" t="s">
        <v>1207</v>
      </c>
      <c r="C833" s="20" t="str">
        <f t="shared" si="12"/>
        <v>Apr</v>
      </c>
      <c r="D833" t="s">
        <v>2039</v>
      </c>
      <c r="E833" s="10" t="s">
        <v>237</v>
      </c>
      <c r="F833" t="s">
        <v>17</v>
      </c>
      <c r="G833" t="s">
        <v>89</v>
      </c>
      <c r="H833" t="s">
        <v>150</v>
      </c>
      <c r="I833">
        <v>5</v>
      </c>
      <c r="J833" s="3">
        <v>181.15</v>
      </c>
      <c r="K833" s="2">
        <v>0.15</v>
      </c>
      <c r="L833" s="3">
        <v>769.89</v>
      </c>
      <c r="M833" s="3">
        <v>171.81</v>
      </c>
      <c r="N833" t="s">
        <v>20</v>
      </c>
      <c r="O833" s="3"/>
      <c r="P833" s="3"/>
    </row>
    <row r="834" spans="1:16" x14ac:dyDescent="0.3">
      <c r="A834" t="s">
        <v>2040</v>
      </c>
      <c r="B834" s="9" t="s">
        <v>1634</v>
      </c>
      <c r="C834" s="20" t="str">
        <f t="shared" ref="C834:C897" si="13">TEXT(B:B, "mmm")</f>
        <v>Dec</v>
      </c>
      <c r="D834" t="s">
        <v>1922</v>
      </c>
      <c r="E834" s="10" t="s">
        <v>1077</v>
      </c>
      <c r="F834" t="s">
        <v>59</v>
      </c>
      <c r="G834" t="s">
        <v>89</v>
      </c>
      <c r="H834" t="s">
        <v>150</v>
      </c>
      <c r="I834">
        <v>5</v>
      </c>
      <c r="J834" s="3">
        <v>172.08</v>
      </c>
      <c r="K834" s="2">
        <v>0.05</v>
      </c>
      <c r="L834" s="3">
        <v>817.38</v>
      </c>
      <c r="M834" s="3">
        <v>75.38</v>
      </c>
      <c r="N834" t="s">
        <v>35</v>
      </c>
      <c r="O834" s="3"/>
      <c r="P834" s="3"/>
    </row>
    <row r="835" spans="1:16" x14ac:dyDescent="0.3">
      <c r="A835" t="s">
        <v>2041</v>
      </c>
      <c r="B835" s="9" t="s">
        <v>796</v>
      </c>
      <c r="C835" s="20" t="str">
        <f t="shared" si="13"/>
        <v>Apr</v>
      </c>
      <c r="D835" t="s">
        <v>1811</v>
      </c>
      <c r="E835" s="10" t="s">
        <v>227</v>
      </c>
      <c r="F835" t="s">
        <v>25</v>
      </c>
      <c r="G835" t="s">
        <v>26</v>
      </c>
      <c r="H835" t="s">
        <v>27</v>
      </c>
      <c r="I835">
        <v>6</v>
      </c>
      <c r="J835" s="3">
        <v>141.78</v>
      </c>
      <c r="K835" s="2">
        <v>0.15</v>
      </c>
      <c r="L835" s="3">
        <v>723.08</v>
      </c>
      <c r="M835" s="3">
        <v>68.64</v>
      </c>
      <c r="N835" t="s">
        <v>20</v>
      </c>
      <c r="O835" s="3"/>
      <c r="P835" s="3"/>
    </row>
    <row r="836" spans="1:16" x14ac:dyDescent="0.3">
      <c r="A836" t="s">
        <v>2042</v>
      </c>
      <c r="B836" s="9" t="s">
        <v>2043</v>
      </c>
      <c r="C836" s="20" t="str">
        <f t="shared" si="13"/>
        <v>Jan</v>
      </c>
      <c r="D836" t="s">
        <v>413</v>
      </c>
      <c r="E836" s="10" t="s">
        <v>871</v>
      </c>
      <c r="F836" t="s">
        <v>25</v>
      </c>
      <c r="G836" t="s">
        <v>18</v>
      </c>
      <c r="H836" t="s">
        <v>45</v>
      </c>
      <c r="I836">
        <v>5</v>
      </c>
      <c r="J836" s="3">
        <v>118.76</v>
      </c>
      <c r="K836" s="2">
        <v>0.05</v>
      </c>
      <c r="L836" s="3">
        <v>564.11</v>
      </c>
      <c r="M836" s="3">
        <v>160.87</v>
      </c>
      <c r="N836" t="s">
        <v>20</v>
      </c>
      <c r="O836" s="3"/>
      <c r="P836" s="3"/>
    </row>
    <row r="837" spans="1:16" x14ac:dyDescent="0.3">
      <c r="A837" t="s">
        <v>2044</v>
      </c>
      <c r="B837" s="9" t="s">
        <v>1459</v>
      </c>
      <c r="C837" s="20" t="str">
        <f t="shared" si="13"/>
        <v>Sep</v>
      </c>
      <c r="D837" t="s">
        <v>468</v>
      </c>
      <c r="E837" s="10" t="s">
        <v>1272</v>
      </c>
      <c r="F837" t="s">
        <v>32</v>
      </c>
      <c r="G837" t="s">
        <v>33</v>
      </c>
      <c r="H837" t="s">
        <v>34</v>
      </c>
      <c r="I837">
        <v>5</v>
      </c>
      <c r="J837" s="3">
        <v>21.07</v>
      </c>
      <c r="K837" s="2">
        <v>0.05</v>
      </c>
      <c r="L837" s="3">
        <v>100.08</v>
      </c>
      <c r="M837" s="3">
        <v>13.19</v>
      </c>
      <c r="N837" t="s">
        <v>40</v>
      </c>
      <c r="O837" s="3"/>
      <c r="P837" s="3"/>
    </row>
    <row r="838" spans="1:16" x14ac:dyDescent="0.3">
      <c r="A838" t="s">
        <v>2045</v>
      </c>
      <c r="B838" s="9" t="s">
        <v>313</v>
      </c>
      <c r="C838" s="20" t="str">
        <f t="shared" si="13"/>
        <v>Aug</v>
      </c>
      <c r="D838" t="s">
        <v>346</v>
      </c>
      <c r="E838" s="10" t="s">
        <v>418</v>
      </c>
      <c r="F838" t="s">
        <v>25</v>
      </c>
      <c r="G838" t="s">
        <v>26</v>
      </c>
      <c r="H838" t="s">
        <v>27</v>
      </c>
      <c r="I838">
        <v>4</v>
      </c>
      <c r="J838" s="3">
        <v>138.71</v>
      </c>
      <c r="K838" s="2">
        <v>0.1</v>
      </c>
      <c r="L838" s="3">
        <v>499.36</v>
      </c>
      <c r="M838" s="3">
        <v>120.78</v>
      </c>
      <c r="N838" t="s">
        <v>40</v>
      </c>
      <c r="O838" s="3"/>
      <c r="P838" s="3"/>
    </row>
    <row r="839" spans="1:16" x14ac:dyDescent="0.3">
      <c r="A839" t="s">
        <v>2046</v>
      </c>
      <c r="B839" s="9" t="s">
        <v>676</v>
      </c>
      <c r="C839" s="20" t="str">
        <f t="shared" si="13"/>
        <v>Dec</v>
      </c>
      <c r="D839" t="s">
        <v>1616</v>
      </c>
      <c r="E839" s="10" t="s">
        <v>478</v>
      </c>
      <c r="F839" t="s">
        <v>17</v>
      </c>
      <c r="G839" t="s">
        <v>26</v>
      </c>
      <c r="H839" t="s">
        <v>84</v>
      </c>
      <c r="I839">
        <v>5</v>
      </c>
      <c r="J839" s="3">
        <v>230.11</v>
      </c>
      <c r="K839" s="2">
        <v>0.05</v>
      </c>
      <c r="L839" s="3">
        <v>1093.02</v>
      </c>
      <c r="M839" s="3">
        <v>210.08</v>
      </c>
      <c r="N839" t="s">
        <v>20</v>
      </c>
      <c r="O839" s="3"/>
      <c r="P839" s="3"/>
    </row>
    <row r="840" spans="1:16" x14ac:dyDescent="0.3">
      <c r="A840" t="s">
        <v>2047</v>
      </c>
      <c r="B840" s="9" t="s">
        <v>957</v>
      </c>
      <c r="C840" s="20" t="str">
        <f t="shared" si="13"/>
        <v>Nov</v>
      </c>
      <c r="D840" t="s">
        <v>2048</v>
      </c>
      <c r="E840" s="10" t="s">
        <v>1431</v>
      </c>
      <c r="F840" t="s">
        <v>64</v>
      </c>
      <c r="G840" t="s">
        <v>18</v>
      </c>
      <c r="H840" t="s">
        <v>79</v>
      </c>
      <c r="I840">
        <v>1</v>
      </c>
      <c r="J840" s="3">
        <v>120.29</v>
      </c>
      <c r="K840" s="2">
        <v>0</v>
      </c>
      <c r="L840" s="3">
        <v>120.29</v>
      </c>
      <c r="M840" s="3">
        <v>21.11</v>
      </c>
      <c r="N840" t="s">
        <v>20</v>
      </c>
      <c r="O840" s="3"/>
      <c r="P840" s="3"/>
    </row>
    <row r="841" spans="1:16" x14ac:dyDescent="0.3">
      <c r="A841" t="s">
        <v>2049</v>
      </c>
      <c r="B841" s="9" t="s">
        <v>544</v>
      </c>
      <c r="C841" s="20" t="str">
        <f t="shared" si="13"/>
        <v>Dec</v>
      </c>
      <c r="D841" t="s">
        <v>1754</v>
      </c>
      <c r="E841" s="10" t="s">
        <v>1341</v>
      </c>
      <c r="F841" t="s">
        <v>59</v>
      </c>
      <c r="G841" t="s">
        <v>33</v>
      </c>
      <c r="H841" t="s">
        <v>34</v>
      </c>
      <c r="I841">
        <v>1</v>
      </c>
      <c r="J841" s="3">
        <v>30.89</v>
      </c>
      <c r="K841" s="2">
        <v>0.05</v>
      </c>
      <c r="L841" s="3">
        <v>29.35</v>
      </c>
      <c r="M841" s="3">
        <v>8.15</v>
      </c>
      <c r="N841" t="s">
        <v>35</v>
      </c>
      <c r="O841" s="3"/>
      <c r="P841" s="3"/>
    </row>
    <row r="842" spans="1:16" x14ac:dyDescent="0.3">
      <c r="A842" t="s">
        <v>2050</v>
      </c>
      <c r="B842" s="9" t="s">
        <v>2051</v>
      </c>
      <c r="C842" s="20" t="str">
        <f t="shared" si="13"/>
        <v>Jun</v>
      </c>
      <c r="D842" t="s">
        <v>1030</v>
      </c>
      <c r="E842" s="10" t="s">
        <v>1250</v>
      </c>
      <c r="F842" t="s">
        <v>17</v>
      </c>
      <c r="G842" t="s">
        <v>89</v>
      </c>
      <c r="H842" t="s">
        <v>131</v>
      </c>
      <c r="I842">
        <v>6</v>
      </c>
      <c r="J842" s="3">
        <v>142.66</v>
      </c>
      <c r="K842" s="2">
        <v>0</v>
      </c>
      <c r="L842" s="3">
        <v>855.96</v>
      </c>
      <c r="M842" s="3">
        <v>191.41</v>
      </c>
      <c r="N842" t="s">
        <v>40</v>
      </c>
      <c r="O842" s="3"/>
      <c r="P842" s="3"/>
    </row>
    <row r="843" spans="1:16" x14ac:dyDescent="0.3">
      <c r="A843" t="s">
        <v>2052</v>
      </c>
      <c r="B843" s="9" t="s">
        <v>815</v>
      </c>
      <c r="C843" s="20" t="str">
        <f t="shared" si="13"/>
        <v>Jan</v>
      </c>
      <c r="D843" t="s">
        <v>465</v>
      </c>
      <c r="E843" s="10" t="s">
        <v>141</v>
      </c>
      <c r="F843" t="s">
        <v>17</v>
      </c>
      <c r="G843" t="s">
        <v>33</v>
      </c>
      <c r="H843" t="s">
        <v>69</v>
      </c>
      <c r="I843">
        <v>8</v>
      </c>
      <c r="J843" s="3">
        <v>180.81</v>
      </c>
      <c r="K843" s="2">
        <v>0.15</v>
      </c>
      <c r="L843" s="3">
        <v>1229.51</v>
      </c>
      <c r="M843" s="3">
        <v>352.92</v>
      </c>
      <c r="N843" t="s">
        <v>40</v>
      </c>
      <c r="O843" s="3"/>
      <c r="P843" s="3"/>
    </row>
    <row r="844" spans="1:16" x14ac:dyDescent="0.3">
      <c r="A844" t="s">
        <v>2053</v>
      </c>
      <c r="B844" s="9" t="s">
        <v>771</v>
      </c>
      <c r="C844" s="20" t="str">
        <f t="shared" si="13"/>
        <v>Jun</v>
      </c>
      <c r="D844" t="s">
        <v>168</v>
      </c>
      <c r="E844" s="10" t="s">
        <v>1455</v>
      </c>
      <c r="F844" t="s">
        <v>17</v>
      </c>
      <c r="G844" t="s">
        <v>18</v>
      </c>
      <c r="H844" t="s">
        <v>79</v>
      </c>
      <c r="I844">
        <v>1</v>
      </c>
      <c r="J844" s="3">
        <v>203.37</v>
      </c>
      <c r="K844" s="2">
        <v>0</v>
      </c>
      <c r="L844" s="3">
        <v>203.37</v>
      </c>
      <c r="M844" s="3">
        <v>40.97</v>
      </c>
      <c r="N844" t="s">
        <v>40</v>
      </c>
      <c r="O844" s="3"/>
      <c r="P844" s="3"/>
    </row>
    <row r="845" spans="1:16" x14ac:dyDescent="0.3">
      <c r="A845" t="s">
        <v>2054</v>
      </c>
      <c r="B845" s="9" t="s">
        <v>1252</v>
      </c>
      <c r="C845" s="20" t="str">
        <f t="shared" si="13"/>
        <v>Oct</v>
      </c>
      <c r="D845" t="s">
        <v>1314</v>
      </c>
      <c r="E845" s="10" t="s">
        <v>398</v>
      </c>
      <c r="F845" t="s">
        <v>64</v>
      </c>
      <c r="G845" t="s">
        <v>26</v>
      </c>
      <c r="H845" t="s">
        <v>27</v>
      </c>
      <c r="I845">
        <v>6</v>
      </c>
      <c r="J845" s="3">
        <v>242.41</v>
      </c>
      <c r="K845" s="2">
        <v>0.1</v>
      </c>
      <c r="L845" s="3">
        <v>1309.01</v>
      </c>
      <c r="M845" s="3">
        <v>384.3</v>
      </c>
      <c r="N845" t="s">
        <v>35</v>
      </c>
      <c r="O845" s="3"/>
      <c r="P845" s="3"/>
    </row>
    <row r="846" spans="1:16" x14ac:dyDescent="0.3">
      <c r="A846" t="s">
        <v>2055</v>
      </c>
      <c r="B846" s="9" t="s">
        <v>873</v>
      </c>
      <c r="C846" s="20" t="str">
        <f t="shared" si="13"/>
        <v>May</v>
      </c>
      <c r="D846" t="s">
        <v>2056</v>
      </c>
      <c r="E846" s="10" t="s">
        <v>851</v>
      </c>
      <c r="F846" t="s">
        <v>59</v>
      </c>
      <c r="G846" t="s">
        <v>18</v>
      </c>
      <c r="H846" t="s">
        <v>79</v>
      </c>
      <c r="I846">
        <v>7</v>
      </c>
      <c r="J846" s="3">
        <v>199.93</v>
      </c>
      <c r="K846" s="2">
        <v>0.05</v>
      </c>
      <c r="L846" s="3">
        <v>1329.53</v>
      </c>
      <c r="M846" s="3">
        <v>155.15</v>
      </c>
      <c r="N846" t="s">
        <v>35</v>
      </c>
      <c r="O846" s="3"/>
      <c r="P846" s="3"/>
    </row>
    <row r="847" spans="1:16" x14ac:dyDescent="0.3">
      <c r="A847" t="s">
        <v>2057</v>
      </c>
      <c r="B847" s="9" t="s">
        <v>1868</v>
      </c>
      <c r="C847" s="20" t="str">
        <f t="shared" si="13"/>
        <v>Nov</v>
      </c>
      <c r="D847" t="s">
        <v>2058</v>
      </c>
      <c r="E847" s="10" t="s">
        <v>284</v>
      </c>
      <c r="F847" t="s">
        <v>64</v>
      </c>
      <c r="G847" t="s">
        <v>89</v>
      </c>
      <c r="H847" t="s">
        <v>150</v>
      </c>
      <c r="I847">
        <v>4</v>
      </c>
      <c r="J847" s="3">
        <v>176.55</v>
      </c>
      <c r="K847" s="2">
        <v>0.15</v>
      </c>
      <c r="L847" s="3">
        <v>600.27</v>
      </c>
      <c r="M847" s="3">
        <v>63.04</v>
      </c>
      <c r="N847" t="s">
        <v>35</v>
      </c>
      <c r="O847" s="3"/>
      <c r="P847" s="3"/>
    </row>
    <row r="848" spans="1:16" x14ac:dyDescent="0.3">
      <c r="A848" t="s">
        <v>2059</v>
      </c>
      <c r="B848" s="9" t="s">
        <v>943</v>
      </c>
      <c r="C848" s="20" t="str">
        <f t="shared" si="13"/>
        <v>Feb</v>
      </c>
      <c r="D848" t="s">
        <v>451</v>
      </c>
      <c r="E848" s="10" t="s">
        <v>2060</v>
      </c>
      <c r="F848" t="s">
        <v>59</v>
      </c>
      <c r="G848" t="s">
        <v>89</v>
      </c>
      <c r="H848" t="s">
        <v>90</v>
      </c>
      <c r="I848">
        <v>4</v>
      </c>
      <c r="J848" s="3">
        <v>16.79</v>
      </c>
      <c r="K848" s="2">
        <v>0.05</v>
      </c>
      <c r="L848" s="3">
        <v>63.8</v>
      </c>
      <c r="M848" s="3">
        <v>6.88</v>
      </c>
      <c r="N848" t="s">
        <v>35</v>
      </c>
      <c r="O848" s="3"/>
      <c r="P848" s="3"/>
    </row>
    <row r="849" spans="1:16" x14ac:dyDescent="0.3">
      <c r="A849" t="s">
        <v>2061</v>
      </c>
      <c r="B849" s="9" t="s">
        <v>1578</v>
      </c>
      <c r="C849" s="20" t="str">
        <f t="shared" si="13"/>
        <v>Mar</v>
      </c>
      <c r="D849" t="s">
        <v>1974</v>
      </c>
      <c r="E849" s="10" t="s">
        <v>288</v>
      </c>
      <c r="F849" t="s">
        <v>25</v>
      </c>
      <c r="G849" t="s">
        <v>26</v>
      </c>
      <c r="H849" t="s">
        <v>84</v>
      </c>
      <c r="I849">
        <v>7</v>
      </c>
      <c r="J849" s="3">
        <v>65.19</v>
      </c>
      <c r="K849" s="2">
        <v>0.05</v>
      </c>
      <c r="L849" s="3">
        <v>433.51</v>
      </c>
      <c r="M849" s="3">
        <v>77.84</v>
      </c>
      <c r="N849" t="s">
        <v>40</v>
      </c>
      <c r="O849" s="3"/>
      <c r="P849" s="3"/>
    </row>
    <row r="850" spans="1:16" x14ac:dyDescent="0.3">
      <c r="A850" t="s">
        <v>2062</v>
      </c>
      <c r="B850" s="9" t="s">
        <v>1541</v>
      </c>
      <c r="C850" s="20" t="str">
        <f t="shared" si="13"/>
        <v>Dec</v>
      </c>
      <c r="D850" t="s">
        <v>57</v>
      </c>
      <c r="E850" s="10" t="s">
        <v>2063</v>
      </c>
      <c r="F850" t="s">
        <v>59</v>
      </c>
      <c r="G850" t="s">
        <v>26</v>
      </c>
      <c r="H850" t="s">
        <v>118</v>
      </c>
      <c r="I850">
        <v>4</v>
      </c>
      <c r="J850" s="3">
        <v>21.02</v>
      </c>
      <c r="K850" s="2">
        <v>0.15</v>
      </c>
      <c r="L850" s="3">
        <v>71.47</v>
      </c>
      <c r="M850" s="3">
        <v>19.8</v>
      </c>
      <c r="N850" t="s">
        <v>40</v>
      </c>
      <c r="O850" s="3"/>
      <c r="P850" s="3"/>
    </row>
    <row r="851" spans="1:16" x14ac:dyDescent="0.3">
      <c r="A851" t="s">
        <v>2064</v>
      </c>
      <c r="B851" s="9" t="s">
        <v>1144</v>
      </c>
      <c r="C851" s="20" t="str">
        <f t="shared" si="13"/>
        <v>May</v>
      </c>
      <c r="D851" t="s">
        <v>2065</v>
      </c>
      <c r="E851" s="10" t="s">
        <v>832</v>
      </c>
      <c r="F851" t="s">
        <v>32</v>
      </c>
      <c r="G851" t="s">
        <v>33</v>
      </c>
      <c r="H851" t="s">
        <v>69</v>
      </c>
      <c r="I851">
        <v>5</v>
      </c>
      <c r="J851" s="3">
        <v>169.02</v>
      </c>
      <c r="K851" s="2">
        <v>0.1</v>
      </c>
      <c r="L851" s="3">
        <v>760.59</v>
      </c>
      <c r="M851" s="3">
        <v>196.87</v>
      </c>
      <c r="N851" t="s">
        <v>20</v>
      </c>
      <c r="O851" s="3"/>
      <c r="P851" s="3"/>
    </row>
    <row r="852" spans="1:16" x14ac:dyDescent="0.3">
      <c r="A852" t="s">
        <v>2066</v>
      </c>
      <c r="B852" s="9" t="s">
        <v>298</v>
      </c>
      <c r="C852" s="20" t="str">
        <f t="shared" si="13"/>
        <v>Jul</v>
      </c>
      <c r="D852" t="s">
        <v>1728</v>
      </c>
      <c r="E852" s="10" t="s">
        <v>1250</v>
      </c>
      <c r="F852" t="s">
        <v>59</v>
      </c>
      <c r="G852" t="s">
        <v>26</v>
      </c>
      <c r="H852" t="s">
        <v>27</v>
      </c>
      <c r="I852">
        <v>5</v>
      </c>
      <c r="J852" s="3">
        <v>234.66</v>
      </c>
      <c r="K852" s="2">
        <v>0.1</v>
      </c>
      <c r="L852" s="3">
        <v>1055.97</v>
      </c>
      <c r="M852" s="3">
        <v>308.52</v>
      </c>
      <c r="N852" t="s">
        <v>20</v>
      </c>
      <c r="O852" s="3"/>
      <c r="P852" s="3"/>
    </row>
    <row r="853" spans="1:16" x14ac:dyDescent="0.3">
      <c r="A853" t="s">
        <v>2067</v>
      </c>
      <c r="B853" s="9" t="s">
        <v>362</v>
      </c>
      <c r="C853" s="20" t="str">
        <f t="shared" si="13"/>
        <v>Jun</v>
      </c>
      <c r="D853" t="s">
        <v>694</v>
      </c>
      <c r="E853" s="10" t="s">
        <v>2068</v>
      </c>
      <c r="F853" t="s">
        <v>64</v>
      </c>
      <c r="G853" t="s">
        <v>89</v>
      </c>
      <c r="H853" t="s">
        <v>90</v>
      </c>
      <c r="I853">
        <v>5</v>
      </c>
      <c r="J853" s="3">
        <v>88.37</v>
      </c>
      <c r="K853" s="2">
        <v>0.15</v>
      </c>
      <c r="L853" s="3">
        <v>375.57</v>
      </c>
      <c r="M853" s="3">
        <v>57.33</v>
      </c>
      <c r="N853" t="s">
        <v>40</v>
      </c>
      <c r="O853" s="3"/>
      <c r="P853" s="3"/>
    </row>
    <row r="854" spans="1:16" x14ac:dyDescent="0.3">
      <c r="A854" t="s">
        <v>2069</v>
      </c>
      <c r="B854" s="9" t="s">
        <v>1557</v>
      </c>
      <c r="C854" s="20" t="str">
        <f t="shared" si="13"/>
        <v>Jun</v>
      </c>
      <c r="D854" t="s">
        <v>2070</v>
      </c>
      <c r="E854" s="10" t="s">
        <v>1218</v>
      </c>
      <c r="F854" t="s">
        <v>59</v>
      </c>
      <c r="G854" t="s">
        <v>33</v>
      </c>
      <c r="H854" t="s">
        <v>69</v>
      </c>
      <c r="I854">
        <v>6</v>
      </c>
      <c r="J854" s="3">
        <v>55.61</v>
      </c>
      <c r="K854" s="2">
        <v>0</v>
      </c>
      <c r="L854" s="3">
        <v>333.66</v>
      </c>
      <c r="M854" s="3">
        <v>53.14</v>
      </c>
      <c r="N854" t="s">
        <v>40</v>
      </c>
      <c r="O854" s="3"/>
      <c r="P854" s="3"/>
    </row>
    <row r="855" spans="1:16" x14ac:dyDescent="0.3">
      <c r="A855" t="s">
        <v>2071</v>
      </c>
      <c r="B855" s="9" t="s">
        <v>37</v>
      </c>
      <c r="C855" s="20" t="str">
        <f t="shared" si="13"/>
        <v>Dec</v>
      </c>
      <c r="D855" t="s">
        <v>991</v>
      </c>
      <c r="E855" s="10" t="s">
        <v>997</v>
      </c>
      <c r="F855" t="s">
        <v>25</v>
      </c>
      <c r="G855" t="s">
        <v>18</v>
      </c>
      <c r="H855" t="s">
        <v>45</v>
      </c>
      <c r="I855">
        <v>1</v>
      </c>
      <c r="J855" s="3">
        <v>72.650000000000006</v>
      </c>
      <c r="K855" s="2">
        <v>0</v>
      </c>
      <c r="L855" s="3">
        <v>72.650000000000006</v>
      </c>
      <c r="M855" s="3">
        <v>6.74</v>
      </c>
      <c r="N855" t="s">
        <v>40</v>
      </c>
      <c r="O855" s="3"/>
      <c r="P855" s="3"/>
    </row>
    <row r="856" spans="1:16" x14ac:dyDescent="0.3">
      <c r="A856" t="s">
        <v>2072</v>
      </c>
      <c r="B856" s="9" t="s">
        <v>2073</v>
      </c>
      <c r="C856" s="20" t="str">
        <f t="shared" si="13"/>
        <v>Feb</v>
      </c>
      <c r="D856" t="s">
        <v>1682</v>
      </c>
      <c r="E856" s="10" t="s">
        <v>2074</v>
      </c>
      <c r="F856" t="s">
        <v>17</v>
      </c>
      <c r="G856" t="s">
        <v>26</v>
      </c>
      <c r="H856" t="s">
        <v>84</v>
      </c>
      <c r="I856">
        <v>8</v>
      </c>
      <c r="J856" s="3">
        <v>115.51</v>
      </c>
      <c r="K856" s="2">
        <v>0.05</v>
      </c>
      <c r="L856" s="3">
        <v>877.88</v>
      </c>
      <c r="M856" s="3">
        <v>261.37</v>
      </c>
      <c r="N856" t="s">
        <v>40</v>
      </c>
      <c r="O856" s="3"/>
      <c r="P856" s="3"/>
    </row>
    <row r="857" spans="1:16" x14ac:dyDescent="0.3">
      <c r="A857" t="s">
        <v>2075</v>
      </c>
      <c r="B857" s="9" t="s">
        <v>1486</v>
      </c>
      <c r="C857" s="20" t="str">
        <f t="shared" si="13"/>
        <v>Jan</v>
      </c>
      <c r="D857" t="s">
        <v>436</v>
      </c>
      <c r="E857" s="10" t="s">
        <v>292</v>
      </c>
      <c r="F857" t="s">
        <v>64</v>
      </c>
      <c r="G857" t="s">
        <v>89</v>
      </c>
      <c r="H857" t="s">
        <v>131</v>
      </c>
      <c r="I857">
        <v>5</v>
      </c>
      <c r="J857" s="3">
        <v>65.89</v>
      </c>
      <c r="K857" s="2">
        <v>0.1</v>
      </c>
      <c r="L857" s="3">
        <v>296.5</v>
      </c>
      <c r="M857" s="3">
        <v>34</v>
      </c>
      <c r="N857" t="s">
        <v>20</v>
      </c>
      <c r="O857" s="3"/>
      <c r="P857" s="3"/>
    </row>
    <row r="858" spans="1:16" x14ac:dyDescent="0.3">
      <c r="A858" t="s">
        <v>2076</v>
      </c>
      <c r="B858" s="9" t="s">
        <v>2077</v>
      </c>
      <c r="C858" s="20" t="str">
        <f t="shared" si="13"/>
        <v>May</v>
      </c>
      <c r="D858" t="s">
        <v>424</v>
      </c>
      <c r="E858" s="10" t="s">
        <v>2078</v>
      </c>
      <c r="F858" t="s">
        <v>32</v>
      </c>
      <c r="G858" t="s">
        <v>89</v>
      </c>
      <c r="H858" t="s">
        <v>131</v>
      </c>
      <c r="I858">
        <v>6</v>
      </c>
      <c r="J858" s="3">
        <v>83.07</v>
      </c>
      <c r="K858" s="2">
        <v>0</v>
      </c>
      <c r="L858" s="3">
        <v>498.42</v>
      </c>
      <c r="M858" s="3">
        <v>108.76</v>
      </c>
      <c r="N858" t="s">
        <v>40</v>
      </c>
      <c r="O858" s="3"/>
      <c r="P858" s="3"/>
    </row>
    <row r="859" spans="1:16" x14ac:dyDescent="0.3">
      <c r="A859" t="s">
        <v>2079</v>
      </c>
      <c r="B859" s="9" t="s">
        <v>782</v>
      </c>
      <c r="C859" s="20" t="str">
        <f t="shared" si="13"/>
        <v>Jan</v>
      </c>
      <c r="D859" t="s">
        <v>62</v>
      </c>
      <c r="E859" s="10" t="s">
        <v>601</v>
      </c>
      <c r="F859" t="s">
        <v>17</v>
      </c>
      <c r="G859" t="s">
        <v>89</v>
      </c>
      <c r="H859" t="s">
        <v>150</v>
      </c>
      <c r="I859">
        <v>4</v>
      </c>
      <c r="J859" s="3">
        <v>194.67</v>
      </c>
      <c r="K859" s="2">
        <v>0.1</v>
      </c>
      <c r="L859" s="3">
        <v>700.81</v>
      </c>
      <c r="M859" s="3">
        <v>56.14</v>
      </c>
      <c r="N859" t="s">
        <v>35</v>
      </c>
      <c r="O859" s="3"/>
      <c r="P859" s="3"/>
    </row>
    <row r="860" spans="1:16" x14ac:dyDescent="0.3">
      <c r="A860" t="s">
        <v>2080</v>
      </c>
      <c r="B860" s="9" t="s">
        <v>731</v>
      </c>
      <c r="C860" s="20" t="str">
        <f t="shared" si="13"/>
        <v>Oct</v>
      </c>
      <c r="D860" t="s">
        <v>846</v>
      </c>
      <c r="E860" s="10" t="s">
        <v>839</v>
      </c>
      <c r="F860" t="s">
        <v>64</v>
      </c>
      <c r="G860" t="s">
        <v>18</v>
      </c>
      <c r="H860" t="s">
        <v>79</v>
      </c>
      <c r="I860">
        <v>7</v>
      </c>
      <c r="J860" s="3">
        <v>169.23</v>
      </c>
      <c r="K860" s="2">
        <v>0.1</v>
      </c>
      <c r="L860" s="3">
        <v>1066.1500000000001</v>
      </c>
      <c r="M860" s="3">
        <v>177.63</v>
      </c>
      <c r="N860" t="s">
        <v>40</v>
      </c>
      <c r="O860" s="3"/>
      <c r="P860" s="3"/>
    </row>
    <row r="861" spans="1:16" x14ac:dyDescent="0.3">
      <c r="A861" t="s">
        <v>2081</v>
      </c>
      <c r="B861" s="9" t="s">
        <v>1260</v>
      </c>
      <c r="C861" s="20" t="str">
        <f t="shared" si="13"/>
        <v>May</v>
      </c>
      <c r="D861" t="s">
        <v>1019</v>
      </c>
      <c r="E861" s="10" t="s">
        <v>532</v>
      </c>
      <c r="F861" t="s">
        <v>17</v>
      </c>
      <c r="G861" t="s">
        <v>26</v>
      </c>
      <c r="H861" t="s">
        <v>27</v>
      </c>
      <c r="I861">
        <v>7</v>
      </c>
      <c r="J861" s="3">
        <v>221.54</v>
      </c>
      <c r="K861" s="2">
        <v>0.05</v>
      </c>
      <c r="L861" s="3">
        <v>1473.24</v>
      </c>
      <c r="M861" s="3">
        <v>298.17</v>
      </c>
      <c r="N861" t="s">
        <v>20</v>
      </c>
      <c r="O861" s="3"/>
      <c r="P861" s="3"/>
    </row>
    <row r="862" spans="1:16" x14ac:dyDescent="0.3">
      <c r="A862" t="s">
        <v>2082</v>
      </c>
      <c r="B862" s="9" t="s">
        <v>1813</v>
      </c>
      <c r="C862" s="20" t="str">
        <f t="shared" si="13"/>
        <v>Mar</v>
      </c>
      <c r="D862" t="s">
        <v>838</v>
      </c>
      <c r="E862" s="10" t="s">
        <v>2083</v>
      </c>
      <c r="F862" t="s">
        <v>59</v>
      </c>
      <c r="G862" t="s">
        <v>33</v>
      </c>
      <c r="H862" t="s">
        <v>69</v>
      </c>
      <c r="I862">
        <v>5</v>
      </c>
      <c r="J862" s="3">
        <v>35.85</v>
      </c>
      <c r="K862" s="2">
        <v>0.05</v>
      </c>
      <c r="L862" s="3">
        <v>170.29</v>
      </c>
      <c r="M862" s="3">
        <v>46.41</v>
      </c>
      <c r="N862" t="s">
        <v>20</v>
      </c>
      <c r="O862" s="3"/>
      <c r="P862" s="3"/>
    </row>
    <row r="863" spans="1:16" x14ac:dyDescent="0.3">
      <c r="A863" t="s">
        <v>2084</v>
      </c>
      <c r="B863" s="9" t="s">
        <v>220</v>
      </c>
      <c r="C863" s="20" t="str">
        <f t="shared" si="13"/>
        <v>Feb</v>
      </c>
      <c r="D863" t="s">
        <v>702</v>
      </c>
      <c r="E863" s="10" t="s">
        <v>2085</v>
      </c>
      <c r="F863" t="s">
        <v>17</v>
      </c>
      <c r="G863" t="s">
        <v>33</v>
      </c>
      <c r="H863" t="s">
        <v>34</v>
      </c>
      <c r="I863">
        <v>7</v>
      </c>
      <c r="J863" s="3">
        <v>129.31</v>
      </c>
      <c r="K863" s="2">
        <v>0</v>
      </c>
      <c r="L863" s="3">
        <v>905.17</v>
      </c>
      <c r="M863" s="3">
        <v>221.89</v>
      </c>
      <c r="N863" t="s">
        <v>35</v>
      </c>
      <c r="O863" s="3"/>
      <c r="P863" s="3"/>
    </row>
    <row r="864" spans="1:16" x14ac:dyDescent="0.3">
      <c r="A864" t="s">
        <v>2086</v>
      </c>
      <c r="B864" s="9" t="s">
        <v>544</v>
      </c>
      <c r="C864" s="20" t="str">
        <f t="shared" si="13"/>
        <v>Dec</v>
      </c>
      <c r="D864" t="s">
        <v>1178</v>
      </c>
      <c r="E864" s="10" t="s">
        <v>2087</v>
      </c>
      <c r="F864" t="s">
        <v>32</v>
      </c>
      <c r="G864" t="s">
        <v>18</v>
      </c>
      <c r="H864" t="s">
        <v>79</v>
      </c>
      <c r="I864">
        <v>1</v>
      </c>
      <c r="J864" s="3">
        <v>151.22999999999999</v>
      </c>
      <c r="K864" s="2">
        <v>0.1</v>
      </c>
      <c r="L864" s="3">
        <v>136.11000000000001</v>
      </c>
      <c r="M864" s="3">
        <v>26.94</v>
      </c>
      <c r="N864" t="s">
        <v>40</v>
      </c>
      <c r="O864" s="3"/>
      <c r="P864" s="3"/>
    </row>
    <row r="865" spans="1:16" x14ac:dyDescent="0.3">
      <c r="A865" t="s">
        <v>2088</v>
      </c>
      <c r="B865" s="9" t="s">
        <v>1252</v>
      </c>
      <c r="C865" s="20" t="str">
        <f t="shared" si="13"/>
        <v>Oct</v>
      </c>
      <c r="D865" t="s">
        <v>514</v>
      </c>
      <c r="E865" s="10" t="s">
        <v>1354</v>
      </c>
      <c r="F865" t="s">
        <v>32</v>
      </c>
      <c r="G865" t="s">
        <v>26</v>
      </c>
      <c r="H865" t="s">
        <v>84</v>
      </c>
      <c r="I865">
        <v>1</v>
      </c>
      <c r="J865" s="3">
        <v>101.72</v>
      </c>
      <c r="K865" s="2">
        <v>0.05</v>
      </c>
      <c r="L865" s="3">
        <v>96.63</v>
      </c>
      <c r="M865" s="3">
        <v>27.89</v>
      </c>
      <c r="N865" t="s">
        <v>20</v>
      </c>
      <c r="O865" s="3"/>
      <c r="P865" s="3"/>
    </row>
    <row r="866" spans="1:16" x14ac:dyDescent="0.3">
      <c r="A866" t="s">
        <v>2089</v>
      </c>
      <c r="B866" s="9" t="s">
        <v>1216</v>
      </c>
      <c r="C866" s="20" t="str">
        <f t="shared" si="13"/>
        <v>Oct</v>
      </c>
      <c r="D866" t="s">
        <v>514</v>
      </c>
      <c r="E866" s="10" t="s">
        <v>233</v>
      </c>
      <c r="F866" t="s">
        <v>59</v>
      </c>
      <c r="G866" t="s">
        <v>33</v>
      </c>
      <c r="H866" t="s">
        <v>74</v>
      </c>
      <c r="I866">
        <v>1</v>
      </c>
      <c r="J866" s="3">
        <v>111.04</v>
      </c>
      <c r="K866" s="2">
        <v>0.15</v>
      </c>
      <c r="L866" s="3">
        <v>94.38</v>
      </c>
      <c r="M866" s="3">
        <v>26.8</v>
      </c>
      <c r="N866" t="s">
        <v>35</v>
      </c>
      <c r="O866" s="3"/>
      <c r="P866" s="3"/>
    </row>
    <row r="867" spans="1:16" x14ac:dyDescent="0.3">
      <c r="A867" t="s">
        <v>2090</v>
      </c>
      <c r="B867" s="9" t="s">
        <v>611</v>
      </c>
      <c r="C867" s="20" t="str">
        <f t="shared" si="13"/>
        <v>Jul</v>
      </c>
      <c r="D867" t="s">
        <v>1096</v>
      </c>
      <c r="E867" s="10" t="s">
        <v>1455</v>
      </c>
      <c r="F867" t="s">
        <v>59</v>
      </c>
      <c r="G867" t="s">
        <v>26</v>
      </c>
      <c r="H867" t="s">
        <v>118</v>
      </c>
      <c r="I867">
        <v>7</v>
      </c>
      <c r="J867" s="3">
        <v>128.38</v>
      </c>
      <c r="K867" s="2">
        <v>0.05</v>
      </c>
      <c r="L867" s="3">
        <v>853.73</v>
      </c>
      <c r="M867" s="3">
        <v>111.41</v>
      </c>
      <c r="N867" t="s">
        <v>40</v>
      </c>
      <c r="O867" s="3"/>
      <c r="P867" s="3"/>
    </row>
    <row r="868" spans="1:16" x14ac:dyDescent="0.3">
      <c r="A868" t="s">
        <v>2091</v>
      </c>
      <c r="B868" s="9" t="s">
        <v>548</v>
      </c>
      <c r="C868" s="20" t="str">
        <f t="shared" si="13"/>
        <v>Aug</v>
      </c>
      <c r="D868" t="s">
        <v>353</v>
      </c>
      <c r="E868" s="10" t="s">
        <v>944</v>
      </c>
      <c r="F868" t="s">
        <v>32</v>
      </c>
      <c r="G868" t="s">
        <v>89</v>
      </c>
      <c r="H868" t="s">
        <v>90</v>
      </c>
      <c r="I868">
        <v>8</v>
      </c>
      <c r="J868" s="3">
        <v>226.43</v>
      </c>
      <c r="K868" s="2">
        <v>0.05</v>
      </c>
      <c r="L868" s="3">
        <v>1720.87</v>
      </c>
      <c r="M868" s="3">
        <v>269.39999999999998</v>
      </c>
      <c r="N868" t="s">
        <v>40</v>
      </c>
      <c r="O868" s="3"/>
      <c r="P868" s="3"/>
    </row>
    <row r="869" spans="1:16" x14ac:dyDescent="0.3">
      <c r="A869" t="s">
        <v>2092</v>
      </c>
      <c r="B869" s="9" t="s">
        <v>2093</v>
      </c>
      <c r="C869" s="20" t="str">
        <f t="shared" si="13"/>
        <v>Jul</v>
      </c>
      <c r="D869" t="s">
        <v>843</v>
      </c>
      <c r="E869" s="10" t="s">
        <v>1431</v>
      </c>
      <c r="F869" t="s">
        <v>17</v>
      </c>
      <c r="G869" t="s">
        <v>26</v>
      </c>
      <c r="H869" t="s">
        <v>84</v>
      </c>
      <c r="I869">
        <v>7</v>
      </c>
      <c r="J869" s="3">
        <v>38.799999999999997</v>
      </c>
      <c r="K869" s="2">
        <v>0</v>
      </c>
      <c r="L869" s="3">
        <v>271.60000000000002</v>
      </c>
      <c r="M869" s="3">
        <v>22.73</v>
      </c>
      <c r="N869" t="s">
        <v>20</v>
      </c>
      <c r="O869" s="3"/>
      <c r="P869" s="3"/>
    </row>
    <row r="870" spans="1:16" x14ac:dyDescent="0.3">
      <c r="A870" t="s">
        <v>2094</v>
      </c>
      <c r="B870" s="9" t="s">
        <v>256</v>
      </c>
      <c r="C870" s="20" t="str">
        <f t="shared" si="13"/>
        <v>Mar</v>
      </c>
      <c r="D870" t="s">
        <v>1302</v>
      </c>
      <c r="E870" s="10" t="s">
        <v>1439</v>
      </c>
      <c r="F870" t="s">
        <v>17</v>
      </c>
      <c r="G870" t="s">
        <v>33</v>
      </c>
      <c r="H870" t="s">
        <v>74</v>
      </c>
      <c r="I870">
        <v>8</v>
      </c>
      <c r="J870" s="3">
        <v>47.83</v>
      </c>
      <c r="K870" s="2">
        <v>0</v>
      </c>
      <c r="L870" s="3">
        <v>382.64</v>
      </c>
      <c r="M870" s="3">
        <v>98.92</v>
      </c>
      <c r="N870" t="s">
        <v>35</v>
      </c>
      <c r="O870" s="3"/>
      <c r="P870" s="3"/>
    </row>
    <row r="871" spans="1:16" x14ac:dyDescent="0.3">
      <c r="A871" t="s">
        <v>2095</v>
      </c>
      <c r="B871" s="9" t="s">
        <v>1733</v>
      </c>
      <c r="C871" s="20" t="str">
        <f t="shared" si="13"/>
        <v>Apr</v>
      </c>
      <c r="D871" t="s">
        <v>1802</v>
      </c>
      <c r="E871" s="10" t="s">
        <v>2096</v>
      </c>
      <c r="F871" t="s">
        <v>17</v>
      </c>
      <c r="G871" t="s">
        <v>33</v>
      </c>
      <c r="H871" t="s">
        <v>34</v>
      </c>
      <c r="I871">
        <v>6</v>
      </c>
      <c r="J871" s="3">
        <v>188.8</v>
      </c>
      <c r="K871" s="2">
        <v>0</v>
      </c>
      <c r="L871" s="3">
        <v>1132.8</v>
      </c>
      <c r="M871" s="3">
        <v>250.05</v>
      </c>
      <c r="N871" t="s">
        <v>40</v>
      </c>
      <c r="O871" s="3"/>
      <c r="P871" s="3"/>
    </row>
    <row r="872" spans="1:16" x14ac:dyDescent="0.3">
      <c r="A872" t="s">
        <v>2097</v>
      </c>
      <c r="B872" s="9" t="s">
        <v>708</v>
      </c>
      <c r="C872" s="20" t="str">
        <f t="shared" si="13"/>
        <v>Oct</v>
      </c>
      <c r="D872" t="s">
        <v>1698</v>
      </c>
      <c r="E872" s="10" t="s">
        <v>1560</v>
      </c>
      <c r="F872" t="s">
        <v>17</v>
      </c>
      <c r="G872" t="s">
        <v>33</v>
      </c>
      <c r="H872" t="s">
        <v>34</v>
      </c>
      <c r="I872">
        <v>6</v>
      </c>
      <c r="J872" s="3">
        <v>60.35</v>
      </c>
      <c r="K872" s="2">
        <v>0.15</v>
      </c>
      <c r="L872" s="3">
        <v>307.79000000000002</v>
      </c>
      <c r="M872" s="3">
        <v>43.66</v>
      </c>
      <c r="N872" t="s">
        <v>35</v>
      </c>
      <c r="O872" s="3"/>
      <c r="P872" s="3"/>
    </row>
    <row r="873" spans="1:16" x14ac:dyDescent="0.3">
      <c r="A873" t="s">
        <v>2098</v>
      </c>
      <c r="B873" s="9" t="s">
        <v>92</v>
      </c>
      <c r="C873" s="20" t="str">
        <f t="shared" si="13"/>
        <v>Nov</v>
      </c>
      <c r="D873" t="s">
        <v>1299</v>
      </c>
      <c r="E873" s="10" t="s">
        <v>1027</v>
      </c>
      <c r="F873" t="s">
        <v>25</v>
      </c>
      <c r="G873" t="s">
        <v>26</v>
      </c>
      <c r="H873" t="s">
        <v>27</v>
      </c>
      <c r="I873">
        <v>4</v>
      </c>
      <c r="J873" s="3">
        <v>44.4</v>
      </c>
      <c r="K873" s="2">
        <v>0.1</v>
      </c>
      <c r="L873" s="3">
        <v>159.84</v>
      </c>
      <c r="M873" s="3">
        <v>25.87</v>
      </c>
      <c r="N873" t="s">
        <v>20</v>
      </c>
      <c r="O873" s="3"/>
      <c r="P873" s="3"/>
    </row>
    <row r="874" spans="1:16" x14ac:dyDescent="0.3">
      <c r="A874" t="s">
        <v>2099</v>
      </c>
      <c r="B874" s="9" t="s">
        <v>1879</v>
      </c>
      <c r="C874" s="20" t="str">
        <f t="shared" si="13"/>
        <v>Jul</v>
      </c>
      <c r="D874" t="s">
        <v>1033</v>
      </c>
      <c r="E874" s="10" t="s">
        <v>2100</v>
      </c>
      <c r="F874" t="s">
        <v>64</v>
      </c>
      <c r="G874" t="s">
        <v>89</v>
      </c>
      <c r="H874" t="s">
        <v>90</v>
      </c>
      <c r="I874">
        <v>3</v>
      </c>
      <c r="J874" s="3">
        <v>81.03</v>
      </c>
      <c r="K874" s="2">
        <v>0.05</v>
      </c>
      <c r="L874" s="3">
        <v>230.94</v>
      </c>
      <c r="M874" s="3">
        <v>39.409999999999997</v>
      </c>
      <c r="N874" t="s">
        <v>20</v>
      </c>
      <c r="O874" s="3"/>
      <c r="P874" s="3"/>
    </row>
    <row r="875" spans="1:16" x14ac:dyDescent="0.3">
      <c r="A875" t="s">
        <v>2101</v>
      </c>
      <c r="B875" s="9" t="s">
        <v>1098</v>
      </c>
      <c r="C875" s="20" t="str">
        <f t="shared" si="13"/>
        <v>Nov</v>
      </c>
      <c r="D875" t="s">
        <v>121</v>
      </c>
      <c r="E875" s="10" t="s">
        <v>1828</v>
      </c>
      <c r="F875" t="s">
        <v>25</v>
      </c>
      <c r="G875" t="s">
        <v>26</v>
      </c>
      <c r="H875" t="s">
        <v>27</v>
      </c>
      <c r="I875">
        <v>5</v>
      </c>
      <c r="J875" s="3">
        <v>154.16</v>
      </c>
      <c r="K875" s="2">
        <v>0</v>
      </c>
      <c r="L875" s="3">
        <v>770.8</v>
      </c>
      <c r="M875" s="3">
        <v>229.59</v>
      </c>
      <c r="N875" t="s">
        <v>40</v>
      </c>
      <c r="O875" s="3"/>
      <c r="P875" s="3"/>
    </row>
    <row r="876" spans="1:16" x14ac:dyDescent="0.3">
      <c r="A876" t="s">
        <v>2102</v>
      </c>
      <c r="B876" s="9" t="s">
        <v>248</v>
      </c>
      <c r="C876" s="20" t="str">
        <f t="shared" si="13"/>
        <v>Jan</v>
      </c>
      <c r="D876" t="s">
        <v>1220</v>
      </c>
      <c r="E876" s="10" t="s">
        <v>976</v>
      </c>
      <c r="F876" t="s">
        <v>17</v>
      </c>
      <c r="G876" t="s">
        <v>26</v>
      </c>
      <c r="H876" t="s">
        <v>27</v>
      </c>
      <c r="I876">
        <v>4</v>
      </c>
      <c r="J876" s="3">
        <v>173.81</v>
      </c>
      <c r="K876" s="2">
        <v>0.1</v>
      </c>
      <c r="L876" s="3">
        <v>625.72</v>
      </c>
      <c r="M876" s="3">
        <v>97.21</v>
      </c>
      <c r="N876" t="s">
        <v>20</v>
      </c>
      <c r="O876" s="3"/>
      <c r="P876" s="3"/>
    </row>
    <row r="877" spans="1:16" x14ac:dyDescent="0.3">
      <c r="A877" t="s">
        <v>2103</v>
      </c>
      <c r="B877" s="9" t="s">
        <v>432</v>
      </c>
      <c r="C877" s="20" t="str">
        <f t="shared" si="13"/>
        <v>Jul</v>
      </c>
      <c r="D877" t="s">
        <v>2104</v>
      </c>
      <c r="E877" s="10" t="s">
        <v>1419</v>
      </c>
      <c r="F877" t="s">
        <v>32</v>
      </c>
      <c r="G877" t="s">
        <v>33</v>
      </c>
      <c r="H877" t="s">
        <v>34</v>
      </c>
      <c r="I877">
        <v>1</v>
      </c>
      <c r="J877" s="3">
        <v>193.73</v>
      </c>
      <c r="K877" s="2">
        <v>0.15</v>
      </c>
      <c r="L877" s="3">
        <v>164.67</v>
      </c>
      <c r="M877" s="3">
        <v>42.26</v>
      </c>
      <c r="N877" t="s">
        <v>20</v>
      </c>
      <c r="O877" s="3"/>
      <c r="P877" s="3"/>
    </row>
    <row r="878" spans="1:16" x14ac:dyDescent="0.3">
      <c r="A878" t="s">
        <v>2105</v>
      </c>
      <c r="B878" s="9" t="s">
        <v>1720</v>
      </c>
      <c r="C878" s="20" t="str">
        <f t="shared" si="13"/>
        <v>Nov</v>
      </c>
      <c r="D878" t="s">
        <v>1744</v>
      </c>
      <c r="E878" s="10" t="s">
        <v>1392</v>
      </c>
      <c r="F878" t="s">
        <v>17</v>
      </c>
      <c r="G878" t="s">
        <v>26</v>
      </c>
      <c r="H878" t="s">
        <v>84</v>
      </c>
      <c r="I878">
        <v>7</v>
      </c>
      <c r="J878" s="3">
        <v>86.23</v>
      </c>
      <c r="K878" s="2">
        <v>0.1</v>
      </c>
      <c r="L878" s="3">
        <v>543.25</v>
      </c>
      <c r="M878" s="3">
        <v>102.46</v>
      </c>
      <c r="N878" t="s">
        <v>20</v>
      </c>
      <c r="O878" s="3"/>
      <c r="P878" s="3"/>
    </row>
    <row r="879" spans="1:16" x14ac:dyDescent="0.3">
      <c r="A879" t="s">
        <v>2106</v>
      </c>
      <c r="B879" s="9" t="s">
        <v>1896</v>
      </c>
      <c r="C879" s="20" t="str">
        <f t="shared" si="13"/>
        <v>Jun</v>
      </c>
      <c r="D879" t="s">
        <v>1971</v>
      </c>
      <c r="E879" s="10" t="s">
        <v>498</v>
      </c>
      <c r="F879" t="s">
        <v>59</v>
      </c>
      <c r="G879" t="s">
        <v>26</v>
      </c>
      <c r="H879" t="s">
        <v>27</v>
      </c>
      <c r="I879">
        <v>8</v>
      </c>
      <c r="J879" s="3">
        <v>68.03</v>
      </c>
      <c r="K879" s="2">
        <v>0</v>
      </c>
      <c r="L879" s="3">
        <v>544.24</v>
      </c>
      <c r="M879" s="3">
        <v>77.98</v>
      </c>
      <c r="N879" t="s">
        <v>20</v>
      </c>
      <c r="O879" s="3"/>
      <c r="P879" s="3"/>
    </row>
    <row r="880" spans="1:16" x14ac:dyDescent="0.3">
      <c r="A880" t="s">
        <v>2107</v>
      </c>
      <c r="B880" s="9" t="s">
        <v>1118</v>
      </c>
      <c r="C880" s="20" t="str">
        <f t="shared" si="13"/>
        <v>Feb</v>
      </c>
      <c r="D880" t="s">
        <v>807</v>
      </c>
      <c r="E880" s="10" t="s">
        <v>634</v>
      </c>
      <c r="F880" t="s">
        <v>64</v>
      </c>
      <c r="G880" t="s">
        <v>89</v>
      </c>
      <c r="H880" t="s">
        <v>131</v>
      </c>
      <c r="I880">
        <v>5</v>
      </c>
      <c r="J880" s="3">
        <v>10</v>
      </c>
      <c r="K880" s="2">
        <v>0.1</v>
      </c>
      <c r="L880" s="3">
        <v>45</v>
      </c>
      <c r="M880" s="3">
        <v>4.16</v>
      </c>
      <c r="N880" t="s">
        <v>20</v>
      </c>
      <c r="O880" s="3"/>
      <c r="P880" s="3"/>
    </row>
    <row r="881" spans="1:16" x14ac:dyDescent="0.3">
      <c r="A881" t="s">
        <v>2108</v>
      </c>
      <c r="B881" s="9" t="s">
        <v>155</v>
      </c>
      <c r="C881" s="20" t="str">
        <f t="shared" si="13"/>
        <v>Sep</v>
      </c>
      <c r="D881" t="s">
        <v>729</v>
      </c>
      <c r="E881" s="10" t="s">
        <v>669</v>
      </c>
      <c r="F881" t="s">
        <v>64</v>
      </c>
      <c r="G881" t="s">
        <v>89</v>
      </c>
      <c r="H881" t="s">
        <v>131</v>
      </c>
      <c r="I881">
        <v>6</v>
      </c>
      <c r="J881" s="3">
        <v>94.15</v>
      </c>
      <c r="K881" s="2">
        <v>0.1</v>
      </c>
      <c r="L881" s="3">
        <v>508.41</v>
      </c>
      <c r="M881" s="3">
        <v>117.05</v>
      </c>
      <c r="N881" t="s">
        <v>35</v>
      </c>
      <c r="O881" s="3"/>
      <c r="P881" s="3"/>
    </row>
    <row r="882" spans="1:16" x14ac:dyDescent="0.3">
      <c r="A882" t="s">
        <v>2109</v>
      </c>
      <c r="B882" s="9" t="s">
        <v>302</v>
      </c>
      <c r="C882" s="20" t="str">
        <f t="shared" si="13"/>
        <v>Oct</v>
      </c>
      <c r="D882" t="s">
        <v>53</v>
      </c>
      <c r="E882" s="10" t="s">
        <v>563</v>
      </c>
      <c r="F882" t="s">
        <v>25</v>
      </c>
      <c r="G882" t="s">
        <v>26</v>
      </c>
      <c r="H882" t="s">
        <v>27</v>
      </c>
      <c r="I882">
        <v>5</v>
      </c>
      <c r="J882" s="3">
        <v>180.4</v>
      </c>
      <c r="K882" s="2">
        <v>0.05</v>
      </c>
      <c r="L882" s="3">
        <v>856.9</v>
      </c>
      <c r="M882" s="3">
        <v>125.31</v>
      </c>
      <c r="N882" t="s">
        <v>40</v>
      </c>
      <c r="O882" s="3"/>
      <c r="P882" s="3"/>
    </row>
    <row r="883" spans="1:16" x14ac:dyDescent="0.3">
      <c r="A883" t="s">
        <v>2110</v>
      </c>
      <c r="B883" s="9" t="s">
        <v>355</v>
      </c>
      <c r="C883" s="20" t="str">
        <f t="shared" si="13"/>
        <v>Jan</v>
      </c>
      <c r="D883" t="s">
        <v>2111</v>
      </c>
      <c r="E883" s="10" t="s">
        <v>813</v>
      </c>
      <c r="F883" t="s">
        <v>17</v>
      </c>
      <c r="G883" t="s">
        <v>33</v>
      </c>
      <c r="H883" t="s">
        <v>50</v>
      </c>
      <c r="I883">
        <v>3</v>
      </c>
      <c r="J883" s="3">
        <v>233.76</v>
      </c>
      <c r="K883" s="2">
        <v>0.05</v>
      </c>
      <c r="L883" s="3">
        <v>666.22</v>
      </c>
      <c r="M883" s="3">
        <v>130.18</v>
      </c>
      <c r="N883" t="s">
        <v>35</v>
      </c>
      <c r="O883" s="3"/>
      <c r="P883" s="3"/>
    </row>
    <row r="884" spans="1:16" x14ac:dyDescent="0.3">
      <c r="A884" t="s">
        <v>2112</v>
      </c>
      <c r="B884" s="9" t="s">
        <v>904</v>
      </c>
      <c r="C884" s="20" t="str">
        <f t="shared" si="13"/>
        <v>Apr</v>
      </c>
      <c r="D884" t="s">
        <v>1290</v>
      </c>
      <c r="E884" s="10" t="s">
        <v>1979</v>
      </c>
      <c r="F884" t="s">
        <v>32</v>
      </c>
      <c r="G884" t="s">
        <v>18</v>
      </c>
      <c r="H884" t="s">
        <v>79</v>
      </c>
      <c r="I884">
        <v>5</v>
      </c>
      <c r="J884" s="3">
        <v>119.81</v>
      </c>
      <c r="K884" s="2">
        <v>0.1</v>
      </c>
      <c r="L884" s="3">
        <v>539.14</v>
      </c>
      <c r="M884" s="3">
        <v>92.47</v>
      </c>
      <c r="N884" t="s">
        <v>40</v>
      </c>
      <c r="O884" s="3"/>
      <c r="P884" s="3"/>
    </row>
    <row r="885" spans="1:16" x14ac:dyDescent="0.3">
      <c r="A885" t="s">
        <v>2113</v>
      </c>
      <c r="B885" s="9" t="s">
        <v>810</v>
      </c>
      <c r="C885" s="20" t="str">
        <f t="shared" si="13"/>
        <v>Feb</v>
      </c>
      <c r="D885" t="s">
        <v>1789</v>
      </c>
      <c r="E885" s="10" t="s">
        <v>1365</v>
      </c>
      <c r="F885" t="s">
        <v>64</v>
      </c>
      <c r="G885" t="s">
        <v>26</v>
      </c>
      <c r="H885" t="s">
        <v>84</v>
      </c>
      <c r="I885">
        <v>2</v>
      </c>
      <c r="J885" s="3">
        <v>205.6</v>
      </c>
      <c r="K885" s="2">
        <v>0</v>
      </c>
      <c r="L885" s="3">
        <v>411.2</v>
      </c>
      <c r="M885" s="3">
        <v>109.44</v>
      </c>
      <c r="N885" t="s">
        <v>20</v>
      </c>
      <c r="O885" s="3"/>
      <c r="P885" s="3"/>
    </row>
    <row r="886" spans="1:16" x14ac:dyDescent="0.3">
      <c r="A886" t="s">
        <v>2114</v>
      </c>
      <c r="B886" s="9" t="s">
        <v>722</v>
      </c>
      <c r="C886" s="20" t="str">
        <f t="shared" si="13"/>
        <v>Feb</v>
      </c>
      <c r="D886" t="s">
        <v>1283</v>
      </c>
      <c r="E886" s="10" t="s">
        <v>205</v>
      </c>
      <c r="F886" t="s">
        <v>59</v>
      </c>
      <c r="G886" t="s">
        <v>26</v>
      </c>
      <c r="H886" t="s">
        <v>27</v>
      </c>
      <c r="I886">
        <v>7</v>
      </c>
      <c r="J886" s="3">
        <v>80.87</v>
      </c>
      <c r="K886" s="2">
        <v>0</v>
      </c>
      <c r="L886" s="3">
        <v>566.09</v>
      </c>
      <c r="M886" s="3">
        <v>50.52</v>
      </c>
      <c r="N886" t="s">
        <v>35</v>
      </c>
      <c r="O886" s="3"/>
      <c r="P886" s="3"/>
    </row>
    <row r="887" spans="1:16" x14ac:dyDescent="0.3">
      <c r="A887" t="s">
        <v>2115</v>
      </c>
      <c r="B887" s="9" t="s">
        <v>731</v>
      </c>
      <c r="C887" s="20" t="str">
        <f t="shared" si="13"/>
        <v>Oct</v>
      </c>
      <c r="D887" t="s">
        <v>1704</v>
      </c>
      <c r="E887" s="10" t="s">
        <v>1161</v>
      </c>
      <c r="F887" t="s">
        <v>32</v>
      </c>
      <c r="G887" t="s">
        <v>33</v>
      </c>
      <c r="H887" t="s">
        <v>34</v>
      </c>
      <c r="I887">
        <v>6</v>
      </c>
      <c r="J887" s="3">
        <v>172.42</v>
      </c>
      <c r="K887" s="2">
        <v>0.1</v>
      </c>
      <c r="L887" s="3">
        <v>931.07</v>
      </c>
      <c r="M887" s="3">
        <v>136.28</v>
      </c>
      <c r="N887" t="s">
        <v>20</v>
      </c>
      <c r="O887" s="3"/>
      <c r="P887" s="3"/>
    </row>
    <row r="888" spans="1:16" x14ac:dyDescent="0.3">
      <c r="A888" t="s">
        <v>2116</v>
      </c>
      <c r="B888" s="9" t="s">
        <v>229</v>
      </c>
      <c r="C888" s="20" t="str">
        <f t="shared" si="13"/>
        <v>Jul</v>
      </c>
      <c r="D888" t="s">
        <v>2117</v>
      </c>
      <c r="E888" s="10" t="s">
        <v>2118</v>
      </c>
      <c r="F888" t="s">
        <v>32</v>
      </c>
      <c r="G888" t="s">
        <v>89</v>
      </c>
      <c r="H888" t="s">
        <v>90</v>
      </c>
      <c r="I888">
        <v>6</v>
      </c>
      <c r="J888" s="3">
        <v>42.98</v>
      </c>
      <c r="K888" s="2">
        <v>0</v>
      </c>
      <c r="L888" s="3">
        <v>257.88</v>
      </c>
      <c r="M888" s="3">
        <v>38.19</v>
      </c>
      <c r="N888" t="s">
        <v>40</v>
      </c>
      <c r="O888" s="3"/>
      <c r="P888" s="3"/>
    </row>
    <row r="889" spans="1:16" x14ac:dyDescent="0.3">
      <c r="A889" t="s">
        <v>2119</v>
      </c>
      <c r="B889" s="9" t="s">
        <v>66</v>
      </c>
      <c r="C889" s="20" t="str">
        <f t="shared" si="13"/>
        <v>Mar</v>
      </c>
      <c r="D889" t="s">
        <v>2120</v>
      </c>
      <c r="E889" s="10" t="s">
        <v>1819</v>
      </c>
      <c r="F889" t="s">
        <v>17</v>
      </c>
      <c r="G889" t="s">
        <v>33</v>
      </c>
      <c r="H889" t="s">
        <v>69</v>
      </c>
      <c r="I889">
        <v>3</v>
      </c>
      <c r="J889" s="3">
        <v>40.43</v>
      </c>
      <c r="K889" s="2">
        <v>0.05</v>
      </c>
      <c r="L889" s="3">
        <v>115.23</v>
      </c>
      <c r="M889" s="3">
        <v>14.46</v>
      </c>
      <c r="N889" t="s">
        <v>40</v>
      </c>
      <c r="O889" s="3"/>
      <c r="P889" s="3"/>
    </row>
    <row r="890" spans="1:16" x14ac:dyDescent="0.3">
      <c r="A890" t="s">
        <v>2121</v>
      </c>
      <c r="B890" s="9" t="s">
        <v>697</v>
      </c>
      <c r="C890" s="20" t="str">
        <f t="shared" si="13"/>
        <v>Oct</v>
      </c>
      <c r="D890" t="s">
        <v>2122</v>
      </c>
      <c r="E890" s="10" t="s">
        <v>1725</v>
      </c>
      <c r="F890" t="s">
        <v>17</v>
      </c>
      <c r="G890" t="s">
        <v>18</v>
      </c>
      <c r="H890" t="s">
        <v>79</v>
      </c>
      <c r="I890">
        <v>3</v>
      </c>
      <c r="J890" s="3">
        <v>224.54</v>
      </c>
      <c r="K890" s="2">
        <v>0.1</v>
      </c>
      <c r="L890" s="3">
        <v>606.26</v>
      </c>
      <c r="M890" s="3">
        <v>128.75</v>
      </c>
      <c r="N890" t="s">
        <v>20</v>
      </c>
      <c r="O890" s="3"/>
      <c r="P890" s="3"/>
    </row>
    <row r="891" spans="1:16" x14ac:dyDescent="0.3">
      <c r="A891" t="s">
        <v>2123</v>
      </c>
      <c r="B891" s="9" t="s">
        <v>2124</v>
      </c>
      <c r="C891" s="20" t="str">
        <f t="shared" si="13"/>
        <v>Oct</v>
      </c>
      <c r="D891" t="s">
        <v>2125</v>
      </c>
      <c r="E891" s="10" t="s">
        <v>674</v>
      </c>
      <c r="F891" t="s">
        <v>25</v>
      </c>
      <c r="G891" t="s">
        <v>89</v>
      </c>
      <c r="H891" t="s">
        <v>90</v>
      </c>
      <c r="I891">
        <v>8</v>
      </c>
      <c r="J891" s="3">
        <v>65.040000000000006</v>
      </c>
      <c r="K891" s="2">
        <v>0.05</v>
      </c>
      <c r="L891" s="3">
        <v>494.3</v>
      </c>
      <c r="M891" s="3">
        <v>122.72</v>
      </c>
      <c r="N891" t="s">
        <v>20</v>
      </c>
      <c r="O891" s="3"/>
      <c r="P891" s="3"/>
    </row>
    <row r="892" spans="1:16" x14ac:dyDescent="0.3">
      <c r="A892" t="s">
        <v>2126</v>
      </c>
      <c r="B892" s="9" t="s">
        <v>1742</v>
      </c>
      <c r="C892" s="20" t="str">
        <f t="shared" si="13"/>
        <v>Jan</v>
      </c>
      <c r="D892" t="s">
        <v>1754</v>
      </c>
      <c r="E892" s="10" t="s">
        <v>1669</v>
      </c>
      <c r="F892" t="s">
        <v>64</v>
      </c>
      <c r="G892" t="s">
        <v>33</v>
      </c>
      <c r="H892" t="s">
        <v>34</v>
      </c>
      <c r="I892">
        <v>7</v>
      </c>
      <c r="J892" s="3">
        <v>65.95</v>
      </c>
      <c r="K892" s="2">
        <v>0</v>
      </c>
      <c r="L892" s="3">
        <v>461.65</v>
      </c>
      <c r="M892" s="3">
        <v>120.89</v>
      </c>
      <c r="N892" t="s">
        <v>40</v>
      </c>
      <c r="O892" s="3"/>
      <c r="P892" s="3"/>
    </row>
    <row r="893" spans="1:16" x14ac:dyDescent="0.3">
      <c r="A893" t="s">
        <v>2129</v>
      </c>
      <c r="B893" s="9" t="s">
        <v>1408</v>
      </c>
      <c r="C893" s="20" t="str">
        <f t="shared" si="13"/>
        <v>Apr</v>
      </c>
      <c r="D893" t="s">
        <v>531</v>
      </c>
      <c r="E893" s="10" t="s">
        <v>2130</v>
      </c>
      <c r="F893" t="s">
        <v>25</v>
      </c>
      <c r="G893" t="s">
        <v>18</v>
      </c>
      <c r="H893" t="s">
        <v>45</v>
      </c>
      <c r="I893">
        <v>1</v>
      </c>
      <c r="J893" s="3">
        <v>235.78</v>
      </c>
      <c r="K893" s="2">
        <v>0.05</v>
      </c>
      <c r="L893" s="3">
        <v>223.99</v>
      </c>
      <c r="M893" s="3">
        <v>23.32</v>
      </c>
      <c r="N893" t="s">
        <v>40</v>
      </c>
      <c r="O893" s="3"/>
      <c r="P893" s="3"/>
    </row>
    <row r="894" spans="1:16" x14ac:dyDescent="0.3">
      <c r="A894" t="s">
        <v>2131</v>
      </c>
      <c r="B894" s="9" t="s">
        <v>771</v>
      </c>
      <c r="C894" s="20" t="str">
        <f t="shared" si="13"/>
        <v>Jun</v>
      </c>
      <c r="D894" t="s">
        <v>517</v>
      </c>
      <c r="E894" s="10" t="s">
        <v>2096</v>
      </c>
      <c r="F894" t="s">
        <v>59</v>
      </c>
      <c r="G894" t="s">
        <v>18</v>
      </c>
      <c r="H894" t="s">
        <v>19</v>
      </c>
      <c r="I894">
        <v>3</v>
      </c>
      <c r="J894" s="3">
        <v>225.27</v>
      </c>
      <c r="K894" s="2">
        <v>0</v>
      </c>
      <c r="L894" s="3">
        <v>675.81</v>
      </c>
      <c r="M894" s="3">
        <v>70.790000000000006</v>
      </c>
      <c r="N894" t="s">
        <v>40</v>
      </c>
      <c r="O894" s="3"/>
      <c r="P894" s="3"/>
    </row>
    <row r="895" spans="1:16" x14ac:dyDescent="0.3">
      <c r="A895" t="s">
        <v>2132</v>
      </c>
      <c r="B895" s="9" t="s">
        <v>1367</v>
      </c>
      <c r="C895" s="20" t="str">
        <f t="shared" si="13"/>
        <v>Jan</v>
      </c>
      <c r="D895" t="s">
        <v>1760</v>
      </c>
      <c r="E895" s="10" t="s">
        <v>1731</v>
      </c>
      <c r="F895" t="s">
        <v>17</v>
      </c>
      <c r="G895" t="s">
        <v>26</v>
      </c>
      <c r="H895" t="s">
        <v>118</v>
      </c>
      <c r="I895">
        <v>4</v>
      </c>
      <c r="J895" s="3">
        <v>238.4</v>
      </c>
      <c r="K895" s="2">
        <v>0.05</v>
      </c>
      <c r="L895" s="3">
        <v>905.92</v>
      </c>
      <c r="M895" s="3">
        <v>220.3</v>
      </c>
      <c r="N895" t="s">
        <v>35</v>
      </c>
      <c r="O895" s="3"/>
      <c r="P895" s="3"/>
    </row>
    <row r="896" spans="1:16" x14ac:dyDescent="0.3">
      <c r="A896" t="s">
        <v>2133</v>
      </c>
      <c r="B896" s="9" t="s">
        <v>607</v>
      </c>
      <c r="C896" s="20" t="str">
        <f t="shared" si="13"/>
        <v>Sep</v>
      </c>
      <c r="D896" t="s">
        <v>1050</v>
      </c>
      <c r="E896" s="10" t="s">
        <v>1426</v>
      </c>
      <c r="F896" t="s">
        <v>32</v>
      </c>
      <c r="G896" t="s">
        <v>33</v>
      </c>
      <c r="H896" t="s">
        <v>74</v>
      </c>
      <c r="I896">
        <v>3</v>
      </c>
      <c r="J896" s="3">
        <v>99.63</v>
      </c>
      <c r="K896" s="2">
        <v>0.05</v>
      </c>
      <c r="L896" s="3">
        <v>283.95</v>
      </c>
      <c r="M896" s="3">
        <v>64.680000000000007</v>
      </c>
      <c r="N896" t="s">
        <v>20</v>
      </c>
      <c r="O896" s="3"/>
      <c r="P896" s="3"/>
    </row>
    <row r="897" spans="1:16" x14ac:dyDescent="0.3">
      <c r="A897" t="s">
        <v>2134</v>
      </c>
      <c r="B897" s="9" t="s">
        <v>1997</v>
      </c>
      <c r="C897" s="20" t="str">
        <f t="shared" si="13"/>
        <v>Sep</v>
      </c>
      <c r="D897" t="s">
        <v>2135</v>
      </c>
      <c r="E897" s="10" t="s">
        <v>854</v>
      </c>
      <c r="F897" t="s">
        <v>32</v>
      </c>
      <c r="G897" t="s">
        <v>18</v>
      </c>
      <c r="H897" t="s">
        <v>45</v>
      </c>
      <c r="I897">
        <v>5</v>
      </c>
      <c r="J897" s="3">
        <v>170.25</v>
      </c>
      <c r="K897" s="2">
        <v>0.1</v>
      </c>
      <c r="L897" s="3">
        <v>766.12</v>
      </c>
      <c r="M897" s="3">
        <v>79.27</v>
      </c>
      <c r="N897" t="s">
        <v>20</v>
      </c>
      <c r="O897" s="3"/>
      <c r="P897" s="3"/>
    </row>
    <row r="898" spans="1:16" x14ac:dyDescent="0.3">
      <c r="A898" t="s">
        <v>2136</v>
      </c>
      <c r="B898" s="9" t="s">
        <v>1629</v>
      </c>
      <c r="C898" s="20" t="str">
        <f t="shared" ref="C898:C961" si="14">TEXT(B:B, "mmm")</f>
        <v>Oct</v>
      </c>
      <c r="D898" t="s">
        <v>1147</v>
      </c>
      <c r="E898" s="10" t="s">
        <v>2137</v>
      </c>
      <c r="F898" t="s">
        <v>17</v>
      </c>
      <c r="G898" t="s">
        <v>33</v>
      </c>
      <c r="H898" t="s">
        <v>34</v>
      </c>
      <c r="I898">
        <v>2</v>
      </c>
      <c r="J898" s="3">
        <v>100.17</v>
      </c>
      <c r="K898" s="2">
        <v>0.1</v>
      </c>
      <c r="L898" s="3">
        <v>180.31</v>
      </c>
      <c r="M898" s="3">
        <v>21.49</v>
      </c>
      <c r="N898" t="s">
        <v>20</v>
      </c>
      <c r="O898" s="3"/>
      <c r="P898" s="3"/>
    </row>
    <row r="899" spans="1:16" x14ac:dyDescent="0.3">
      <c r="A899" t="s">
        <v>2138</v>
      </c>
      <c r="B899" s="9" t="s">
        <v>1005</v>
      </c>
      <c r="C899" s="20" t="str">
        <f t="shared" si="14"/>
        <v>Apr</v>
      </c>
      <c r="D899" t="s">
        <v>504</v>
      </c>
      <c r="E899" s="10" t="s">
        <v>135</v>
      </c>
      <c r="F899" t="s">
        <v>17</v>
      </c>
      <c r="G899" t="s">
        <v>33</v>
      </c>
      <c r="H899" t="s">
        <v>69</v>
      </c>
      <c r="I899">
        <v>4</v>
      </c>
      <c r="J899" s="3">
        <v>199.19</v>
      </c>
      <c r="K899" s="2">
        <v>0.1</v>
      </c>
      <c r="L899" s="3">
        <v>717.08</v>
      </c>
      <c r="M899" s="3">
        <v>60.82</v>
      </c>
      <c r="N899" t="s">
        <v>40</v>
      </c>
      <c r="O899" s="3"/>
      <c r="P899" s="3"/>
    </row>
    <row r="900" spans="1:16" x14ac:dyDescent="0.3">
      <c r="A900" t="s">
        <v>2139</v>
      </c>
      <c r="B900" s="9" t="s">
        <v>1226</v>
      </c>
      <c r="C900" s="20" t="str">
        <f t="shared" si="14"/>
        <v>Nov</v>
      </c>
      <c r="D900" t="s">
        <v>744</v>
      </c>
      <c r="E900" s="10" t="s">
        <v>1778</v>
      </c>
      <c r="F900" t="s">
        <v>59</v>
      </c>
      <c r="G900" t="s">
        <v>89</v>
      </c>
      <c r="H900" t="s">
        <v>90</v>
      </c>
      <c r="I900">
        <v>1</v>
      </c>
      <c r="J900" s="3">
        <v>220.22</v>
      </c>
      <c r="K900" s="2">
        <v>0.05</v>
      </c>
      <c r="L900" s="3">
        <v>209.21</v>
      </c>
      <c r="M900" s="3">
        <v>48.04</v>
      </c>
      <c r="N900" t="s">
        <v>20</v>
      </c>
      <c r="O900" s="3"/>
      <c r="P900" s="3"/>
    </row>
    <row r="901" spans="1:16" x14ac:dyDescent="0.3">
      <c r="A901" t="s">
        <v>2140</v>
      </c>
      <c r="B901" s="9" t="s">
        <v>341</v>
      </c>
      <c r="C901" s="20" t="str">
        <f t="shared" si="14"/>
        <v>Jul</v>
      </c>
      <c r="D901" t="s">
        <v>369</v>
      </c>
      <c r="E901" s="10" t="s">
        <v>1167</v>
      </c>
      <c r="F901" t="s">
        <v>17</v>
      </c>
      <c r="G901" t="s">
        <v>26</v>
      </c>
      <c r="H901" t="s">
        <v>118</v>
      </c>
      <c r="I901">
        <v>1</v>
      </c>
      <c r="J901" s="3">
        <v>19.190000000000001</v>
      </c>
      <c r="K901" s="2">
        <v>0</v>
      </c>
      <c r="L901" s="3">
        <v>19.190000000000001</v>
      </c>
      <c r="M901" s="3">
        <v>4.26</v>
      </c>
      <c r="N901" t="s">
        <v>40</v>
      </c>
      <c r="O901" s="3"/>
      <c r="P901" s="3"/>
    </row>
    <row r="902" spans="1:16" x14ac:dyDescent="0.3">
      <c r="A902" t="s">
        <v>2141</v>
      </c>
      <c r="B902" s="9" t="s">
        <v>1634</v>
      </c>
      <c r="C902" s="20" t="str">
        <f t="shared" si="14"/>
        <v>Dec</v>
      </c>
      <c r="D902" t="s">
        <v>1833</v>
      </c>
      <c r="E902" s="10" t="s">
        <v>891</v>
      </c>
      <c r="F902" t="s">
        <v>64</v>
      </c>
      <c r="G902" t="s">
        <v>26</v>
      </c>
      <c r="H902" t="s">
        <v>118</v>
      </c>
      <c r="I902">
        <v>5</v>
      </c>
      <c r="J902" s="3">
        <v>235.4</v>
      </c>
      <c r="K902" s="2">
        <v>0.1</v>
      </c>
      <c r="L902" s="3">
        <v>1059.3</v>
      </c>
      <c r="M902" s="3">
        <v>107.6</v>
      </c>
      <c r="N902" t="s">
        <v>40</v>
      </c>
      <c r="O902" s="3"/>
      <c r="P902" s="3"/>
    </row>
    <row r="903" spans="1:16" x14ac:dyDescent="0.3">
      <c r="A903" t="s">
        <v>2142</v>
      </c>
      <c r="B903" s="9" t="s">
        <v>1013</v>
      </c>
      <c r="C903" s="20" t="str">
        <f t="shared" si="14"/>
        <v>Dec</v>
      </c>
      <c r="D903" t="s">
        <v>1331</v>
      </c>
      <c r="E903" s="10" t="s">
        <v>1822</v>
      </c>
      <c r="F903" t="s">
        <v>64</v>
      </c>
      <c r="G903" t="s">
        <v>89</v>
      </c>
      <c r="H903" t="s">
        <v>150</v>
      </c>
      <c r="I903">
        <v>1</v>
      </c>
      <c r="J903" s="3">
        <v>196.36</v>
      </c>
      <c r="K903" s="2">
        <v>0.1</v>
      </c>
      <c r="L903" s="3">
        <v>176.72</v>
      </c>
      <c r="M903" s="3">
        <v>42.33</v>
      </c>
      <c r="N903" t="s">
        <v>40</v>
      </c>
      <c r="O903" s="3"/>
      <c r="P903" s="3"/>
    </row>
    <row r="904" spans="1:16" x14ac:dyDescent="0.3">
      <c r="A904" t="s">
        <v>2143</v>
      </c>
      <c r="B904" s="9" t="s">
        <v>1853</v>
      </c>
      <c r="C904" s="20" t="str">
        <f t="shared" si="14"/>
        <v>Jan</v>
      </c>
      <c r="D904" t="s">
        <v>1364</v>
      </c>
      <c r="E904" s="10" t="s">
        <v>2100</v>
      </c>
      <c r="F904" t="s">
        <v>59</v>
      </c>
      <c r="G904" t="s">
        <v>26</v>
      </c>
      <c r="H904" t="s">
        <v>27</v>
      </c>
      <c r="I904">
        <v>8</v>
      </c>
      <c r="J904" s="3">
        <v>63.25</v>
      </c>
      <c r="K904" s="2">
        <v>0</v>
      </c>
      <c r="L904" s="3">
        <v>506</v>
      </c>
      <c r="M904" s="3">
        <v>88.57</v>
      </c>
      <c r="N904" t="s">
        <v>20</v>
      </c>
      <c r="O904" s="3"/>
      <c r="P904" s="3"/>
    </row>
    <row r="905" spans="1:16" x14ac:dyDescent="0.3">
      <c r="A905" t="s">
        <v>2144</v>
      </c>
      <c r="B905" s="9" t="s">
        <v>47</v>
      </c>
      <c r="C905" s="20" t="str">
        <f t="shared" si="14"/>
        <v>Dec</v>
      </c>
      <c r="D905" t="s">
        <v>778</v>
      </c>
      <c r="E905" s="10" t="s">
        <v>1022</v>
      </c>
      <c r="F905" t="s">
        <v>59</v>
      </c>
      <c r="G905" t="s">
        <v>26</v>
      </c>
      <c r="H905" t="s">
        <v>27</v>
      </c>
      <c r="I905">
        <v>3</v>
      </c>
      <c r="J905" s="3">
        <v>225.23</v>
      </c>
      <c r="K905" s="2">
        <v>0.05</v>
      </c>
      <c r="L905" s="3">
        <v>641.91</v>
      </c>
      <c r="M905" s="3">
        <v>183.66</v>
      </c>
      <c r="N905" t="s">
        <v>40</v>
      </c>
      <c r="O905" s="3"/>
      <c r="P905" s="3"/>
    </row>
    <row r="906" spans="1:16" x14ac:dyDescent="0.3">
      <c r="A906" t="s">
        <v>2145</v>
      </c>
      <c r="B906" s="9" t="s">
        <v>1307</v>
      </c>
      <c r="C906" s="20" t="str">
        <f t="shared" si="14"/>
        <v>Jan</v>
      </c>
      <c r="D906" t="s">
        <v>2146</v>
      </c>
      <c r="E906" s="10" t="s">
        <v>2130</v>
      </c>
      <c r="F906" t="s">
        <v>59</v>
      </c>
      <c r="G906" t="s">
        <v>89</v>
      </c>
      <c r="H906" t="s">
        <v>131</v>
      </c>
      <c r="I906">
        <v>5</v>
      </c>
      <c r="J906" s="3">
        <v>127.17</v>
      </c>
      <c r="K906" s="2">
        <v>0.05</v>
      </c>
      <c r="L906" s="3">
        <v>604.05999999999995</v>
      </c>
      <c r="M906" s="3">
        <v>164.32</v>
      </c>
      <c r="N906" t="s">
        <v>20</v>
      </c>
      <c r="O906" s="3"/>
      <c r="P906" s="3"/>
    </row>
    <row r="907" spans="1:16" x14ac:dyDescent="0.3">
      <c r="A907" t="s">
        <v>2147</v>
      </c>
      <c r="B907" s="9" t="s">
        <v>681</v>
      </c>
      <c r="C907" s="20" t="str">
        <f t="shared" si="14"/>
        <v>Jan</v>
      </c>
      <c r="D907" t="s">
        <v>204</v>
      </c>
      <c r="E907" s="10" t="s">
        <v>227</v>
      </c>
      <c r="F907" t="s">
        <v>17</v>
      </c>
      <c r="G907" t="s">
        <v>18</v>
      </c>
      <c r="H907" t="s">
        <v>79</v>
      </c>
      <c r="I907">
        <v>1</v>
      </c>
      <c r="J907" s="3">
        <v>14.78</v>
      </c>
      <c r="K907" s="2">
        <v>0.05</v>
      </c>
      <c r="L907" s="3">
        <v>14.04</v>
      </c>
      <c r="M907" s="3">
        <v>2.87</v>
      </c>
      <c r="N907" t="s">
        <v>40</v>
      </c>
      <c r="O907" s="3"/>
      <c r="P907" s="3"/>
    </row>
    <row r="908" spans="1:16" x14ac:dyDescent="0.3">
      <c r="A908" t="s">
        <v>2148</v>
      </c>
      <c r="B908" s="9" t="s">
        <v>52</v>
      </c>
      <c r="C908" s="20" t="str">
        <f t="shared" si="14"/>
        <v>Jan</v>
      </c>
      <c r="D908" t="s">
        <v>1842</v>
      </c>
      <c r="E908" s="10" t="s">
        <v>1041</v>
      </c>
      <c r="F908" t="s">
        <v>32</v>
      </c>
      <c r="G908" t="s">
        <v>18</v>
      </c>
      <c r="H908" t="s">
        <v>79</v>
      </c>
      <c r="I908">
        <v>1</v>
      </c>
      <c r="J908" s="3">
        <v>173.71</v>
      </c>
      <c r="K908" s="2">
        <v>0.15</v>
      </c>
      <c r="L908" s="3">
        <v>147.65</v>
      </c>
      <c r="M908" s="3">
        <v>38.39</v>
      </c>
      <c r="N908" t="s">
        <v>35</v>
      </c>
      <c r="O908" s="3"/>
      <c r="P908" s="3"/>
    </row>
    <row r="909" spans="1:16" x14ac:dyDescent="0.3">
      <c r="A909" t="s">
        <v>2149</v>
      </c>
      <c r="B909" s="9" t="s">
        <v>1129</v>
      </c>
      <c r="C909" s="20" t="str">
        <f t="shared" si="14"/>
        <v>May</v>
      </c>
      <c r="D909" t="s">
        <v>1213</v>
      </c>
      <c r="E909" s="10" t="s">
        <v>922</v>
      </c>
      <c r="F909" t="s">
        <v>25</v>
      </c>
      <c r="G909" t="s">
        <v>33</v>
      </c>
      <c r="H909" t="s">
        <v>69</v>
      </c>
      <c r="I909">
        <v>7</v>
      </c>
      <c r="J909" s="3">
        <v>151.82</v>
      </c>
      <c r="K909" s="2">
        <v>0.05</v>
      </c>
      <c r="L909" s="3">
        <v>1009.6</v>
      </c>
      <c r="M909" s="3">
        <v>171.32</v>
      </c>
      <c r="N909" t="s">
        <v>20</v>
      </c>
      <c r="O909" s="3"/>
      <c r="P909" s="3"/>
    </row>
    <row r="910" spans="1:16" x14ac:dyDescent="0.3">
      <c r="A910" t="s">
        <v>2150</v>
      </c>
      <c r="B910" s="9" t="s">
        <v>2151</v>
      </c>
      <c r="C910" s="20" t="str">
        <f t="shared" si="14"/>
        <v>Jul</v>
      </c>
      <c r="D910" t="s">
        <v>429</v>
      </c>
      <c r="E910" s="10" t="s">
        <v>2152</v>
      </c>
      <c r="F910" t="s">
        <v>17</v>
      </c>
      <c r="G910" t="s">
        <v>26</v>
      </c>
      <c r="H910" t="s">
        <v>118</v>
      </c>
      <c r="I910">
        <v>1</v>
      </c>
      <c r="J910" s="3">
        <v>246.03</v>
      </c>
      <c r="K910" s="2">
        <v>0.1</v>
      </c>
      <c r="L910" s="3">
        <v>221.43</v>
      </c>
      <c r="M910" s="3">
        <v>35.36</v>
      </c>
      <c r="N910" t="s">
        <v>40</v>
      </c>
      <c r="O910" s="3"/>
      <c r="P910" s="3"/>
    </row>
    <row r="911" spans="1:16" x14ac:dyDescent="0.3">
      <c r="A911" t="s">
        <v>2153</v>
      </c>
      <c r="B911" s="9" t="s">
        <v>246</v>
      </c>
      <c r="C911" s="20" t="str">
        <f t="shared" si="14"/>
        <v>Aug</v>
      </c>
      <c r="D911" t="s">
        <v>824</v>
      </c>
      <c r="E911" s="10" t="s">
        <v>695</v>
      </c>
      <c r="F911" t="s">
        <v>59</v>
      </c>
      <c r="G911" t="s">
        <v>18</v>
      </c>
      <c r="H911" t="s">
        <v>79</v>
      </c>
      <c r="I911">
        <v>1</v>
      </c>
      <c r="J911" s="3">
        <v>117.85</v>
      </c>
      <c r="K911" s="2">
        <v>0.1</v>
      </c>
      <c r="L911" s="3">
        <v>106.06</v>
      </c>
      <c r="M911" s="3">
        <v>21.21</v>
      </c>
      <c r="N911" t="s">
        <v>20</v>
      </c>
      <c r="O911" s="3"/>
      <c r="P911" s="3"/>
    </row>
    <row r="912" spans="1:16" x14ac:dyDescent="0.3">
      <c r="A912" t="s">
        <v>2154</v>
      </c>
      <c r="B912" s="9" t="s">
        <v>1118</v>
      </c>
      <c r="C912" s="20" t="str">
        <f t="shared" si="14"/>
        <v>Feb</v>
      </c>
      <c r="D912" t="s">
        <v>967</v>
      </c>
      <c r="E912" s="10" t="s">
        <v>1979</v>
      </c>
      <c r="F912" t="s">
        <v>64</v>
      </c>
      <c r="G912" t="s">
        <v>89</v>
      </c>
      <c r="H912" t="s">
        <v>90</v>
      </c>
      <c r="I912">
        <v>8</v>
      </c>
      <c r="J912" s="3">
        <v>230.87</v>
      </c>
      <c r="K912" s="2">
        <v>0.15</v>
      </c>
      <c r="L912" s="3">
        <v>1569.92</v>
      </c>
      <c r="M912" s="3">
        <v>235.15</v>
      </c>
      <c r="N912" t="s">
        <v>20</v>
      </c>
      <c r="O912" s="3"/>
      <c r="P912" s="3"/>
    </row>
    <row r="913" spans="1:16" x14ac:dyDescent="0.3">
      <c r="A913" t="s">
        <v>2155</v>
      </c>
      <c r="B913" s="9" t="s">
        <v>1489</v>
      </c>
      <c r="C913" s="20" t="str">
        <f t="shared" si="14"/>
        <v>Jun</v>
      </c>
      <c r="D913" t="s">
        <v>1499</v>
      </c>
      <c r="E913" s="10" t="s">
        <v>2156</v>
      </c>
      <c r="F913" t="s">
        <v>64</v>
      </c>
      <c r="G913" t="s">
        <v>18</v>
      </c>
      <c r="H913" t="s">
        <v>19</v>
      </c>
      <c r="I913">
        <v>8</v>
      </c>
      <c r="J913" s="3">
        <v>65.540000000000006</v>
      </c>
      <c r="K913" s="2">
        <v>0.05</v>
      </c>
      <c r="L913" s="3">
        <v>498.1</v>
      </c>
      <c r="M913" s="3">
        <v>75.17</v>
      </c>
      <c r="N913" t="s">
        <v>20</v>
      </c>
      <c r="O913" s="3"/>
      <c r="P913" s="3"/>
    </row>
    <row r="914" spans="1:16" x14ac:dyDescent="0.3">
      <c r="A914" t="s">
        <v>2157</v>
      </c>
      <c r="B914" s="9" t="s">
        <v>124</v>
      </c>
      <c r="C914" s="20" t="str">
        <f t="shared" si="14"/>
        <v>Jun</v>
      </c>
      <c r="D914" t="s">
        <v>1030</v>
      </c>
      <c r="E914" s="10" t="s">
        <v>1680</v>
      </c>
      <c r="F914" t="s">
        <v>59</v>
      </c>
      <c r="G914" t="s">
        <v>18</v>
      </c>
      <c r="H914" t="s">
        <v>79</v>
      </c>
      <c r="I914">
        <v>7</v>
      </c>
      <c r="J914" s="3">
        <v>73.400000000000006</v>
      </c>
      <c r="K914" s="2">
        <v>0.1</v>
      </c>
      <c r="L914" s="3">
        <v>462.42</v>
      </c>
      <c r="M914" s="3">
        <v>83</v>
      </c>
      <c r="N914" t="s">
        <v>35</v>
      </c>
      <c r="O914" s="3"/>
      <c r="P914" s="3"/>
    </row>
    <row r="915" spans="1:16" x14ac:dyDescent="0.3">
      <c r="A915" t="s">
        <v>2158</v>
      </c>
      <c r="B915" s="9" t="s">
        <v>111</v>
      </c>
      <c r="C915" s="20" t="str">
        <f t="shared" si="14"/>
        <v>Apr</v>
      </c>
      <c r="D915" t="s">
        <v>617</v>
      </c>
      <c r="E915" s="10" t="s">
        <v>2020</v>
      </c>
      <c r="F915" t="s">
        <v>17</v>
      </c>
      <c r="G915" t="s">
        <v>18</v>
      </c>
      <c r="H915" t="s">
        <v>19</v>
      </c>
      <c r="I915">
        <v>1</v>
      </c>
      <c r="J915" s="3">
        <v>21.77</v>
      </c>
      <c r="K915" s="2">
        <v>0.15</v>
      </c>
      <c r="L915" s="3">
        <v>18.5</v>
      </c>
      <c r="M915" s="3">
        <v>3.29</v>
      </c>
      <c r="N915" t="s">
        <v>40</v>
      </c>
      <c r="O915" s="3"/>
      <c r="P915" s="3"/>
    </row>
    <row r="916" spans="1:16" x14ac:dyDescent="0.3">
      <c r="A916" t="s">
        <v>2159</v>
      </c>
      <c r="B916" s="9" t="s">
        <v>268</v>
      </c>
      <c r="C916" s="20" t="str">
        <f t="shared" si="14"/>
        <v>Jun</v>
      </c>
      <c r="D916" t="s">
        <v>597</v>
      </c>
      <c r="E916" s="10" t="s">
        <v>699</v>
      </c>
      <c r="F916" t="s">
        <v>17</v>
      </c>
      <c r="G916" t="s">
        <v>33</v>
      </c>
      <c r="H916" t="s">
        <v>74</v>
      </c>
      <c r="I916">
        <v>6</v>
      </c>
      <c r="J916" s="3">
        <v>152.44999999999999</v>
      </c>
      <c r="K916" s="2">
        <v>0.05</v>
      </c>
      <c r="L916" s="3">
        <v>868.96</v>
      </c>
      <c r="M916" s="3">
        <v>147.19</v>
      </c>
      <c r="N916" t="s">
        <v>35</v>
      </c>
      <c r="O916" s="3"/>
      <c r="P916" s="3"/>
    </row>
    <row r="917" spans="1:16" x14ac:dyDescent="0.3">
      <c r="A917" t="s">
        <v>2160</v>
      </c>
      <c r="B917" s="9" t="s">
        <v>309</v>
      </c>
      <c r="C917" s="20" t="str">
        <f t="shared" si="14"/>
        <v>Feb</v>
      </c>
      <c r="D917" t="s">
        <v>517</v>
      </c>
      <c r="E917" s="10" t="s">
        <v>2096</v>
      </c>
      <c r="F917" t="s">
        <v>25</v>
      </c>
      <c r="G917" t="s">
        <v>18</v>
      </c>
      <c r="H917" t="s">
        <v>79</v>
      </c>
      <c r="I917">
        <v>7</v>
      </c>
      <c r="J917" s="3">
        <v>91.98</v>
      </c>
      <c r="K917" s="2">
        <v>0.1</v>
      </c>
      <c r="L917" s="3">
        <v>579.47</v>
      </c>
      <c r="M917" s="3">
        <v>51.62</v>
      </c>
      <c r="N917" t="s">
        <v>35</v>
      </c>
      <c r="O917" s="3"/>
      <c r="P917" s="3"/>
    </row>
    <row r="918" spans="1:16" x14ac:dyDescent="0.3">
      <c r="A918" t="s">
        <v>2161</v>
      </c>
      <c r="B918" s="9" t="s">
        <v>385</v>
      </c>
      <c r="C918" s="20" t="str">
        <f t="shared" si="14"/>
        <v>Aug</v>
      </c>
      <c r="D918" t="s">
        <v>1092</v>
      </c>
      <c r="E918" s="10" t="s">
        <v>2162</v>
      </c>
      <c r="F918" t="s">
        <v>64</v>
      </c>
      <c r="G918" t="s">
        <v>26</v>
      </c>
      <c r="H918" t="s">
        <v>84</v>
      </c>
      <c r="I918">
        <v>4</v>
      </c>
      <c r="J918" s="3">
        <v>209.31</v>
      </c>
      <c r="K918" s="2">
        <v>0.1</v>
      </c>
      <c r="L918" s="3">
        <v>753.52</v>
      </c>
      <c r="M918" s="3">
        <v>133.28</v>
      </c>
      <c r="N918" t="s">
        <v>20</v>
      </c>
      <c r="O918" s="3"/>
      <c r="P918" s="3"/>
    </row>
    <row r="919" spans="1:16" x14ac:dyDescent="0.3">
      <c r="A919" t="s">
        <v>2163</v>
      </c>
      <c r="B919" s="9" t="s">
        <v>2164</v>
      </c>
      <c r="C919" s="20" t="str">
        <f t="shared" si="14"/>
        <v>Jul</v>
      </c>
      <c r="D919" t="s">
        <v>527</v>
      </c>
      <c r="E919" s="10" t="s">
        <v>363</v>
      </c>
      <c r="F919" t="s">
        <v>25</v>
      </c>
      <c r="G919" t="s">
        <v>26</v>
      </c>
      <c r="H919" t="s">
        <v>84</v>
      </c>
      <c r="I919">
        <v>3</v>
      </c>
      <c r="J919" s="3">
        <v>128.72</v>
      </c>
      <c r="K919" s="2">
        <v>0.05</v>
      </c>
      <c r="L919" s="3">
        <v>366.85</v>
      </c>
      <c r="M919" s="3">
        <v>46.22</v>
      </c>
      <c r="N919" t="s">
        <v>40</v>
      </c>
      <c r="O919" s="3"/>
      <c r="P919" s="3"/>
    </row>
    <row r="920" spans="1:16" x14ac:dyDescent="0.3">
      <c r="A920" t="s">
        <v>2165</v>
      </c>
      <c r="B920" s="9" t="s">
        <v>2166</v>
      </c>
      <c r="C920" s="20" t="str">
        <f t="shared" si="14"/>
        <v>Dec</v>
      </c>
      <c r="D920" t="s">
        <v>458</v>
      </c>
      <c r="E920" s="10" t="s">
        <v>951</v>
      </c>
      <c r="F920" t="s">
        <v>25</v>
      </c>
      <c r="G920" t="s">
        <v>33</v>
      </c>
      <c r="H920" t="s">
        <v>69</v>
      </c>
      <c r="I920">
        <v>5</v>
      </c>
      <c r="J920" s="3">
        <v>223.61</v>
      </c>
      <c r="K920" s="2">
        <v>0.15</v>
      </c>
      <c r="L920" s="3">
        <v>950.34</v>
      </c>
      <c r="M920" s="3">
        <v>205.26</v>
      </c>
      <c r="N920" t="s">
        <v>20</v>
      </c>
      <c r="O920" s="3"/>
      <c r="P920" s="3"/>
    </row>
    <row r="921" spans="1:16" x14ac:dyDescent="0.3">
      <c r="A921" t="s">
        <v>2167</v>
      </c>
      <c r="B921" s="9" t="s">
        <v>2168</v>
      </c>
      <c r="C921" s="20" t="str">
        <f t="shared" si="14"/>
        <v>Jan</v>
      </c>
      <c r="D921" t="s">
        <v>1968</v>
      </c>
      <c r="E921" s="10" t="s">
        <v>414</v>
      </c>
      <c r="F921" t="s">
        <v>17</v>
      </c>
      <c r="G921" t="s">
        <v>89</v>
      </c>
      <c r="H921" t="s">
        <v>150</v>
      </c>
      <c r="I921">
        <v>1</v>
      </c>
      <c r="J921" s="3">
        <v>31.22</v>
      </c>
      <c r="K921" s="2">
        <v>0.15</v>
      </c>
      <c r="L921" s="3">
        <v>26.54</v>
      </c>
      <c r="M921" s="3">
        <v>3.69</v>
      </c>
      <c r="N921" t="s">
        <v>20</v>
      </c>
      <c r="O921" s="3"/>
      <c r="P921" s="3"/>
    </row>
    <row r="922" spans="1:16" x14ac:dyDescent="0.3">
      <c r="A922" t="s">
        <v>2169</v>
      </c>
      <c r="B922" s="9" t="s">
        <v>743</v>
      </c>
      <c r="C922" s="20" t="str">
        <f t="shared" si="14"/>
        <v>Oct</v>
      </c>
      <c r="D922" t="s">
        <v>1000</v>
      </c>
      <c r="E922" s="10" t="s">
        <v>1594</v>
      </c>
      <c r="F922" t="s">
        <v>25</v>
      </c>
      <c r="G922" t="s">
        <v>89</v>
      </c>
      <c r="H922" t="s">
        <v>150</v>
      </c>
      <c r="I922">
        <v>5</v>
      </c>
      <c r="J922" s="3">
        <v>90.34</v>
      </c>
      <c r="K922" s="2">
        <v>0</v>
      </c>
      <c r="L922" s="3">
        <v>451.7</v>
      </c>
      <c r="M922" s="3">
        <v>123.54</v>
      </c>
      <c r="N922" t="s">
        <v>35</v>
      </c>
      <c r="O922" s="3"/>
      <c r="P922" s="3"/>
    </row>
    <row r="923" spans="1:16" x14ac:dyDescent="0.3">
      <c r="A923" t="s">
        <v>2170</v>
      </c>
      <c r="B923" s="9" t="s">
        <v>416</v>
      </c>
      <c r="C923" s="20" t="str">
        <f t="shared" si="14"/>
        <v>Nov</v>
      </c>
      <c r="D923" t="s">
        <v>1682</v>
      </c>
      <c r="E923" s="10" t="s">
        <v>747</v>
      </c>
      <c r="F923" t="s">
        <v>25</v>
      </c>
      <c r="G923" t="s">
        <v>18</v>
      </c>
      <c r="H923" t="s">
        <v>19</v>
      </c>
      <c r="I923">
        <v>5</v>
      </c>
      <c r="J923" s="3">
        <v>85.25</v>
      </c>
      <c r="K923" s="2">
        <v>0.15</v>
      </c>
      <c r="L923" s="3">
        <v>362.31</v>
      </c>
      <c r="M923" s="3">
        <v>106.8</v>
      </c>
      <c r="N923" t="s">
        <v>40</v>
      </c>
      <c r="O923" s="3"/>
      <c r="P923" s="3"/>
    </row>
    <row r="924" spans="1:16" x14ac:dyDescent="0.3">
      <c r="A924" t="s">
        <v>2171</v>
      </c>
      <c r="B924" s="9" t="s">
        <v>252</v>
      </c>
      <c r="C924" s="20" t="str">
        <f t="shared" si="14"/>
        <v>Mar</v>
      </c>
      <c r="D924" t="s">
        <v>409</v>
      </c>
      <c r="E924" s="10" t="s">
        <v>329</v>
      </c>
      <c r="F924" t="s">
        <v>59</v>
      </c>
      <c r="G924" t="s">
        <v>33</v>
      </c>
      <c r="H924" t="s">
        <v>34</v>
      </c>
      <c r="I924">
        <v>5</v>
      </c>
      <c r="J924" s="3">
        <v>197.34</v>
      </c>
      <c r="K924" s="2">
        <v>0.15</v>
      </c>
      <c r="L924" s="3">
        <v>838.7</v>
      </c>
      <c r="M924" s="3">
        <v>220.62</v>
      </c>
      <c r="N924" t="s">
        <v>20</v>
      </c>
      <c r="O924" s="3"/>
      <c r="P924" s="3"/>
    </row>
    <row r="925" spans="1:16" x14ac:dyDescent="0.3">
      <c r="A925" t="s">
        <v>2172</v>
      </c>
      <c r="B925" s="9" t="s">
        <v>1801</v>
      </c>
      <c r="C925" s="20" t="str">
        <f t="shared" si="14"/>
        <v>Apr</v>
      </c>
      <c r="D925" t="s">
        <v>1539</v>
      </c>
      <c r="E925" s="10" t="s">
        <v>2173</v>
      </c>
      <c r="F925" t="s">
        <v>25</v>
      </c>
      <c r="G925" t="s">
        <v>33</v>
      </c>
      <c r="H925" t="s">
        <v>50</v>
      </c>
      <c r="I925">
        <v>8</v>
      </c>
      <c r="J925" s="3">
        <v>116.58</v>
      </c>
      <c r="K925" s="2">
        <v>0.1</v>
      </c>
      <c r="L925" s="3">
        <v>839.38</v>
      </c>
      <c r="M925" s="3">
        <v>146.54</v>
      </c>
      <c r="N925" t="s">
        <v>20</v>
      </c>
      <c r="O925" s="3"/>
      <c r="P925" s="3"/>
    </row>
    <row r="926" spans="1:16" x14ac:dyDescent="0.3">
      <c r="A926" t="s">
        <v>2174</v>
      </c>
      <c r="B926" s="9" t="s">
        <v>1668</v>
      </c>
      <c r="C926" s="20" t="str">
        <f t="shared" si="14"/>
        <v>Dec</v>
      </c>
      <c r="D926" t="s">
        <v>1046</v>
      </c>
      <c r="E926" s="10" t="s">
        <v>258</v>
      </c>
      <c r="F926" t="s">
        <v>32</v>
      </c>
      <c r="G926" t="s">
        <v>33</v>
      </c>
      <c r="H926" t="s">
        <v>74</v>
      </c>
      <c r="I926">
        <v>5</v>
      </c>
      <c r="J926" s="3">
        <v>133.81</v>
      </c>
      <c r="K926" s="2">
        <v>0.1</v>
      </c>
      <c r="L926" s="3">
        <v>602.14</v>
      </c>
      <c r="M926" s="3">
        <v>111.54</v>
      </c>
      <c r="N926" t="s">
        <v>20</v>
      </c>
      <c r="O926" s="3"/>
      <c r="P926" s="3"/>
    </row>
    <row r="927" spans="1:16" x14ac:dyDescent="0.3">
      <c r="A927" t="s">
        <v>2175</v>
      </c>
      <c r="B927" s="9" t="s">
        <v>1992</v>
      </c>
      <c r="C927" s="20" t="str">
        <f t="shared" si="14"/>
        <v>Jul</v>
      </c>
      <c r="D927" t="s">
        <v>160</v>
      </c>
      <c r="E927" s="10" t="s">
        <v>1803</v>
      </c>
      <c r="F927" t="s">
        <v>59</v>
      </c>
      <c r="G927" t="s">
        <v>26</v>
      </c>
      <c r="H927" t="s">
        <v>27</v>
      </c>
      <c r="I927">
        <v>4</v>
      </c>
      <c r="J927" s="3">
        <v>16.75</v>
      </c>
      <c r="K927" s="2">
        <v>0.15</v>
      </c>
      <c r="L927" s="3">
        <v>56.95</v>
      </c>
      <c r="M927" s="3">
        <v>7.78</v>
      </c>
      <c r="N927" t="s">
        <v>35</v>
      </c>
      <c r="O927" s="3"/>
      <c r="P927" s="3"/>
    </row>
    <row r="928" spans="1:16" x14ac:dyDescent="0.3">
      <c r="A928" t="s">
        <v>2176</v>
      </c>
      <c r="B928" s="9" t="s">
        <v>207</v>
      </c>
      <c r="C928" s="20" t="str">
        <f t="shared" si="14"/>
        <v>Mar</v>
      </c>
      <c r="D928" t="s">
        <v>477</v>
      </c>
      <c r="E928" s="10" t="s">
        <v>2177</v>
      </c>
      <c r="F928" t="s">
        <v>64</v>
      </c>
      <c r="G928" t="s">
        <v>33</v>
      </c>
      <c r="H928" t="s">
        <v>50</v>
      </c>
      <c r="I928">
        <v>5</v>
      </c>
      <c r="J928" s="3">
        <v>181.33</v>
      </c>
      <c r="K928" s="2">
        <v>0</v>
      </c>
      <c r="L928" s="3">
        <v>906.65</v>
      </c>
      <c r="M928" s="3">
        <v>90.97</v>
      </c>
      <c r="N928" t="s">
        <v>20</v>
      </c>
      <c r="O928" s="3"/>
      <c r="P928" s="3"/>
    </row>
    <row r="929" spans="1:16" x14ac:dyDescent="0.3">
      <c r="A929" t="s">
        <v>2178</v>
      </c>
      <c r="B929" s="9" t="s">
        <v>309</v>
      </c>
      <c r="C929" s="20" t="str">
        <f t="shared" si="14"/>
        <v>Feb</v>
      </c>
      <c r="D929" t="s">
        <v>224</v>
      </c>
      <c r="E929" s="10" t="s">
        <v>871</v>
      </c>
      <c r="F929" t="s">
        <v>17</v>
      </c>
      <c r="G929" t="s">
        <v>18</v>
      </c>
      <c r="H929" t="s">
        <v>45</v>
      </c>
      <c r="I929">
        <v>3</v>
      </c>
      <c r="J929" s="3">
        <v>112.58</v>
      </c>
      <c r="K929" s="2">
        <v>0.1</v>
      </c>
      <c r="L929" s="3">
        <v>303.97000000000003</v>
      </c>
      <c r="M929" s="3">
        <v>85.42</v>
      </c>
      <c r="N929" t="s">
        <v>35</v>
      </c>
      <c r="O929" s="3"/>
      <c r="P929" s="3"/>
    </row>
    <row r="930" spans="1:16" x14ac:dyDescent="0.3">
      <c r="A930" t="s">
        <v>2179</v>
      </c>
      <c r="B930" s="9" t="s">
        <v>1260</v>
      </c>
      <c r="C930" s="20" t="str">
        <f t="shared" si="14"/>
        <v>May</v>
      </c>
      <c r="D930" t="s">
        <v>861</v>
      </c>
      <c r="E930" s="10" t="s">
        <v>738</v>
      </c>
      <c r="F930" t="s">
        <v>25</v>
      </c>
      <c r="G930" t="s">
        <v>18</v>
      </c>
      <c r="H930" t="s">
        <v>79</v>
      </c>
      <c r="I930">
        <v>6</v>
      </c>
      <c r="J930" s="3">
        <v>102.29</v>
      </c>
      <c r="K930" s="2">
        <v>0.05</v>
      </c>
      <c r="L930" s="3">
        <v>583.04999999999995</v>
      </c>
      <c r="M930" s="3">
        <v>110.38</v>
      </c>
      <c r="N930" t="s">
        <v>40</v>
      </c>
      <c r="O930" s="3"/>
      <c r="P930" s="3"/>
    </row>
    <row r="931" spans="1:16" x14ac:dyDescent="0.3">
      <c r="A931" t="s">
        <v>2180</v>
      </c>
      <c r="B931" s="9" t="s">
        <v>29</v>
      </c>
      <c r="C931" s="20" t="str">
        <f t="shared" si="14"/>
        <v>Jun</v>
      </c>
      <c r="D931" t="s">
        <v>2181</v>
      </c>
      <c r="E931" s="10" t="s">
        <v>919</v>
      </c>
      <c r="F931" t="s">
        <v>64</v>
      </c>
      <c r="G931" t="s">
        <v>89</v>
      </c>
      <c r="H931" t="s">
        <v>131</v>
      </c>
      <c r="I931">
        <v>8</v>
      </c>
      <c r="J931" s="3">
        <v>198.66</v>
      </c>
      <c r="K931" s="2">
        <v>0.1</v>
      </c>
      <c r="L931" s="3">
        <v>1430.35</v>
      </c>
      <c r="M931" s="3">
        <v>303.10000000000002</v>
      </c>
      <c r="N931" t="s">
        <v>40</v>
      </c>
      <c r="O931" s="3"/>
      <c r="P931" s="3"/>
    </row>
    <row r="932" spans="1:16" x14ac:dyDescent="0.3">
      <c r="A932" t="s">
        <v>2182</v>
      </c>
      <c r="B932" s="9" t="s">
        <v>974</v>
      </c>
      <c r="C932" s="20" t="str">
        <f t="shared" si="14"/>
        <v>May</v>
      </c>
      <c r="D932" t="s">
        <v>2183</v>
      </c>
      <c r="E932" s="10" t="s">
        <v>193</v>
      </c>
      <c r="F932" t="s">
        <v>25</v>
      </c>
      <c r="G932" t="s">
        <v>26</v>
      </c>
      <c r="H932" t="s">
        <v>27</v>
      </c>
      <c r="I932">
        <v>8</v>
      </c>
      <c r="J932" s="3">
        <v>189.68</v>
      </c>
      <c r="K932" s="2">
        <v>0.05</v>
      </c>
      <c r="L932" s="3">
        <v>1441.57</v>
      </c>
      <c r="M932" s="3">
        <v>409.73</v>
      </c>
      <c r="N932" t="s">
        <v>40</v>
      </c>
      <c r="O932" s="3"/>
      <c r="P932" s="3"/>
    </row>
    <row r="933" spans="1:16" x14ac:dyDescent="0.3">
      <c r="A933" t="s">
        <v>2184</v>
      </c>
      <c r="B933" s="9" t="s">
        <v>1055</v>
      </c>
      <c r="C933" s="20" t="str">
        <f t="shared" si="14"/>
        <v>Aug</v>
      </c>
      <c r="D933" t="s">
        <v>1290</v>
      </c>
      <c r="E933" s="10" t="s">
        <v>390</v>
      </c>
      <c r="F933" t="s">
        <v>25</v>
      </c>
      <c r="G933" t="s">
        <v>33</v>
      </c>
      <c r="H933" t="s">
        <v>50</v>
      </c>
      <c r="I933">
        <v>6</v>
      </c>
      <c r="J933" s="3">
        <v>60.5</v>
      </c>
      <c r="K933" s="2">
        <v>0.05</v>
      </c>
      <c r="L933" s="3">
        <v>344.85</v>
      </c>
      <c r="M933" s="3">
        <v>35.24</v>
      </c>
      <c r="N933" t="s">
        <v>20</v>
      </c>
      <c r="O933" s="3"/>
      <c r="P933" s="3"/>
    </row>
    <row r="934" spans="1:16" x14ac:dyDescent="0.3">
      <c r="A934" t="s">
        <v>2185</v>
      </c>
      <c r="B934" s="9" t="s">
        <v>1925</v>
      </c>
      <c r="C934" s="20" t="str">
        <f t="shared" si="14"/>
        <v>May</v>
      </c>
      <c r="D934" t="s">
        <v>1166</v>
      </c>
      <c r="E934" s="10" t="s">
        <v>1596</v>
      </c>
      <c r="F934" t="s">
        <v>59</v>
      </c>
      <c r="G934" t="s">
        <v>33</v>
      </c>
      <c r="H934" t="s">
        <v>69</v>
      </c>
      <c r="I934">
        <v>1</v>
      </c>
      <c r="J934" s="3">
        <v>127.03</v>
      </c>
      <c r="K934" s="2">
        <v>0.05</v>
      </c>
      <c r="L934" s="3">
        <v>120.68</v>
      </c>
      <c r="M934" s="3">
        <v>19.489999999999998</v>
      </c>
      <c r="N934" t="s">
        <v>20</v>
      </c>
      <c r="O934" s="3"/>
      <c r="P934" s="3"/>
    </row>
    <row r="935" spans="1:16" x14ac:dyDescent="0.3">
      <c r="A935" t="s">
        <v>2186</v>
      </c>
      <c r="B935" s="9" t="s">
        <v>2168</v>
      </c>
      <c r="C935" s="20" t="str">
        <f t="shared" si="14"/>
        <v>Jan</v>
      </c>
      <c r="D935" t="s">
        <v>660</v>
      </c>
      <c r="E935" s="10" t="s">
        <v>910</v>
      </c>
      <c r="F935" t="s">
        <v>64</v>
      </c>
      <c r="G935" t="s">
        <v>33</v>
      </c>
      <c r="H935" t="s">
        <v>74</v>
      </c>
      <c r="I935">
        <v>6</v>
      </c>
      <c r="J935" s="3">
        <v>156.69999999999999</v>
      </c>
      <c r="K935" s="2">
        <v>0.1</v>
      </c>
      <c r="L935" s="3">
        <v>846.18</v>
      </c>
      <c r="M935" s="3">
        <v>195.6</v>
      </c>
      <c r="N935" t="s">
        <v>20</v>
      </c>
      <c r="O935" s="3"/>
      <c r="P935" s="3"/>
    </row>
    <row r="936" spans="1:16" x14ac:dyDescent="0.3">
      <c r="A936" t="s">
        <v>2187</v>
      </c>
      <c r="B936" s="9" t="s">
        <v>878</v>
      </c>
      <c r="C936" s="20" t="str">
        <f t="shared" si="14"/>
        <v>Aug</v>
      </c>
      <c r="D936" t="s">
        <v>1951</v>
      </c>
      <c r="E936" s="10" t="s">
        <v>1525</v>
      </c>
      <c r="F936" t="s">
        <v>59</v>
      </c>
      <c r="G936" t="s">
        <v>33</v>
      </c>
      <c r="H936" t="s">
        <v>50</v>
      </c>
      <c r="I936">
        <v>6</v>
      </c>
      <c r="J936" s="3">
        <v>47.35</v>
      </c>
      <c r="K936" s="2">
        <v>0.05</v>
      </c>
      <c r="L936" s="3">
        <v>269.89</v>
      </c>
      <c r="M936" s="3">
        <v>49.05</v>
      </c>
      <c r="N936" t="s">
        <v>40</v>
      </c>
      <c r="O936" s="3"/>
      <c r="P936" s="3"/>
    </row>
    <row r="937" spans="1:16" x14ac:dyDescent="0.3">
      <c r="A937" t="s">
        <v>2188</v>
      </c>
      <c r="B937" s="9" t="s">
        <v>554</v>
      </c>
      <c r="C937" s="20" t="str">
        <f t="shared" si="14"/>
        <v>Sep</v>
      </c>
      <c r="D937" t="s">
        <v>2189</v>
      </c>
      <c r="E937" s="10" t="s">
        <v>472</v>
      </c>
      <c r="F937" t="s">
        <v>17</v>
      </c>
      <c r="G937" t="s">
        <v>26</v>
      </c>
      <c r="H937" t="s">
        <v>118</v>
      </c>
      <c r="I937">
        <v>5</v>
      </c>
      <c r="J937" s="3">
        <v>230.94</v>
      </c>
      <c r="K937" s="2">
        <v>0.1</v>
      </c>
      <c r="L937" s="3">
        <v>1039.23</v>
      </c>
      <c r="M937" s="3">
        <v>219.57</v>
      </c>
      <c r="N937" t="s">
        <v>20</v>
      </c>
      <c r="O937" s="3"/>
      <c r="P937" s="3"/>
    </row>
    <row r="938" spans="1:16" x14ac:dyDescent="0.3">
      <c r="A938" t="s">
        <v>2190</v>
      </c>
      <c r="B938" s="9" t="s">
        <v>929</v>
      </c>
      <c r="C938" s="20" t="str">
        <f t="shared" si="14"/>
        <v>May</v>
      </c>
      <c r="D938" t="s">
        <v>1517</v>
      </c>
      <c r="E938" s="10" t="s">
        <v>648</v>
      </c>
      <c r="F938" t="s">
        <v>25</v>
      </c>
      <c r="G938" t="s">
        <v>33</v>
      </c>
      <c r="H938" t="s">
        <v>74</v>
      </c>
      <c r="I938">
        <v>3</v>
      </c>
      <c r="J938" s="3">
        <v>146.03</v>
      </c>
      <c r="K938" s="2">
        <v>0</v>
      </c>
      <c r="L938" s="3">
        <v>438.09</v>
      </c>
      <c r="M938" s="3">
        <v>73.86</v>
      </c>
      <c r="N938" t="s">
        <v>20</v>
      </c>
      <c r="O938" s="3"/>
      <c r="P938" s="3"/>
    </row>
    <row r="939" spans="1:16" x14ac:dyDescent="0.3">
      <c r="A939" t="s">
        <v>2191</v>
      </c>
      <c r="B939" s="9" t="s">
        <v>1620</v>
      </c>
      <c r="C939" s="20" t="str">
        <f t="shared" si="14"/>
        <v>Oct</v>
      </c>
      <c r="D939" t="s">
        <v>1747</v>
      </c>
      <c r="E939" s="10" t="s">
        <v>605</v>
      </c>
      <c r="F939" t="s">
        <v>64</v>
      </c>
      <c r="G939" t="s">
        <v>26</v>
      </c>
      <c r="H939" t="s">
        <v>27</v>
      </c>
      <c r="I939">
        <v>6</v>
      </c>
      <c r="J939" s="3">
        <v>64.680000000000007</v>
      </c>
      <c r="K939" s="2">
        <v>0.15</v>
      </c>
      <c r="L939" s="3">
        <v>329.87</v>
      </c>
      <c r="M939" s="3">
        <v>37.92</v>
      </c>
      <c r="N939" t="s">
        <v>20</v>
      </c>
      <c r="O939" s="3"/>
      <c r="P939" s="3"/>
    </row>
    <row r="940" spans="1:16" x14ac:dyDescent="0.3">
      <c r="A940" t="s">
        <v>2192</v>
      </c>
      <c r="B940" s="9" t="s">
        <v>500</v>
      </c>
      <c r="C940" s="20" t="str">
        <f t="shared" si="14"/>
        <v>Nov</v>
      </c>
      <c r="D940" t="s">
        <v>1509</v>
      </c>
      <c r="E940" s="10" t="s">
        <v>2193</v>
      </c>
      <c r="F940" t="s">
        <v>64</v>
      </c>
      <c r="G940" t="s">
        <v>89</v>
      </c>
      <c r="H940" t="s">
        <v>150</v>
      </c>
      <c r="I940">
        <v>5</v>
      </c>
      <c r="J940" s="3">
        <v>203.13</v>
      </c>
      <c r="K940" s="2">
        <v>0.15</v>
      </c>
      <c r="L940" s="3">
        <v>863.3</v>
      </c>
      <c r="M940" s="3">
        <v>241.09</v>
      </c>
      <c r="N940" t="s">
        <v>40</v>
      </c>
      <c r="O940" s="3"/>
      <c r="P940" s="3"/>
    </row>
    <row r="941" spans="1:16" x14ac:dyDescent="0.3">
      <c r="A941" t="s">
        <v>2194</v>
      </c>
      <c r="B941" s="9" t="s">
        <v>1609</v>
      </c>
      <c r="C941" s="20" t="str">
        <f t="shared" si="14"/>
        <v>May</v>
      </c>
      <c r="D941" t="s">
        <v>1145</v>
      </c>
      <c r="E941" s="10" t="s">
        <v>1047</v>
      </c>
      <c r="F941" t="s">
        <v>32</v>
      </c>
      <c r="G941" t="s">
        <v>33</v>
      </c>
      <c r="H941" t="s">
        <v>69</v>
      </c>
      <c r="I941">
        <v>6</v>
      </c>
      <c r="J941" s="3">
        <v>174.54</v>
      </c>
      <c r="K941" s="2">
        <v>0.15</v>
      </c>
      <c r="L941" s="3">
        <v>890.15</v>
      </c>
      <c r="M941" s="3">
        <v>162.46</v>
      </c>
      <c r="N941" t="s">
        <v>35</v>
      </c>
      <c r="O941" s="3"/>
      <c r="P941" s="3"/>
    </row>
    <row r="942" spans="1:16" x14ac:dyDescent="0.3">
      <c r="A942" t="s">
        <v>2195</v>
      </c>
      <c r="B942" s="9" t="s">
        <v>1684</v>
      </c>
      <c r="C942" s="20" t="str">
        <f t="shared" si="14"/>
        <v>Nov</v>
      </c>
      <c r="D942" t="s">
        <v>77</v>
      </c>
      <c r="E942" s="10" t="s">
        <v>2196</v>
      </c>
      <c r="F942" t="s">
        <v>25</v>
      </c>
      <c r="G942" t="s">
        <v>18</v>
      </c>
      <c r="H942" t="s">
        <v>45</v>
      </c>
      <c r="I942">
        <v>2</v>
      </c>
      <c r="J942" s="3">
        <v>45.84</v>
      </c>
      <c r="K942" s="2">
        <v>0</v>
      </c>
      <c r="L942" s="3">
        <v>91.68</v>
      </c>
      <c r="M942" s="3">
        <v>11.21</v>
      </c>
      <c r="N942" t="s">
        <v>35</v>
      </c>
      <c r="O942" s="3"/>
      <c r="P942" s="3"/>
    </row>
    <row r="943" spans="1:16" x14ac:dyDescent="0.3">
      <c r="A943" t="s">
        <v>2197</v>
      </c>
      <c r="B943" s="9" t="s">
        <v>423</v>
      </c>
      <c r="C943" s="20" t="str">
        <f t="shared" si="14"/>
        <v>Oct</v>
      </c>
      <c r="D943" t="s">
        <v>1299</v>
      </c>
      <c r="E943" s="10" t="s">
        <v>425</v>
      </c>
      <c r="F943" t="s">
        <v>64</v>
      </c>
      <c r="G943" t="s">
        <v>33</v>
      </c>
      <c r="H943" t="s">
        <v>34</v>
      </c>
      <c r="I943">
        <v>3</v>
      </c>
      <c r="J943" s="3">
        <v>234.13</v>
      </c>
      <c r="K943" s="2">
        <v>0.05</v>
      </c>
      <c r="L943" s="3">
        <v>667.27</v>
      </c>
      <c r="M943" s="3">
        <v>151.97999999999999</v>
      </c>
      <c r="N943" t="s">
        <v>20</v>
      </c>
      <c r="O943" s="3"/>
      <c r="P943" s="3"/>
    </row>
    <row r="944" spans="1:16" x14ac:dyDescent="0.3">
      <c r="A944" t="s">
        <v>2198</v>
      </c>
      <c r="B944" s="9" t="s">
        <v>147</v>
      </c>
      <c r="C944" s="20" t="str">
        <f t="shared" si="14"/>
        <v>Nov</v>
      </c>
      <c r="D944" t="s">
        <v>1044</v>
      </c>
      <c r="E944" s="10" t="s">
        <v>1725</v>
      </c>
      <c r="F944" t="s">
        <v>17</v>
      </c>
      <c r="G944" t="s">
        <v>26</v>
      </c>
      <c r="H944" t="s">
        <v>27</v>
      </c>
      <c r="I944">
        <v>6</v>
      </c>
      <c r="J944" s="3">
        <v>143.13</v>
      </c>
      <c r="K944" s="2">
        <v>0</v>
      </c>
      <c r="L944" s="3">
        <v>858.78</v>
      </c>
      <c r="M944" s="3">
        <v>245.74</v>
      </c>
      <c r="N944" t="s">
        <v>35</v>
      </c>
      <c r="O944" s="3"/>
      <c r="P944" s="3"/>
    </row>
    <row r="945" spans="1:16" x14ac:dyDescent="0.3">
      <c r="A945" t="s">
        <v>2199</v>
      </c>
      <c r="B945" s="9" t="s">
        <v>1997</v>
      </c>
      <c r="C945" s="20" t="str">
        <f t="shared" si="14"/>
        <v>Sep</v>
      </c>
      <c r="D945" t="s">
        <v>196</v>
      </c>
      <c r="E945" s="10" t="s">
        <v>1979</v>
      </c>
      <c r="F945" t="s">
        <v>17</v>
      </c>
      <c r="G945" t="s">
        <v>33</v>
      </c>
      <c r="H945" t="s">
        <v>34</v>
      </c>
      <c r="I945">
        <v>7</v>
      </c>
      <c r="J945" s="3">
        <v>11.6</v>
      </c>
      <c r="K945" s="2">
        <v>0.1</v>
      </c>
      <c r="L945" s="3">
        <v>73.08</v>
      </c>
      <c r="M945" s="3">
        <v>11.91</v>
      </c>
      <c r="N945" t="s">
        <v>40</v>
      </c>
      <c r="O945" s="3"/>
      <c r="P945" s="3"/>
    </row>
    <row r="946" spans="1:16" x14ac:dyDescent="0.3">
      <c r="A946" t="s">
        <v>2200</v>
      </c>
      <c r="B946" s="9" t="s">
        <v>1746</v>
      </c>
      <c r="C946" s="20" t="str">
        <f t="shared" si="14"/>
        <v>Sep</v>
      </c>
      <c r="D946" t="s">
        <v>732</v>
      </c>
      <c r="E946" s="10" t="s">
        <v>1419</v>
      </c>
      <c r="F946" t="s">
        <v>17</v>
      </c>
      <c r="G946" t="s">
        <v>89</v>
      </c>
      <c r="H946" t="s">
        <v>150</v>
      </c>
      <c r="I946">
        <v>5</v>
      </c>
      <c r="J946" s="3">
        <v>172.6</v>
      </c>
      <c r="K946" s="2">
        <v>0.15</v>
      </c>
      <c r="L946" s="3">
        <v>733.55</v>
      </c>
      <c r="M946" s="3">
        <v>201.25</v>
      </c>
      <c r="N946" t="s">
        <v>35</v>
      </c>
      <c r="O946" s="3"/>
      <c r="P946" s="3"/>
    </row>
    <row r="947" spans="1:16" x14ac:dyDescent="0.3">
      <c r="A947" t="s">
        <v>2201</v>
      </c>
      <c r="B947" s="9" t="s">
        <v>286</v>
      </c>
      <c r="C947" s="20" t="str">
        <f t="shared" si="14"/>
        <v>Mar</v>
      </c>
      <c r="D947" t="s">
        <v>753</v>
      </c>
      <c r="E947" s="10" t="s">
        <v>193</v>
      </c>
      <c r="F947" t="s">
        <v>25</v>
      </c>
      <c r="G947" t="s">
        <v>18</v>
      </c>
      <c r="H947" t="s">
        <v>45</v>
      </c>
      <c r="I947">
        <v>1</v>
      </c>
      <c r="J947" s="3">
        <v>19.46</v>
      </c>
      <c r="K947" s="2">
        <v>0.15</v>
      </c>
      <c r="L947" s="3">
        <v>16.54</v>
      </c>
      <c r="M947" s="3">
        <v>3.02</v>
      </c>
      <c r="N947" t="s">
        <v>20</v>
      </c>
      <c r="O947" s="3"/>
      <c r="P947" s="3"/>
    </row>
    <row r="948" spans="1:16" x14ac:dyDescent="0.3">
      <c r="A948" t="s">
        <v>2202</v>
      </c>
      <c r="B948" s="9" t="s">
        <v>639</v>
      </c>
      <c r="C948" s="20" t="str">
        <f t="shared" si="14"/>
        <v>Nov</v>
      </c>
      <c r="D948" t="s">
        <v>2203</v>
      </c>
      <c r="E948" s="10" t="s">
        <v>1075</v>
      </c>
      <c r="F948" t="s">
        <v>59</v>
      </c>
      <c r="G948" t="s">
        <v>89</v>
      </c>
      <c r="H948" t="s">
        <v>90</v>
      </c>
      <c r="I948">
        <v>5</v>
      </c>
      <c r="J948" s="3">
        <v>115.08</v>
      </c>
      <c r="K948" s="2">
        <v>0.1</v>
      </c>
      <c r="L948" s="3">
        <v>517.86</v>
      </c>
      <c r="M948" s="3">
        <v>123.12</v>
      </c>
      <c r="N948" t="s">
        <v>40</v>
      </c>
      <c r="O948" s="3"/>
      <c r="P948" s="3"/>
    </row>
    <row r="949" spans="1:16" x14ac:dyDescent="0.3">
      <c r="A949" t="s">
        <v>2204</v>
      </c>
      <c r="B949" s="9" t="s">
        <v>155</v>
      </c>
      <c r="C949" s="20" t="str">
        <f t="shared" si="14"/>
        <v>Sep</v>
      </c>
      <c r="D949" t="s">
        <v>1201</v>
      </c>
      <c r="E949" s="10" t="s">
        <v>927</v>
      </c>
      <c r="F949" t="s">
        <v>64</v>
      </c>
      <c r="G949" t="s">
        <v>26</v>
      </c>
      <c r="H949" t="s">
        <v>118</v>
      </c>
      <c r="I949">
        <v>8</v>
      </c>
      <c r="J949" s="3">
        <v>58.07</v>
      </c>
      <c r="K949" s="2">
        <v>0.05</v>
      </c>
      <c r="L949" s="3">
        <v>441.33</v>
      </c>
      <c r="M949" s="3">
        <v>119.63</v>
      </c>
      <c r="N949" t="s">
        <v>40</v>
      </c>
      <c r="O949" s="3"/>
      <c r="P949" s="3"/>
    </row>
    <row r="950" spans="1:16" x14ac:dyDescent="0.3">
      <c r="A950" t="s">
        <v>2205</v>
      </c>
      <c r="B950" s="9" t="s">
        <v>1059</v>
      </c>
      <c r="C950" s="20" t="str">
        <f t="shared" si="14"/>
        <v>Aug</v>
      </c>
      <c r="D950" t="s">
        <v>1780</v>
      </c>
      <c r="E950" s="10" t="s">
        <v>1084</v>
      </c>
      <c r="F950" t="s">
        <v>64</v>
      </c>
      <c r="G950" t="s">
        <v>89</v>
      </c>
      <c r="H950" t="s">
        <v>90</v>
      </c>
      <c r="I950">
        <v>3</v>
      </c>
      <c r="J950" s="3">
        <v>208.41</v>
      </c>
      <c r="K950" s="2">
        <v>0.1</v>
      </c>
      <c r="L950" s="3">
        <v>562.71</v>
      </c>
      <c r="M950" s="3">
        <v>63.6</v>
      </c>
      <c r="N950" t="s">
        <v>40</v>
      </c>
      <c r="O950" s="3"/>
      <c r="P950" s="3"/>
    </row>
    <row r="951" spans="1:16" x14ac:dyDescent="0.3">
      <c r="A951" t="s">
        <v>2206</v>
      </c>
      <c r="B951" s="9" t="s">
        <v>2207</v>
      </c>
      <c r="C951" s="20" t="str">
        <f t="shared" si="14"/>
        <v>Feb</v>
      </c>
      <c r="D951" t="s">
        <v>2208</v>
      </c>
      <c r="E951" s="10" t="s">
        <v>1163</v>
      </c>
      <c r="F951" t="s">
        <v>25</v>
      </c>
      <c r="G951" t="s">
        <v>33</v>
      </c>
      <c r="H951" t="s">
        <v>34</v>
      </c>
      <c r="I951">
        <v>8</v>
      </c>
      <c r="J951" s="3">
        <v>247.45</v>
      </c>
      <c r="K951" s="2">
        <v>0.05</v>
      </c>
      <c r="L951" s="3">
        <v>1880.62</v>
      </c>
      <c r="M951" s="3">
        <v>484.65</v>
      </c>
      <c r="N951" t="s">
        <v>35</v>
      </c>
      <c r="O951" s="3"/>
      <c r="P951" s="3"/>
    </row>
    <row r="952" spans="1:16" x14ac:dyDescent="0.3">
      <c r="A952" t="s">
        <v>2209</v>
      </c>
      <c r="B952" s="9" t="s">
        <v>207</v>
      </c>
      <c r="C952" s="20" t="str">
        <f t="shared" si="14"/>
        <v>Mar</v>
      </c>
      <c r="D952" t="s">
        <v>1574</v>
      </c>
      <c r="E952" s="10" t="s">
        <v>546</v>
      </c>
      <c r="F952" t="s">
        <v>59</v>
      </c>
      <c r="G952" t="s">
        <v>33</v>
      </c>
      <c r="H952" t="s">
        <v>74</v>
      </c>
      <c r="I952">
        <v>3</v>
      </c>
      <c r="J952" s="3">
        <v>28.43</v>
      </c>
      <c r="K952" s="2">
        <v>0.1</v>
      </c>
      <c r="L952" s="3">
        <v>76.760000000000005</v>
      </c>
      <c r="M952" s="3">
        <v>15.63</v>
      </c>
      <c r="N952" t="s">
        <v>35</v>
      </c>
      <c r="O952" s="3"/>
      <c r="P952" s="3"/>
    </row>
    <row r="953" spans="1:16" x14ac:dyDescent="0.3">
      <c r="A953" t="s">
        <v>2210</v>
      </c>
      <c r="B953" s="9" t="s">
        <v>133</v>
      </c>
      <c r="C953" s="20" t="str">
        <f t="shared" si="14"/>
        <v>Apr</v>
      </c>
      <c r="D953" t="s">
        <v>72</v>
      </c>
      <c r="E953" s="10" t="s">
        <v>1669</v>
      </c>
      <c r="F953" t="s">
        <v>59</v>
      </c>
      <c r="G953" t="s">
        <v>89</v>
      </c>
      <c r="H953" t="s">
        <v>131</v>
      </c>
      <c r="I953">
        <v>8</v>
      </c>
      <c r="J953" s="3">
        <v>165.63</v>
      </c>
      <c r="K953" s="2">
        <v>0.05</v>
      </c>
      <c r="L953" s="3">
        <v>1258.79</v>
      </c>
      <c r="M953" s="3">
        <v>148.68</v>
      </c>
      <c r="N953" t="s">
        <v>40</v>
      </c>
      <c r="O953" s="3"/>
      <c r="P953" s="3"/>
    </row>
    <row r="954" spans="1:16" x14ac:dyDescent="0.3">
      <c r="A954" t="s">
        <v>2211</v>
      </c>
      <c r="B954" s="9" t="s">
        <v>115</v>
      </c>
      <c r="C954" s="20" t="str">
        <f t="shared" si="14"/>
        <v>Jan</v>
      </c>
      <c r="D954" t="s">
        <v>1389</v>
      </c>
      <c r="E954" s="10" t="s">
        <v>624</v>
      </c>
      <c r="F954" t="s">
        <v>59</v>
      </c>
      <c r="G954" t="s">
        <v>18</v>
      </c>
      <c r="H954" t="s">
        <v>19</v>
      </c>
      <c r="I954">
        <v>1</v>
      </c>
      <c r="J954" s="3">
        <v>62.34</v>
      </c>
      <c r="K954" s="2">
        <v>0.15</v>
      </c>
      <c r="L954" s="3">
        <v>52.99</v>
      </c>
      <c r="M954" s="3">
        <v>11.37</v>
      </c>
      <c r="N954" t="s">
        <v>40</v>
      </c>
      <c r="O954" s="3"/>
      <c r="P954" s="3"/>
    </row>
    <row r="955" spans="1:16" x14ac:dyDescent="0.3">
      <c r="A955" t="s">
        <v>2212</v>
      </c>
      <c r="B955" s="9" t="s">
        <v>42</v>
      </c>
      <c r="C955" s="20" t="str">
        <f t="shared" si="14"/>
        <v>Jul</v>
      </c>
      <c r="D955" t="s">
        <v>1894</v>
      </c>
      <c r="E955" s="10" t="s">
        <v>441</v>
      </c>
      <c r="F955" t="s">
        <v>64</v>
      </c>
      <c r="G955" t="s">
        <v>33</v>
      </c>
      <c r="H955" t="s">
        <v>34</v>
      </c>
      <c r="I955">
        <v>1</v>
      </c>
      <c r="J955" s="3">
        <v>127.87</v>
      </c>
      <c r="K955" s="2">
        <v>0.05</v>
      </c>
      <c r="L955" s="3">
        <v>121.48</v>
      </c>
      <c r="M955" s="3">
        <v>11.48</v>
      </c>
      <c r="N955" t="s">
        <v>20</v>
      </c>
      <c r="O955" s="3"/>
      <c r="P955" s="3"/>
    </row>
    <row r="956" spans="1:16" x14ac:dyDescent="0.3">
      <c r="A956" t="s">
        <v>2213</v>
      </c>
      <c r="B956" s="9" t="s">
        <v>583</v>
      </c>
      <c r="C956" s="20" t="str">
        <f t="shared" si="14"/>
        <v>Jun</v>
      </c>
      <c r="D956" t="s">
        <v>604</v>
      </c>
      <c r="E956" s="10" t="s">
        <v>1027</v>
      </c>
      <c r="F956" t="s">
        <v>25</v>
      </c>
      <c r="G956" t="s">
        <v>33</v>
      </c>
      <c r="H956" t="s">
        <v>69</v>
      </c>
      <c r="I956">
        <v>5</v>
      </c>
      <c r="J956" s="3">
        <v>113.1</v>
      </c>
      <c r="K956" s="2">
        <v>0</v>
      </c>
      <c r="L956" s="3">
        <v>565.5</v>
      </c>
      <c r="M956" s="3">
        <v>168.76</v>
      </c>
      <c r="N956" t="s">
        <v>35</v>
      </c>
      <c r="O956" s="3"/>
      <c r="P956" s="3"/>
    </row>
    <row r="957" spans="1:16" x14ac:dyDescent="0.3">
      <c r="A957" t="s">
        <v>2214</v>
      </c>
      <c r="B957" s="9" t="s">
        <v>147</v>
      </c>
      <c r="C957" s="20" t="str">
        <f t="shared" si="14"/>
        <v>Nov</v>
      </c>
      <c r="D957" t="s">
        <v>174</v>
      </c>
      <c r="E957" s="10" t="s">
        <v>343</v>
      </c>
      <c r="F957" t="s">
        <v>64</v>
      </c>
      <c r="G957" t="s">
        <v>33</v>
      </c>
      <c r="H957" t="s">
        <v>34</v>
      </c>
      <c r="I957">
        <v>3</v>
      </c>
      <c r="J957" s="3">
        <v>141.24</v>
      </c>
      <c r="K957" s="2">
        <v>0</v>
      </c>
      <c r="L957" s="3">
        <v>423.72</v>
      </c>
      <c r="M957" s="3">
        <v>68.61</v>
      </c>
      <c r="N957" t="s">
        <v>20</v>
      </c>
      <c r="O957" s="3"/>
      <c r="P957" s="3"/>
    </row>
    <row r="958" spans="1:16" x14ac:dyDescent="0.3">
      <c r="A958" t="s">
        <v>2215</v>
      </c>
      <c r="B958" s="9" t="s">
        <v>1733</v>
      </c>
      <c r="C958" s="20" t="str">
        <f t="shared" si="14"/>
        <v>Apr</v>
      </c>
      <c r="D958" t="s">
        <v>486</v>
      </c>
      <c r="E958" s="10" t="s">
        <v>1755</v>
      </c>
      <c r="F958" t="s">
        <v>59</v>
      </c>
      <c r="G958" t="s">
        <v>18</v>
      </c>
      <c r="H958" t="s">
        <v>19</v>
      </c>
      <c r="I958">
        <v>4</v>
      </c>
      <c r="J958" s="3">
        <v>211.89</v>
      </c>
      <c r="K958" s="2">
        <v>0.15</v>
      </c>
      <c r="L958" s="3">
        <v>720.43</v>
      </c>
      <c r="M958" s="3">
        <v>76.14</v>
      </c>
      <c r="N958" t="s">
        <v>20</v>
      </c>
      <c r="O958" s="3"/>
      <c r="P958" s="3"/>
    </row>
    <row r="959" spans="1:16" x14ac:dyDescent="0.3">
      <c r="A959" t="s">
        <v>2216</v>
      </c>
      <c r="B959" s="9" t="s">
        <v>133</v>
      </c>
      <c r="C959" s="20" t="str">
        <f t="shared" si="14"/>
        <v>Apr</v>
      </c>
      <c r="D959" t="s">
        <v>1406</v>
      </c>
      <c r="E959" s="10" t="s">
        <v>1819</v>
      </c>
      <c r="F959" t="s">
        <v>32</v>
      </c>
      <c r="G959" t="s">
        <v>33</v>
      </c>
      <c r="H959" t="s">
        <v>50</v>
      </c>
      <c r="I959">
        <v>7</v>
      </c>
      <c r="J959" s="3">
        <v>197</v>
      </c>
      <c r="K959" s="2">
        <v>0</v>
      </c>
      <c r="L959" s="3">
        <v>1379</v>
      </c>
      <c r="M959" s="3">
        <v>304.58999999999997</v>
      </c>
      <c r="N959" t="s">
        <v>20</v>
      </c>
      <c r="O959" s="3"/>
      <c r="P959" s="3"/>
    </row>
    <row r="960" spans="1:16" x14ac:dyDescent="0.3">
      <c r="A960" t="s">
        <v>2217</v>
      </c>
      <c r="B960" s="9" t="s">
        <v>349</v>
      </c>
      <c r="C960" s="20" t="str">
        <f t="shared" si="14"/>
        <v>May</v>
      </c>
      <c r="D960" t="s">
        <v>1971</v>
      </c>
      <c r="E960" s="10" t="s">
        <v>1264</v>
      </c>
      <c r="F960" t="s">
        <v>25</v>
      </c>
      <c r="G960" t="s">
        <v>89</v>
      </c>
      <c r="H960" t="s">
        <v>131</v>
      </c>
      <c r="I960">
        <v>1</v>
      </c>
      <c r="J960" s="3">
        <v>232.99</v>
      </c>
      <c r="K960" s="2">
        <v>0.15</v>
      </c>
      <c r="L960" s="3">
        <v>198.04</v>
      </c>
      <c r="M960" s="3">
        <v>35.450000000000003</v>
      </c>
      <c r="N960" t="s">
        <v>20</v>
      </c>
      <c r="O960" s="3"/>
      <c r="P960" s="3"/>
    </row>
    <row r="961" spans="1:16" x14ac:dyDescent="0.3">
      <c r="A961" t="s">
        <v>2218</v>
      </c>
      <c r="B961" s="9" t="s">
        <v>2219</v>
      </c>
      <c r="C961" s="20" t="str">
        <f t="shared" si="14"/>
        <v>Jan</v>
      </c>
      <c r="D961" t="s">
        <v>1971</v>
      </c>
      <c r="E961" s="10" t="s">
        <v>621</v>
      </c>
      <c r="F961" t="s">
        <v>59</v>
      </c>
      <c r="G961" t="s">
        <v>89</v>
      </c>
      <c r="H961" t="s">
        <v>150</v>
      </c>
      <c r="I961">
        <v>4</v>
      </c>
      <c r="J961" s="3">
        <v>22.14</v>
      </c>
      <c r="K961" s="2">
        <v>0.15</v>
      </c>
      <c r="L961" s="3">
        <v>75.28</v>
      </c>
      <c r="M961" s="3">
        <v>14.53</v>
      </c>
      <c r="N961" t="s">
        <v>35</v>
      </c>
      <c r="O961" s="3"/>
      <c r="P961" s="3"/>
    </row>
    <row r="962" spans="1:16" x14ac:dyDescent="0.3">
      <c r="A962" t="s">
        <v>2220</v>
      </c>
      <c r="B962" s="9" t="s">
        <v>1280</v>
      </c>
      <c r="C962" s="20" t="str">
        <f t="shared" ref="C962:C1025" si="15">TEXT(B:B, "mmm")</f>
        <v>Apr</v>
      </c>
      <c r="D962" t="s">
        <v>1288</v>
      </c>
      <c r="E962" s="10" t="s">
        <v>1661</v>
      </c>
      <c r="F962" t="s">
        <v>17</v>
      </c>
      <c r="G962" t="s">
        <v>26</v>
      </c>
      <c r="H962" t="s">
        <v>84</v>
      </c>
      <c r="I962">
        <v>5</v>
      </c>
      <c r="J962" s="3">
        <v>129.62</v>
      </c>
      <c r="K962" s="2">
        <v>0.15</v>
      </c>
      <c r="L962" s="3">
        <v>550.88</v>
      </c>
      <c r="M962" s="3">
        <v>118.66</v>
      </c>
      <c r="N962" t="s">
        <v>35</v>
      </c>
      <c r="O962" s="3"/>
      <c r="P962" s="3"/>
    </row>
    <row r="963" spans="1:16" x14ac:dyDescent="0.3">
      <c r="A963" t="s">
        <v>2221</v>
      </c>
      <c r="B963" s="9" t="s">
        <v>1931</v>
      </c>
      <c r="C963" s="20" t="str">
        <f t="shared" si="15"/>
        <v>Jul</v>
      </c>
      <c r="D963" t="s">
        <v>1293</v>
      </c>
      <c r="E963" s="10" t="s">
        <v>1969</v>
      </c>
      <c r="F963" t="s">
        <v>59</v>
      </c>
      <c r="G963" t="s">
        <v>26</v>
      </c>
      <c r="H963" t="s">
        <v>27</v>
      </c>
      <c r="I963">
        <v>5</v>
      </c>
      <c r="J963" s="3">
        <v>126.68</v>
      </c>
      <c r="K963" s="2">
        <v>0</v>
      </c>
      <c r="L963" s="3">
        <v>633.4</v>
      </c>
      <c r="M963" s="3">
        <v>93.89</v>
      </c>
      <c r="N963" t="s">
        <v>40</v>
      </c>
      <c r="O963" s="3"/>
      <c r="P963" s="3"/>
    </row>
    <row r="964" spans="1:16" x14ac:dyDescent="0.3">
      <c r="A964" t="s">
        <v>2222</v>
      </c>
      <c r="B964" s="9" t="s">
        <v>2223</v>
      </c>
      <c r="C964" s="20" t="str">
        <f t="shared" si="15"/>
        <v>Dec</v>
      </c>
      <c r="D964" t="s">
        <v>1305</v>
      </c>
      <c r="E964" s="10" t="s">
        <v>1914</v>
      </c>
      <c r="F964" t="s">
        <v>17</v>
      </c>
      <c r="G964" t="s">
        <v>89</v>
      </c>
      <c r="H964" t="s">
        <v>150</v>
      </c>
      <c r="I964">
        <v>2</v>
      </c>
      <c r="J964" s="3">
        <v>21.29</v>
      </c>
      <c r="K964" s="2">
        <v>0.1</v>
      </c>
      <c r="L964" s="3">
        <v>38.32</v>
      </c>
      <c r="M964" s="3">
        <v>9.7200000000000006</v>
      </c>
      <c r="N964" t="s">
        <v>20</v>
      </c>
      <c r="O964" s="3"/>
      <c r="P964" s="3"/>
    </row>
    <row r="965" spans="1:16" x14ac:dyDescent="0.3">
      <c r="A965" t="s">
        <v>2224</v>
      </c>
      <c r="B965" s="9" t="s">
        <v>404</v>
      </c>
      <c r="C965" s="20" t="str">
        <f t="shared" si="15"/>
        <v>Feb</v>
      </c>
      <c r="D965" t="s">
        <v>77</v>
      </c>
      <c r="E965" s="10" t="s">
        <v>581</v>
      </c>
      <c r="F965" t="s">
        <v>17</v>
      </c>
      <c r="G965" t="s">
        <v>18</v>
      </c>
      <c r="H965" t="s">
        <v>79</v>
      </c>
      <c r="I965">
        <v>2</v>
      </c>
      <c r="J965" s="3">
        <v>122.5</v>
      </c>
      <c r="K965" s="2">
        <v>0.05</v>
      </c>
      <c r="L965" s="3">
        <v>232.75</v>
      </c>
      <c r="M965" s="3">
        <v>41.04</v>
      </c>
      <c r="N965" t="s">
        <v>35</v>
      </c>
      <c r="O965" s="3"/>
      <c r="P965" s="3"/>
    </row>
    <row r="966" spans="1:16" x14ac:dyDescent="0.3">
      <c r="A966" t="s">
        <v>2225</v>
      </c>
      <c r="B966" s="9" t="s">
        <v>558</v>
      </c>
      <c r="C966" s="20" t="str">
        <f t="shared" si="15"/>
        <v>Sep</v>
      </c>
      <c r="D966" t="s">
        <v>1936</v>
      </c>
      <c r="E966" s="10" t="s">
        <v>1569</v>
      </c>
      <c r="F966" t="s">
        <v>32</v>
      </c>
      <c r="G966" t="s">
        <v>89</v>
      </c>
      <c r="H966" t="s">
        <v>150</v>
      </c>
      <c r="I966">
        <v>4</v>
      </c>
      <c r="J966" s="3">
        <v>208.38</v>
      </c>
      <c r="K966" s="2">
        <v>0</v>
      </c>
      <c r="L966" s="3">
        <v>833.52</v>
      </c>
      <c r="M966" s="3">
        <v>238.49</v>
      </c>
      <c r="N966" t="s">
        <v>35</v>
      </c>
      <c r="O966" s="3"/>
      <c r="P966" s="3"/>
    </row>
    <row r="967" spans="1:16" x14ac:dyDescent="0.3">
      <c r="A967" t="s">
        <v>2226</v>
      </c>
      <c r="B967" s="9" t="s">
        <v>188</v>
      </c>
      <c r="C967" s="20" t="str">
        <f t="shared" si="15"/>
        <v>Feb</v>
      </c>
      <c r="D967" t="s">
        <v>405</v>
      </c>
      <c r="E967" s="10" t="s">
        <v>240</v>
      </c>
      <c r="F967" t="s">
        <v>17</v>
      </c>
      <c r="G967" t="s">
        <v>26</v>
      </c>
      <c r="H967" t="s">
        <v>118</v>
      </c>
      <c r="I967">
        <v>7</v>
      </c>
      <c r="J967" s="3">
        <v>97.28</v>
      </c>
      <c r="K967" s="2">
        <v>0.05</v>
      </c>
      <c r="L967" s="3">
        <v>646.91</v>
      </c>
      <c r="M967" s="3">
        <v>82.98</v>
      </c>
      <c r="N967" t="s">
        <v>35</v>
      </c>
      <c r="O967" s="3"/>
      <c r="P967" s="3"/>
    </row>
    <row r="968" spans="1:16" x14ac:dyDescent="0.3">
      <c r="A968" t="s">
        <v>2227</v>
      </c>
      <c r="B968" s="9" t="s">
        <v>2228</v>
      </c>
      <c r="C968" s="20" t="str">
        <f t="shared" si="15"/>
        <v>Oct</v>
      </c>
      <c r="D968" t="s">
        <v>729</v>
      </c>
      <c r="E968" s="10" t="s">
        <v>288</v>
      </c>
      <c r="F968" t="s">
        <v>59</v>
      </c>
      <c r="G968" t="s">
        <v>26</v>
      </c>
      <c r="H968" t="s">
        <v>118</v>
      </c>
      <c r="I968">
        <v>6</v>
      </c>
      <c r="J968" s="3">
        <v>51.06</v>
      </c>
      <c r="K968" s="2">
        <v>0.1</v>
      </c>
      <c r="L968" s="3">
        <v>275.72000000000003</v>
      </c>
      <c r="M968" s="3">
        <v>32.81</v>
      </c>
      <c r="N968" t="s">
        <v>40</v>
      </c>
      <c r="O968" s="3"/>
      <c r="P968" s="3"/>
    </row>
    <row r="969" spans="1:16" x14ac:dyDescent="0.3">
      <c r="A969" t="s">
        <v>2229</v>
      </c>
      <c r="B969" s="9" t="s">
        <v>574</v>
      </c>
      <c r="C969" s="20" t="str">
        <f t="shared" si="15"/>
        <v>Oct</v>
      </c>
      <c r="D969" t="s">
        <v>451</v>
      </c>
      <c r="E969" s="10" t="s">
        <v>661</v>
      </c>
      <c r="F969" t="s">
        <v>17</v>
      </c>
      <c r="G969" t="s">
        <v>26</v>
      </c>
      <c r="H969" t="s">
        <v>118</v>
      </c>
      <c r="I969">
        <v>6</v>
      </c>
      <c r="J969" s="3">
        <v>109.59</v>
      </c>
      <c r="K969" s="2">
        <v>0.05</v>
      </c>
      <c r="L969" s="3">
        <v>624.66</v>
      </c>
      <c r="M969" s="3">
        <v>122.39</v>
      </c>
      <c r="N969" t="s">
        <v>40</v>
      </c>
      <c r="O969" s="3"/>
      <c r="P969" s="3"/>
    </row>
    <row r="970" spans="1:16" x14ac:dyDescent="0.3">
      <c r="A970" t="s">
        <v>2230</v>
      </c>
      <c r="B970" s="9" t="s">
        <v>1190</v>
      </c>
      <c r="C970" s="20" t="str">
        <f t="shared" si="15"/>
        <v>Feb</v>
      </c>
      <c r="D970" t="s">
        <v>1016</v>
      </c>
      <c r="E970" s="10" t="s">
        <v>563</v>
      </c>
      <c r="F970" t="s">
        <v>17</v>
      </c>
      <c r="G970" t="s">
        <v>89</v>
      </c>
      <c r="H970" t="s">
        <v>90</v>
      </c>
      <c r="I970">
        <v>2</v>
      </c>
      <c r="J970" s="3">
        <v>25.04</v>
      </c>
      <c r="K970" s="2">
        <v>0.15</v>
      </c>
      <c r="L970" s="3">
        <v>42.57</v>
      </c>
      <c r="M970" s="3">
        <v>4.76</v>
      </c>
      <c r="N970" t="s">
        <v>20</v>
      </c>
      <c r="O970" s="3"/>
      <c r="P970" s="3"/>
    </row>
    <row r="971" spans="1:16" x14ac:dyDescent="0.3">
      <c r="A971" t="s">
        <v>2231</v>
      </c>
      <c r="B971" s="9" t="s">
        <v>878</v>
      </c>
      <c r="C971" s="20" t="str">
        <f t="shared" si="15"/>
        <v>Aug</v>
      </c>
      <c r="D971" t="s">
        <v>737</v>
      </c>
      <c r="E971" s="10" t="s">
        <v>178</v>
      </c>
      <c r="F971" t="s">
        <v>32</v>
      </c>
      <c r="G971" t="s">
        <v>26</v>
      </c>
      <c r="H971" t="s">
        <v>118</v>
      </c>
      <c r="I971">
        <v>8</v>
      </c>
      <c r="J971" s="3">
        <v>50.27</v>
      </c>
      <c r="K971" s="2">
        <v>0.15</v>
      </c>
      <c r="L971" s="3">
        <v>341.84</v>
      </c>
      <c r="M971" s="3">
        <v>97.98</v>
      </c>
      <c r="N971" t="s">
        <v>20</v>
      </c>
      <c r="O971" s="3"/>
      <c r="P971" s="3"/>
    </row>
    <row r="972" spans="1:16" x14ac:dyDescent="0.3">
      <c r="A972" t="s">
        <v>2232</v>
      </c>
      <c r="B972" s="9" t="s">
        <v>1607</v>
      </c>
      <c r="C972" s="20" t="str">
        <f t="shared" si="15"/>
        <v>Feb</v>
      </c>
      <c r="D972" t="s">
        <v>1771</v>
      </c>
      <c r="E972" s="10" t="s">
        <v>491</v>
      </c>
      <c r="F972" t="s">
        <v>17</v>
      </c>
      <c r="G972" t="s">
        <v>33</v>
      </c>
      <c r="H972" t="s">
        <v>69</v>
      </c>
      <c r="I972">
        <v>8</v>
      </c>
      <c r="J972" s="3">
        <v>179.75</v>
      </c>
      <c r="K972" s="2">
        <v>0</v>
      </c>
      <c r="L972" s="3">
        <v>1438</v>
      </c>
      <c r="M972" s="3">
        <v>354.06</v>
      </c>
      <c r="N972" t="s">
        <v>20</v>
      </c>
      <c r="O972" s="3"/>
      <c r="P972" s="3"/>
    </row>
    <row r="973" spans="1:16" x14ac:dyDescent="0.3">
      <c r="A973" t="s">
        <v>2233</v>
      </c>
      <c r="B973" s="9" t="s">
        <v>423</v>
      </c>
      <c r="C973" s="20" t="str">
        <f t="shared" si="15"/>
        <v>Oct</v>
      </c>
      <c r="D973" t="s">
        <v>429</v>
      </c>
      <c r="E973" s="10" t="s">
        <v>2234</v>
      </c>
      <c r="F973" t="s">
        <v>17</v>
      </c>
      <c r="G973" t="s">
        <v>89</v>
      </c>
      <c r="H973" t="s">
        <v>131</v>
      </c>
      <c r="I973">
        <v>8</v>
      </c>
      <c r="J973" s="3">
        <v>38.67</v>
      </c>
      <c r="K973" s="2">
        <v>0.1</v>
      </c>
      <c r="L973" s="3">
        <v>278.42</v>
      </c>
      <c r="M973" s="3">
        <v>83.32</v>
      </c>
      <c r="N973" t="s">
        <v>20</v>
      </c>
      <c r="O973" s="3"/>
      <c r="P973" s="3"/>
    </row>
    <row r="974" spans="1:16" x14ac:dyDescent="0.3">
      <c r="A974" t="s">
        <v>2235</v>
      </c>
      <c r="B974" s="9" t="s">
        <v>2051</v>
      </c>
      <c r="C974" s="20" t="str">
        <f t="shared" si="15"/>
        <v>Jun</v>
      </c>
      <c r="D974" t="s">
        <v>936</v>
      </c>
      <c r="E974" s="10" t="s">
        <v>1484</v>
      </c>
      <c r="F974" t="s">
        <v>17</v>
      </c>
      <c r="G974" t="s">
        <v>26</v>
      </c>
      <c r="H974" t="s">
        <v>118</v>
      </c>
      <c r="I974">
        <v>7</v>
      </c>
      <c r="J974" s="3">
        <v>111.94</v>
      </c>
      <c r="K974" s="2">
        <v>0.05</v>
      </c>
      <c r="L974" s="3">
        <v>744.4</v>
      </c>
      <c r="M974" s="3">
        <v>192.86</v>
      </c>
      <c r="N974" t="s">
        <v>20</v>
      </c>
      <c r="O974" s="3"/>
      <c r="P974" s="3"/>
    </row>
    <row r="975" spans="1:16" x14ac:dyDescent="0.3">
      <c r="A975" t="s">
        <v>2236</v>
      </c>
      <c r="B975" s="9" t="s">
        <v>294</v>
      </c>
      <c r="C975" s="20" t="str">
        <f t="shared" si="15"/>
        <v>Sep</v>
      </c>
      <c r="D975" t="s">
        <v>2237</v>
      </c>
      <c r="E975" s="10" t="s">
        <v>1179</v>
      </c>
      <c r="F975" t="s">
        <v>17</v>
      </c>
      <c r="G975" t="s">
        <v>89</v>
      </c>
      <c r="H975" t="s">
        <v>131</v>
      </c>
      <c r="I975">
        <v>6</v>
      </c>
      <c r="J975" s="3">
        <v>55.03</v>
      </c>
      <c r="K975" s="2">
        <v>0.15</v>
      </c>
      <c r="L975" s="3">
        <v>280.64999999999998</v>
      </c>
      <c r="M975" s="3">
        <v>42.98</v>
      </c>
      <c r="N975" t="s">
        <v>35</v>
      </c>
      <c r="O975" s="3"/>
      <c r="P975" s="3"/>
    </row>
    <row r="976" spans="1:16" x14ac:dyDescent="0.3">
      <c r="A976" t="s">
        <v>2238</v>
      </c>
      <c r="B976" s="9" t="s">
        <v>408</v>
      </c>
      <c r="C976" s="20" t="str">
        <f t="shared" si="15"/>
        <v>Jun</v>
      </c>
      <c r="D976" t="s">
        <v>346</v>
      </c>
      <c r="E976" s="10" t="s">
        <v>2239</v>
      </c>
      <c r="F976" t="s">
        <v>59</v>
      </c>
      <c r="G976" t="s">
        <v>18</v>
      </c>
      <c r="H976" t="s">
        <v>45</v>
      </c>
      <c r="I976">
        <v>5</v>
      </c>
      <c r="J976" s="3">
        <v>151.12</v>
      </c>
      <c r="K976" s="2">
        <v>0.05</v>
      </c>
      <c r="L976" s="3">
        <v>717.82</v>
      </c>
      <c r="M976" s="3">
        <v>191.2</v>
      </c>
      <c r="N976" t="s">
        <v>35</v>
      </c>
      <c r="O976" s="3"/>
      <c r="P976" s="3"/>
    </row>
    <row r="977" spans="1:16" x14ac:dyDescent="0.3">
      <c r="A977" t="s">
        <v>2240</v>
      </c>
      <c r="B977" s="9" t="s">
        <v>1465</v>
      </c>
      <c r="C977" s="20" t="str">
        <f t="shared" si="15"/>
        <v>Jan</v>
      </c>
      <c r="D977" t="s">
        <v>2241</v>
      </c>
      <c r="E977" s="10" t="s">
        <v>68</v>
      </c>
      <c r="F977" t="s">
        <v>59</v>
      </c>
      <c r="G977" t="s">
        <v>89</v>
      </c>
      <c r="H977" t="s">
        <v>90</v>
      </c>
      <c r="I977">
        <v>1</v>
      </c>
      <c r="J977" s="3">
        <v>80.3</v>
      </c>
      <c r="K977" s="2">
        <v>0.1</v>
      </c>
      <c r="L977" s="3">
        <v>72.27</v>
      </c>
      <c r="M977" s="3">
        <v>9.8000000000000007</v>
      </c>
      <c r="N977" t="s">
        <v>40</v>
      </c>
      <c r="O977" s="3"/>
      <c r="P977" s="3"/>
    </row>
    <row r="978" spans="1:16" x14ac:dyDescent="0.3">
      <c r="A978" t="s">
        <v>2242</v>
      </c>
      <c r="B978" s="9" t="s">
        <v>1049</v>
      </c>
      <c r="C978" s="20" t="str">
        <f t="shared" si="15"/>
        <v>Aug</v>
      </c>
      <c r="D978" t="s">
        <v>1932</v>
      </c>
      <c r="E978" s="10" t="s">
        <v>1122</v>
      </c>
      <c r="F978" t="s">
        <v>59</v>
      </c>
      <c r="G978" t="s">
        <v>33</v>
      </c>
      <c r="H978" t="s">
        <v>34</v>
      </c>
      <c r="I978">
        <v>7</v>
      </c>
      <c r="J978" s="3">
        <v>137.08000000000001</v>
      </c>
      <c r="K978" s="2">
        <v>0.15</v>
      </c>
      <c r="L978" s="3">
        <v>815.63</v>
      </c>
      <c r="M978" s="3">
        <v>196</v>
      </c>
      <c r="N978" t="s">
        <v>35</v>
      </c>
      <c r="O978" s="3"/>
      <c r="P978" s="3"/>
    </row>
    <row r="979" spans="1:16" x14ac:dyDescent="0.3">
      <c r="A979" t="s">
        <v>2243</v>
      </c>
      <c r="B979" s="9" t="s">
        <v>681</v>
      </c>
      <c r="C979" s="20" t="str">
        <f t="shared" si="15"/>
        <v>Jan</v>
      </c>
      <c r="D979" t="s">
        <v>769</v>
      </c>
      <c r="E979" s="10" t="s">
        <v>1902</v>
      </c>
      <c r="F979" t="s">
        <v>64</v>
      </c>
      <c r="G979" t="s">
        <v>33</v>
      </c>
      <c r="H979" t="s">
        <v>50</v>
      </c>
      <c r="I979">
        <v>7</v>
      </c>
      <c r="J979" s="3">
        <v>136.22</v>
      </c>
      <c r="K979" s="2">
        <v>0.1</v>
      </c>
      <c r="L979" s="3">
        <v>858.19</v>
      </c>
      <c r="M979" s="3">
        <v>111.45</v>
      </c>
      <c r="N979" t="s">
        <v>20</v>
      </c>
      <c r="O979" s="3"/>
      <c r="P979" s="3"/>
    </row>
    <row r="980" spans="1:16" x14ac:dyDescent="0.3">
      <c r="A980" t="s">
        <v>2244</v>
      </c>
      <c r="B980" s="9" t="s">
        <v>1198</v>
      </c>
      <c r="C980" s="20" t="str">
        <f t="shared" si="15"/>
        <v>Jul</v>
      </c>
      <c r="D980" t="s">
        <v>2056</v>
      </c>
      <c r="E980" s="10" t="s">
        <v>851</v>
      </c>
      <c r="F980" t="s">
        <v>25</v>
      </c>
      <c r="G980" t="s">
        <v>26</v>
      </c>
      <c r="H980" t="s">
        <v>84</v>
      </c>
      <c r="I980">
        <v>4</v>
      </c>
      <c r="J980" s="3">
        <v>101.46</v>
      </c>
      <c r="K980" s="2">
        <v>0</v>
      </c>
      <c r="L980" s="3">
        <v>405.84</v>
      </c>
      <c r="M980" s="3">
        <v>74.8</v>
      </c>
      <c r="N980" t="s">
        <v>35</v>
      </c>
      <c r="O980" s="3"/>
      <c r="P980" s="3"/>
    </row>
    <row r="981" spans="1:16" x14ac:dyDescent="0.3">
      <c r="A981" t="s">
        <v>2245</v>
      </c>
      <c r="B981" s="9" t="s">
        <v>2246</v>
      </c>
      <c r="C981" s="20" t="str">
        <f t="shared" si="15"/>
        <v>Aug</v>
      </c>
      <c r="D981" t="s">
        <v>1591</v>
      </c>
      <c r="E981" s="10" t="s">
        <v>1228</v>
      </c>
      <c r="F981" t="s">
        <v>25</v>
      </c>
      <c r="G981" t="s">
        <v>18</v>
      </c>
      <c r="H981" t="s">
        <v>79</v>
      </c>
      <c r="I981">
        <v>6</v>
      </c>
      <c r="J981" s="3">
        <v>145.87</v>
      </c>
      <c r="K981" s="2">
        <v>0.05</v>
      </c>
      <c r="L981" s="3">
        <v>831.46</v>
      </c>
      <c r="M981" s="3">
        <v>133.56</v>
      </c>
      <c r="N981" t="s">
        <v>35</v>
      </c>
      <c r="O981" s="3"/>
      <c r="P981" s="3"/>
    </row>
    <row r="982" spans="1:16" x14ac:dyDescent="0.3">
      <c r="A982" t="s">
        <v>2247</v>
      </c>
      <c r="B982" s="9" t="s">
        <v>964</v>
      </c>
      <c r="C982" s="20" t="str">
        <f t="shared" si="15"/>
        <v>Oct</v>
      </c>
      <c r="D982" t="s">
        <v>310</v>
      </c>
      <c r="E982" s="10" t="s">
        <v>811</v>
      </c>
      <c r="F982" t="s">
        <v>17</v>
      </c>
      <c r="G982" t="s">
        <v>33</v>
      </c>
      <c r="H982" t="s">
        <v>69</v>
      </c>
      <c r="I982">
        <v>4</v>
      </c>
      <c r="J982" s="3">
        <v>33.549999999999997</v>
      </c>
      <c r="K982" s="2">
        <v>0</v>
      </c>
      <c r="L982" s="3">
        <v>134.19999999999999</v>
      </c>
      <c r="M982" s="3">
        <v>38.11</v>
      </c>
      <c r="N982" t="s">
        <v>20</v>
      </c>
      <c r="O982" s="3"/>
      <c r="P982" s="3"/>
    </row>
    <row r="983" spans="1:16" x14ac:dyDescent="0.3">
      <c r="A983" t="s">
        <v>2248</v>
      </c>
      <c r="B983" s="9" t="s">
        <v>900</v>
      </c>
      <c r="C983" s="20" t="str">
        <f t="shared" si="15"/>
        <v>Oct</v>
      </c>
      <c r="D983" t="s">
        <v>682</v>
      </c>
      <c r="E983" s="10" t="s">
        <v>1056</v>
      </c>
      <c r="F983" t="s">
        <v>59</v>
      </c>
      <c r="G983" t="s">
        <v>26</v>
      </c>
      <c r="H983" t="s">
        <v>84</v>
      </c>
      <c r="I983">
        <v>8</v>
      </c>
      <c r="J983" s="3">
        <v>202.44</v>
      </c>
      <c r="K983" s="2">
        <v>0.05</v>
      </c>
      <c r="L983" s="3">
        <v>1538.54</v>
      </c>
      <c r="M983" s="3">
        <v>205.5</v>
      </c>
      <c r="N983" t="s">
        <v>20</v>
      </c>
      <c r="O983" s="3"/>
      <c r="P983" s="3"/>
    </row>
    <row r="984" spans="1:16" x14ac:dyDescent="0.3">
      <c r="A984" t="s">
        <v>2249</v>
      </c>
      <c r="B984" s="9" t="s">
        <v>355</v>
      </c>
      <c r="C984" s="20" t="str">
        <f t="shared" si="15"/>
        <v>Jan</v>
      </c>
      <c r="D984" t="s">
        <v>332</v>
      </c>
      <c r="E984" s="10" t="s">
        <v>618</v>
      </c>
      <c r="F984" t="s">
        <v>59</v>
      </c>
      <c r="G984" t="s">
        <v>18</v>
      </c>
      <c r="H984" t="s">
        <v>79</v>
      </c>
      <c r="I984">
        <v>7</v>
      </c>
      <c r="J984" s="3">
        <v>221.56</v>
      </c>
      <c r="K984" s="2">
        <v>0</v>
      </c>
      <c r="L984" s="3">
        <v>1550.92</v>
      </c>
      <c r="M984" s="3">
        <v>137.63999999999999</v>
      </c>
      <c r="N984" t="s">
        <v>40</v>
      </c>
      <c r="O984" s="3"/>
      <c r="P984" s="3"/>
    </row>
    <row r="985" spans="1:16" x14ac:dyDescent="0.3">
      <c r="A985" t="s">
        <v>2250</v>
      </c>
      <c r="B985" s="9" t="s">
        <v>371</v>
      </c>
      <c r="C985" s="20" t="str">
        <f t="shared" si="15"/>
        <v>Aug</v>
      </c>
      <c r="D985" t="s">
        <v>1543</v>
      </c>
      <c r="E985" s="10" t="s">
        <v>1680</v>
      </c>
      <c r="F985" t="s">
        <v>59</v>
      </c>
      <c r="G985" t="s">
        <v>18</v>
      </c>
      <c r="H985" t="s">
        <v>79</v>
      </c>
      <c r="I985">
        <v>1</v>
      </c>
      <c r="J985" s="3">
        <v>73.12</v>
      </c>
      <c r="K985" s="2">
        <v>0</v>
      </c>
      <c r="L985" s="3">
        <v>73.12</v>
      </c>
      <c r="M985" s="3">
        <v>9.77</v>
      </c>
      <c r="N985" t="s">
        <v>40</v>
      </c>
      <c r="O985" s="3"/>
      <c r="P985" s="3"/>
    </row>
    <row r="986" spans="1:16" x14ac:dyDescent="0.3">
      <c r="A986" t="s">
        <v>2251</v>
      </c>
      <c r="B986" s="9" t="s">
        <v>1105</v>
      </c>
      <c r="C986" s="20" t="str">
        <f t="shared" si="15"/>
        <v>Oct</v>
      </c>
      <c r="D986" t="s">
        <v>87</v>
      </c>
      <c r="E986" s="10" t="s">
        <v>68</v>
      </c>
      <c r="F986" t="s">
        <v>17</v>
      </c>
      <c r="G986" t="s">
        <v>33</v>
      </c>
      <c r="H986" t="s">
        <v>74</v>
      </c>
      <c r="I986">
        <v>1</v>
      </c>
      <c r="J986" s="3">
        <v>35.14</v>
      </c>
      <c r="K986" s="2">
        <v>0.15</v>
      </c>
      <c r="L986" s="3">
        <v>29.87</v>
      </c>
      <c r="M986" s="3">
        <v>6.43</v>
      </c>
      <c r="N986" t="s">
        <v>40</v>
      </c>
      <c r="O986" s="3"/>
      <c r="P986" s="3"/>
    </row>
    <row r="987" spans="1:16" x14ac:dyDescent="0.3">
      <c r="A987" t="s">
        <v>2252</v>
      </c>
      <c r="B987" s="9" t="s">
        <v>450</v>
      </c>
      <c r="C987" s="20" t="str">
        <f t="shared" si="15"/>
        <v>Sep</v>
      </c>
      <c r="D987" t="s">
        <v>353</v>
      </c>
      <c r="E987" s="10" t="s">
        <v>2253</v>
      </c>
      <c r="F987" t="s">
        <v>32</v>
      </c>
      <c r="G987" t="s">
        <v>33</v>
      </c>
      <c r="H987" t="s">
        <v>69</v>
      </c>
      <c r="I987">
        <v>8</v>
      </c>
      <c r="J987" s="3">
        <v>117.4</v>
      </c>
      <c r="K987" s="2">
        <v>0</v>
      </c>
      <c r="L987" s="3">
        <v>939.2</v>
      </c>
      <c r="M987" s="3">
        <v>94.52</v>
      </c>
      <c r="N987" t="s">
        <v>40</v>
      </c>
      <c r="O987" s="3"/>
      <c r="P987" s="3"/>
    </row>
    <row r="988" spans="1:16" x14ac:dyDescent="0.3">
      <c r="A988" t="s">
        <v>2254</v>
      </c>
      <c r="B988" s="9" t="s">
        <v>362</v>
      </c>
      <c r="C988" s="20" t="str">
        <f t="shared" si="15"/>
        <v>Jun</v>
      </c>
      <c r="D988" t="s">
        <v>1339</v>
      </c>
      <c r="E988" s="10" t="s">
        <v>262</v>
      </c>
      <c r="F988" t="s">
        <v>32</v>
      </c>
      <c r="G988" t="s">
        <v>33</v>
      </c>
      <c r="H988" t="s">
        <v>69</v>
      </c>
      <c r="I988">
        <v>2</v>
      </c>
      <c r="J988" s="3">
        <v>156.86000000000001</v>
      </c>
      <c r="K988" s="2">
        <v>0</v>
      </c>
      <c r="L988" s="3">
        <v>313.72000000000003</v>
      </c>
      <c r="M988" s="3">
        <v>68.22</v>
      </c>
      <c r="N988" t="s">
        <v>35</v>
      </c>
      <c r="O988" s="3"/>
      <c r="P988" s="3"/>
    </row>
    <row r="989" spans="1:16" x14ac:dyDescent="0.3">
      <c r="A989" t="s">
        <v>2255</v>
      </c>
      <c r="B989" s="9" t="s">
        <v>137</v>
      </c>
      <c r="C989" s="20" t="str">
        <f t="shared" si="15"/>
        <v>Mar</v>
      </c>
      <c r="D989" t="s">
        <v>1277</v>
      </c>
      <c r="E989" s="10" t="s">
        <v>1849</v>
      </c>
      <c r="F989" t="s">
        <v>32</v>
      </c>
      <c r="G989" t="s">
        <v>18</v>
      </c>
      <c r="H989" t="s">
        <v>19</v>
      </c>
      <c r="I989">
        <v>3</v>
      </c>
      <c r="J989" s="3">
        <v>241.05</v>
      </c>
      <c r="K989" s="2">
        <v>0.1</v>
      </c>
      <c r="L989" s="3">
        <v>650.84</v>
      </c>
      <c r="M989" s="3">
        <v>143.15</v>
      </c>
      <c r="N989" t="s">
        <v>40</v>
      </c>
      <c r="O989" s="3"/>
      <c r="P989" s="3"/>
    </row>
    <row r="990" spans="1:16" x14ac:dyDescent="0.3">
      <c r="A990" t="s">
        <v>2256</v>
      </c>
      <c r="B990" s="9" t="s">
        <v>798</v>
      </c>
      <c r="C990" s="20" t="str">
        <f t="shared" si="15"/>
        <v>Jul</v>
      </c>
      <c r="D990" t="s">
        <v>1299</v>
      </c>
      <c r="E990" s="10" t="s">
        <v>273</v>
      </c>
      <c r="F990" t="s">
        <v>25</v>
      </c>
      <c r="G990" t="s">
        <v>18</v>
      </c>
      <c r="H990" t="s">
        <v>45</v>
      </c>
      <c r="I990">
        <v>8</v>
      </c>
      <c r="J990" s="3">
        <v>84.6</v>
      </c>
      <c r="K990" s="2">
        <v>0.15</v>
      </c>
      <c r="L990" s="3">
        <v>575.28</v>
      </c>
      <c r="M990" s="3">
        <v>66.819999999999993</v>
      </c>
      <c r="N990" t="s">
        <v>40</v>
      </c>
      <c r="O990" s="3"/>
      <c r="P990" s="3"/>
    </row>
    <row r="991" spans="1:16" x14ac:dyDescent="0.3">
      <c r="A991" t="s">
        <v>2257</v>
      </c>
      <c r="B991" s="9" t="s">
        <v>1746</v>
      </c>
      <c r="C991" s="20" t="str">
        <f t="shared" si="15"/>
        <v>Sep</v>
      </c>
      <c r="D991" t="s">
        <v>1515</v>
      </c>
      <c r="E991" s="10" t="s">
        <v>1899</v>
      </c>
      <c r="F991" t="s">
        <v>59</v>
      </c>
      <c r="G991" t="s">
        <v>18</v>
      </c>
      <c r="H991" t="s">
        <v>45</v>
      </c>
      <c r="I991">
        <v>3</v>
      </c>
      <c r="J991" s="3">
        <v>230.01</v>
      </c>
      <c r="K991" s="2">
        <v>0</v>
      </c>
      <c r="L991" s="3">
        <v>690.03</v>
      </c>
      <c r="M991" s="3">
        <v>79.06</v>
      </c>
      <c r="N991" t="s">
        <v>20</v>
      </c>
      <c r="O991" s="3"/>
      <c r="P991" s="3"/>
    </row>
    <row r="992" spans="1:16" x14ac:dyDescent="0.3">
      <c r="A992" t="s">
        <v>2258</v>
      </c>
      <c r="B992" s="9" t="s">
        <v>775</v>
      </c>
      <c r="C992" s="20" t="str">
        <f t="shared" si="15"/>
        <v>Sep</v>
      </c>
      <c r="D992" t="s">
        <v>1545</v>
      </c>
      <c r="E992" s="10" t="s">
        <v>726</v>
      </c>
      <c r="F992" t="s">
        <v>32</v>
      </c>
      <c r="G992" t="s">
        <v>26</v>
      </c>
      <c r="H992" t="s">
        <v>27</v>
      </c>
      <c r="I992">
        <v>3</v>
      </c>
      <c r="J992" s="3">
        <v>244.77</v>
      </c>
      <c r="K992" s="2">
        <v>0.1</v>
      </c>
      <c r="L992" s="3">
        <v>660.88</v>
      </c>
      <c r="M992" s="3">
        <v>53.14</v>
      </c>
      <c r="N992" t="s">
        <v>35</v>
      </c>
      <c r="O992" s="3"/>
      <c r="P992" s="3"/>
    </row>
    <row r="993" spans="1:16" x14ac:dyDescent="0.3">
      <c r="A993" t="s">
        <v>2259</v>
      </c>
      <c r="B993" s="9" t="s">
        <v>47</v>
      </c>
      <c r="C993" s="20" t="str">
        <f t="shared" si="15"/>
        <v>Dec</v>
      </c>
      <c r="D993" t="s">
        <v>1765</v>
      </c>
      <c r="E993" s="10" t="s">
        <v>2260</v>
      </c>
      <c r="F993" t="s">
        <v>59</v>
      </c>
      <c r="G993" t="s">
        <v>26</v>
      </c>
      <c r="H993" t="s">
        <v>84</v>
      </c>
      <c r="I993">
        <v>5</v>
      </c>
      <c r="J993" s="3">
        <v>48.82</v>
      </c>
      <c r="K993" s="2">
        <v>0.15</v>
      </c>
      <c r="L993" s="3">
        <v>207.48</v>
      </c>
      <c r="M993" s="3">
        <v>18.98</v>
      </c>
      <c r="N993" t="s">
        <v>35</v>
      </c>
      <c r="O993" s="3"/>
      <c r="P993" s="3"/>
    </row>
    <row r="994" spans="1:16" x14ac:dyDescent="0.3">
      <c r="A994" t="s">
        <v>2261</v>
      </c>
      <c r="B994" s="9" t="s">
        <v>1827</v>
      </c>
      <c r="C994" s="20" t="str">
        <f t="shared" si="15"/>
        <v>Sep</v>
      </c>
      <c r="D994" t="s">
        <v>2056</v>
      </c>
      <c r="E994" s="10" t="s">
        <v>835</v>
      </c>
      <c r="F994" t="s">
        <v>17</v>
      </c>
      <c r="G994" t="s">
        <v>18</v>
      </c>
      <c r="H994" t="s">
        <v>79</v>
      </c>
      <c r="I994">
        <v>2</v>
      </c>
      <c r="J994" s="3">
        <v>86.4</v>
      </c>
      <c r="K994" s="2">
        <v>0.1</v>
      </c>
      <c r="L994" s="3">
        <v>155.52000000000001</v>
      </c>
      <c r="M994" s="3">
        <v>26.65</v>
      </c>
      <c r="N994" t="s">
        <v>35</v>
      </c>
      <c r="O994" s="3"/>
      <c r="P994" s="3"/>
    </row>
    <row r="995" spans="1:16" x14ac:dyDescent="0.3">
      <c r="A995" t="s">
        <v>2262</v>
      </c>
      <c r="B995" s="9" t="s">
        <v>671</v>
      </c>
      <c r="C995" s="20" t="str">
        <f t="shared" si="15"/>
        <v>Aug</v>
      </c>
      <c r="D995" t="s">
        <v>1134</v>
      </c>
      <c r="E995" s="10" t="s">
        <v>844</v>
      </c>
      <c r="F995" t="s">
        <v>25</v>
      </c>
      <c r="G995" t="s">
        <v>26</v>
      </c>
      <c r="H995" t="s">
        <v>27</v>
      </c>
      <c r="I995">
        <v>3</v>
      </c>
      <c r="J995" s="3">
        <v>143.69999999999999</v>
      </c>
      <c r="K995" s="2">
        <v>0.1</v>
      </c>
      <c r="L995" s="3">
        <v>387.99</v>
      </c>
      <c r="M995" s="3">
        <v>91.33</v>
      </c>
      <c r="N995" t="s">
        <v>40</v>
      </c>
      <c r="O995" s="3"/>
      <c r="P995" s="3"/>
    </row>
    <row r="996" spans="1:16" x14ac:dyDescent="0.3">
      <c r="A996" t="s">
        <v>2263</v>
      </c>
      <c r="B996" s="9" t="s">
        <v>2264</v>
      </c>
      <c r="C996" s="20" t="str">
        <f t="shared" si="15"/>
        <v>Mar</v>
      </c>
      <c r="D996" t="s">
        <v>265</v>
      </c>
      <c r="E996" s="10" t="s">
        <v>88</v>
      </c>
      <c r="F996" t="s">
        <v>25</v>
      </c>
      <c r="G996" t="s">
        <v>33</v>
      </c>
      <c r="H996" t="s">
        <v>50</v>
      </c>
      <c r="I996">
        <v>6</v>
      </c>
      <c r="J996" s="3">
        <v>153.83000000000001</v>
      </c>
      <c r="K996" s="2">
        <v>0.1</v>
      </c>
      <c r="L996" s="3">
        <v>830.68</v>
      </c>
      <c r="M996" s="3">
        <v>91.71</v>
      </c>
      <c r="N996" t="s">
        <v>35</v>
      </c>
      <c r="O996" s="3"/>
      <c r="P996" s="3"/>
    </row>
    <row r="997" spans="1:16" x14ac:dyDescent="0.3">
      <c r="A997" t="s">
        <v>2267</v>
      </c>
      <c r="B997" s="9" t="s">
        <v>715</v>
      </c>
      <c r="C997" s="20" t="str">
        <f t="shared" si="15"/>
        <v>Jun</v>
      </c>
      <c r="D997" t="s">
        <v>514</v>
      </c>
      <c r="E997" s="10" t="s">
        <v>605</v>
      </c>
      <c r="F997" t="s">
        <v>32</v>
      </c>
      <c r="G997" t="s">
        <v>33</v>
      </c>
      <c r="H997" t="s">
        <v>34</v>
      </c>
      <c r="I997">
        <v>6</v>
      </c>
      <c r="J997" s="3">
        <v>41.99</v>
      </c>
      <c r="K997" s="2">
        <v>0.05</v>
      </c>
      <c r="L997" s="3">
        <v>239.34</v>
      </c>
      <c r="M997" s="3">
        <v>28.04</v>
      </c>
      <c r="N997" t="s">
        <v>20</v>
      </c>
      <c r="O997" s="3"/>
      <c r="P997" s="3"/>
    </row>
    <row r="998" spans="1:16" x14ac:dyDescent="0.3">
      <c r="A998" t="s">
        <v>2268</v>
      </c>
      <c r="B998" s="9" t="s">
        <v>362</v>
      </c>
      <c r="C998" s="20" t="str">
        <f t="shared" si="15"/>
        <v>Jun</v>
      </c>
      <c r="D998" t="s">
        <v>1331</v>
      </c>
      <c r="E998" s="10" t="s">
        <v>568</v>
      </c>
      <c r="F998" t="s">
        <v>25</v>
      </c>
      <c r="G998" t="s">
        <v>18</v>
      </c>
      <c r="H998" t="s">
        <v>45</v>
      </c>
      <c r="I998">
        <v>1</v>
      </c>
      <c r="J998" s="3">
        <v>93.83</v>
      </c>
      <c r="K998" s="2">
        <v>0.1</v>
      </c>
      <c r="L998" s="3">
        <v>84.45</v>
      </c>
      <c r="M998" s="3">
        <v>24.04</v>
      </c>
      <c r="N998" t="s">
        <v>20</v>
      </c>
      <c r="O998" s="3"/>
      <c r="P998" s="3"/>
    </row>
    <row r="999" spans="1:16" x14ac:dyDescent="0.3">
      <c r="A999" t="s">
        <v>2269</v>
      </c>
      <c r="B999" s="9" t="s">
        <v>1025</v>
      </c>
      <c r="C999" s="20" t="str">
        <f t="shared" si="15"/>
        <v>Aug</v>
      </c>
      <c r="D999" t="s">
        <v>253</v>
      </c>
      <c r="E999" s="10" t="s">
        <v>550</v>
      </c>
      <c r="F999" t="s">
        <v>25</v>
      </c>
      <c r="G999" t="s">
        <v>26</v>
      </c>
      <c r="H999" t="s">
        <v>118</v>
      </c>
      <c r="I999">
        <v>7</v>
      </c>
      <c r="J999" s="3">
        <v>218.78</v>
      </c>
      <c r="K999" s="2">
        <v>0.1</v>
      </c>
      <c r="L999" s="3">
        <v>1378.31</v>
      </c>
      <c r="M999" s="3">
        <v>406.41</v>
      </c>
      <c r="N999" t="s">
        <v>40</v>
      </c>
      <c r="O999" s="3"/>
      <c r="P999" s="3"/>
    </row>
    <row r="1000" spans="1:16" x14ac:dyDescent="0.3">
      <c r="A1000" t="s">
        <v>2270</v>
      </c>
      <c r="B1000" s="9" t="s">
        <v>180</v>
      </c>
      <c r="C1000" s="20" t="str">
        <f t="shared" si="15"/>
        <v>Feb</v>
      </c>
      <c r="D1000" t="s">
        <v>134</v>
      </c>
      <c r="E1000" s="10" t="s">
        <v>2271</v>
      </c>
      <c r="F1000" t="s">
        <v>59</v>
      </c>
      <c r="G1000" t="s">
        <v>89</v>
      </c>
      <c r="H1000" t="s">
        <v>150</v>
      </c>
      <c r="I1000">
        <v>5</v>
      </c>
      <c r="J1000" s="3">
        <v>195.77</v>
      </c>
      <c r="K1000" s="2">
        <v>0</v>
      </c>
      <c r="L1000" s="3">
        <v>978.85</v>
      </c>
      <c r="M1000" s="3">
        <v>149.66</v>
      </c>
      <c r="N1000" t="s">
        <v>20</v>
      </c>
      <c r="O1000" s="3"/>
      <c r="P1000" s="3"/>
    </row>
    <row r="1001" spans="1:16" x14ac:dyDescent="0.3">
      <c r="A1001" t="s">
        <v>2272</v>
      </c>
      <c r="B1001" s="9" t="s">
        <v>22</v>
      </c>
      <c r="C1001" s="20" t="str">
        <f t="shared" si="15"/>
        <v>Sep</v>
      </c>
      <c r="D1001" t="s">
        <v>507</v>
      </c>
      <c r="E1001" s="10" t="s">
        <v>44</v>
      </c>
      <c r="F1001" t="s">
        <v>25</v>
      </c>
      <c r="G1001" t="s">
        <v>89</v>
      </c>
      <c r="H1001" t="s">
        <v>131</v>
      </c>
      <c r="I1001">
        <v>6</v>
      </c>
      <c r="J1001" s="3">
        <v>183.75</v>
      </c>
      <c r="K1001" s="2">
        <v>0.15</v>
      </c>
      <c r="L1001" s="3">
        <v>937.12</v>
      </c>
      <c r="M1001" s="3">
        <v>101.99</v>
      </c>
      <c r="N1001" t="s">
        <v>20</v>
      </c>
      <c r="O1001" s="3"/>
      <c r="P1001" s="3"/>
    </row>
    <row r="1002" spans="1:16" x14ac:dyDescent="0.3">
      <c r="A1002" t="s">
        <v>2273</v>
      </c>
      <c r="B1002" s="9" t="s">
        <v>782</v>
      </c>
      <c r="C1002" s="20" t="str">
        <f t="shared" si="15"/>
        <v>Jan</v>
      </c>
      <c r="D1002" t="s">
        <v>961</v>
      </c>
      <c r="E1002" s="10" t="s">
        <v>2177</v>
      </c>
      <c r="F1002" t="s">
        <v>64</v>
      </c>
      <c r="G1002" t="s">
        <v>18</v>
      </c>
      <c r="H1002" t="s">
        <v>19</v>
      </c>
      <c r="I1002">
        <v>5</v>
      </c>
      <c r="J1002" s="3">
        <v>247.79</v>
      </c>
      <c r="K1002" s="2">
        <v>0.15</v>
      </c>
      <c r="L1002" s="3">
        <v>1053.1099999999999</v>
      </c>
      <c r="M1002" s="3">
        <v>223.46</v>
      </c>
      <c r="N1002" t="s">
        <v>40</v>
      </c>
      <c r="O1002" s="3"/>
      <c r="P1002" s="3"/>
    </row>
    <row r="1003" spans="1:16" x14ac:dyDescent="0.3">
      <c r="A1003" t="s">
        <v>2274</v>
      </c>
      <c r="B1003" s="9" t="s">
        <v>1801</v>
      </c>
      <c r="C1003" s="20" t="str">
        <f t="shared" si="15"/>
        <v>Apr</v>
      </c>
      <c r="D1003" t="s">
        <v>1798</v>
      </c>
      <c r="E1003" s="10" t="s">
        <v>1344</v>
      </c>
      <c r="F1003" t="s">
        <v>64</v>
      </c>
      <c r="G1003" t="s">
        <v>33</v>
      </c>
      <c r="H1003" t="s">
        <v>50</v>
      </c>
      <c r="I1003">
        <v>6</v>
      </c>
      <c r="J1003" s="3">
        <v>152.22</v>
      </c>
      <c r="K1003" s="2">
        <v>0.1</v>
      </c>
      <c r="L1003" s="3">
        <v>821.99</v>
      </c>
      <c r="M1003" s="3">
        <v>93.23</v>
      </c>
      <c r="N1003" t="s">
        <v>35</v>
      </c>
      <c r="O1003" s="3"/>
      <c r="P1003" s="3"/>
    </row>
    <row r="1004" spans="1:16" x14ac:dyDescent="0.3">
      <c r="A1004" t="s">
        <v>2275</v>
      </c>
      <c r="B1004" s="9" t="s">
        <v>1883</v>
      </c>
      <c r="C1004" s="20" t="str">
        <f t="shared" si="15"/>
        <v>Jun</v>
      </c>
      <c r="D1004" t="s">
        <v>1749</v>
      </c>
      <c r="E1004" s="10" t="s">
        <v>487</v>
      </c>
      <c r="F1004" t="s">
        <v>32</v>
      </c>
      <c r="G1004" t="s">
        <v>89</v>
      </c>
      <c r="H1004" t="s">
        <v>90</v>
      </c>
      <c r="I1004">
        <v>2</v>
      </c>
      <c r="J1004" s="3">
        <v>30.63</v>
      </c>
      <c r="K1004" s="2">
        <v>0.1</v>
      </c>
      <c r="L1004" s="3">
        <v>55.13</v>
      </c>
      <c r="M1004" s="3">
        <v>16.39</v>
      </c>
      <c r="N1004" t="s">
        <v>35</v>
      </c>
      <c r="O1004" s="3"/>
      <c r="P1004" s="3"/>
    </row>
    <row r="1005" spans="1:16" x14ac:dyDescent="0.3">
      <c r="A1005" t="s">
        <v>2276</v>
      </c>
      <c r="B1005" s="9" t="s">
        <v>1573</v>
      </c>
      <c r="C1005" s="20" t="str">
        <f t="shared" si="15"/>
        <v>Mar</v>
      </c>
      <c r="D1005" t="s">
        <v>2122</v>
      </c>
      <c r="E1005" s="10" t="s">
        <v>1344</v>
      </c>
      <c r="F1005" t="s">
        <v>17</v>
      </c>
      <c r="G1005" t="s">
        <v>26</v>
      </c>
      <c r="H1005" t="s">
        <v>118</v>
      </c>
      <c r="I1005">
        <v>6</v>
      </c>
      <c r="J1005" s="3">
        <v>174.85</v>
      </c>
      <c r="K1005" s="2">
        <v>0</v>
      </c>
      <c r="L1005" s="3">
        <v>1049.0999999999999</v>
      </c>
      <c r="M1005" s="3">
        <v>191.67</v>
      </c>
      <c r="N1005" t="s">
        <v>40</v>
      </c>
      <c r="O1005" s="3"/>
      <c r="P1005" s="3"/>
    </row>
    <row r="1006" spans="1:16" x14ac:dyDescent="0.3">
      <c r="A1006" t="s">
        <v>2277</v>
      </c>
      <c r="B1006" s="9" t="s">
        <v>170</v>
      </c>
      <c r="C1006" s="20" t="str">
        <f t="shared" si="15"/>
        <v>Mar</v>
      </c>
      <c r="D1006" t="s">
        <v>471</v>
      </c>
      <c r="E1006" s="10" t="s">
        <v>895</v>
      </c>
      <c r="F1006" t="s">
        <v>64</v>
      </c>
      <c r="G1006" t="s">
        <v>33</v>
      </c>
      <c r="H1006" t="s">
        <v>69</v>
      </c>
      <c r="I1006">
        <v>4</v>
      </c>
      <c r="J1006" s="3">
        <v>11.33</v>
      </c>
      <c r="K1006" s="2">
        <v>0.05</v>
      </c>
      <c r="L1006" s="3">
        <v>43.05</v>
      </c>
      <c r="M1006" s="3">
        <v>5.72</v>
      </c>
      <c r="N1006" t="s">
        <v>20</v>
      </c>
      <c r="O1006" s="3"/>
      <c r="P1006" s="3"/>
    </row>
    <row r="1007" spans="1:16" x14ac:dyDescent="0.3">
      <c r="A1007" t="s">
        <v>2278</v>
      </c>
      <c r="B1007" s="9" t="s">
        <v>1486</v>
      </c>
      <c r="C1007" s="20" t="str">
        <f t="shared" si="15"/>
        <v>Jan</v>
      </c>
      <c r="D1007" t="s">
        <v>660</v>
      </c>
      <c r="E1007" s="10" t="s">
        <v>2279</v>
      </c>
      <c r="F1007" t="s">
        <v>32</v>
      </c>
      <c r="G1007" t="s">
        <v>18</v>
      </c>
      <c r="H1007" t="s">
        <v>79</v>
      </c>
      <c r="I1007">
        <v>4</v>
      </c>
      <c r="J1007" s="3">
        <v>114.05</v>
      </c>
      <c r="K1007" s="2">
        <v>0.05</v>
      </c>
      <c r="L1007" s="3">
        <v>433.39</v>
      </c>
      <c r="M1007" s="3">
        <v>78.84</v>
      </c>
      <c r="N1007" t="s">
        <v>40</v>
      </c>
      <c r="O1007" s="3"/>
      <c r="P1007" s="3"/>
    </row>
    <row r="1008" spans="1:16" x14ac:dyDescent="0.3">
      <c r="A1008" t="s">
        <v>2280</v>
      </c>
      <c r="B1008" s="9" t="s">
        <v>1746</v>
      </c>
      <c r="C1008" s="20" t="str">
        <f t="shared" si="15"/>
        <v>Sep</v>
      </c>
      <c r="D1008" t="s">
        <v>2237</v>
      </c>
      <c r="E1008" s="10" t="s">
        <v>284</v>
      </c>
      <c r="F1008" t="s">
        <v>25</v>
      </c>
      <c r="G1008" t="s">
        <v>26</v>
      </c>
      <c r="H1008" t="s">
        <v>27</v>
      </c>
      <c r="I1008">
        <v>6</v>
      </c>
      <c r="J1008" s="3">
        <v>167.58</v>
      </c>
      <c r="K1008" s="2">
        <v>0.15</v>
      </c>
      <c r="L1008" s="3">
        <v>854.66</v>
      </c>
      <c r="M1008" s="3">
        <v>140.77000000000001</v>
      </c>
      <c r="N1008" t="s">
        <v>20</v>
      </c>
      <c r="O1008" s="3"/>
      <c r="P1008" s="3"/>
    </row>
    <row r="1009" spans="1:16" x14ac:dyDescent="0.3">
      <c r="A1009" t="s">
        <v>2281</v>
      </c>
      <c r="B1009" s="9" t="s">
        <v>2007</v>
      </c>
      <c r="C1009" s="20" t="str">
        <f t="shared" si="15"/>
        <v>Oct</v>
      </c>
      <c r="D1009" t="s">
        <v>1387</v>
      </c>
      <c r="E1009" s="10" t="s">
        <v>1231</v>
      </c>
      <c r="F1009" t="s">
        <v>17</v>
      </c>
      <c r="G1009" t="s">
        <v>33</v>
      </c>
      <c r="H1009" t="s">
        <v>69</v>
      </c>
      <c r="I1009">
        <v>6</v>
      </c>
      <c r="J1009" s="3">
        <v>98.06</v>
      </c>
      <c r="K1009" s="2">
        <v>0.1</v>
      </c>
      <c r="L1009" s="3">
        <v>529.52</v>
      </c>
      <c r="M1009" s="3">
        <v>114.04</v>
      </c>
      <c r="N1009" t="s">
        <v>35</v>
      </c>
      <c r="O1009" s="3"/>
      <c r="P1009" s="3"/>
    </row>
    <row r="1010" spans="1:16" x14ac:dyDescent="0.3">
      <c r="A1010" t="s">
        <v>2282</v>
      </c>
      <c r="B1010" s="9" t="s">
        <v>1746</v>
      </c>
      <c r="C1010" s="20" t="str">
        <f t="shared" si="15"/>
        <v>Sep</v>
      </c>
      <c r="D1010" t="s">
        <v>702</v>
      </c>
      <c r="E1010" s="10" t="s">
        <v>1457</v>
      </c>
      <c r="F1010" t="s">
        <v>25</v>
      </c>
      <c r="G1010" t="s">
        <v>33</v>
      </c>
      <c r="H1010" t="s">
        <v>34</v>
      </c>
      <c r="I1010">
        <v>2</v>
      </c>
      <c r="J1010" s="3">
        <v>216.68</v>
      </c>
      <c r="K1010" s="2">
        <v>0</v>
      </c>
      <c r="L1010" s="3">
        <v>433.36</v>
      </c>
      <c r="M1010" s="3">
        <v>56.93</v>
      </c>
      <c r="N1010" t="s">
        <v>40</v>
      </c>
      <c r="O1010" s="3"/>
      <c r="P1010" s="3"/>
    </row>
    <row r="1011" spans="1:16" x14ac:dyDescent="0.3">
      <c r="A1011" t="s">
        <v>2283</v>
      </c>
      <c r="B1011" s="9" t="s">
        <v>1124</v>
      </c>
      <c r="C1011" s="20" t="str">
        <f t="shared" si="15"/>
        <v>Dec</v>
      </c>
      <c r="D1011" t="s">
        <v>1302</v>
      </c>
      <c r="E1011" s="10" t="s">
        <v>39</v>
      </c>
      <c r="F1011" t="s">
        <v>25</v>
      </c>
      <c r="G1011" t="s">
        <v>18</v>
      </c>
      <c r="H1011" t="s">
        <v>45</v>
      </c>
      <c r="I1011">
        <v>6</v>
      </c>
      <c r="J1011" s="3">
        <v>228.87</v>
      </c>
      <c r="K1011" s="2">
        <v>0</v>
      </c>
      <c r="L1011" s="3">
        <v>1373.22</v>
      </c>
      <c r="M1011" s="3">
        <v>293.77999999999997</v>
      </c>
      <c r="N1011" t="s">
        <v>20</v>
      </c>
      <c r="O1011" s="3"/>
      <c r="P1011" s="3"/>
    </row>
    <row r="1012" spans="1:16" x14ac:dyDescent="0.3">
      <c r="A1012" t="s">
        <v>2284</v>
      </c>
      <c r="B1012" s="9" t="s">
        <v>365</v>
      </c>
      <c r="C1012" s="20" t="str">
        <f t="shared" si="15"/>
        <v>Nov</v>
      </c>
      <c r="D1012" t="s">
        <v>93</v>
      </c>
      <c r="E1012" s="10" t="s">
        <v>1661</v>
      </c>
      <c r="F1012" t="s">
        <v>59</v>
      </c>
      <c r="G1012" t="s">
        <v>18</v>
      </c>
      <c r="H1012" t="s">
        <v>45</v>
      </c>
      <c r="I1012">
        <v>3</v>
      </c>
      <c r="J1012" s="3">
        <v>27.98</v>
      </c>
      <c r="K1012" s="2">
        <v>0</v>
      </c>
      <c r="L1012" s="3">
        <v>83.94</v>
      </c>
      <c r="M1012" s="3">
        <v>18.72</v>
      </c>
      <c r="N1012" t="s">
        <v>40</v>
      </c>
      <c r="O1012" s="3"/>
      <c r="P1012" s="3"/>
    </row>
    <row r="1013" spans="1:16" x14ac:dyDescent="0.3">
      <c r="A1013" t="s">
        <v>2285</v>
      </c>
      <c r="B1013" s="9" t="s">
        <v>1108</v>
      </c>
      <c r="C1013" s="20" t="str">
        <f t="shared" si="15"/>
        <v>Dec</v>
      </c>
      <c r="D1013" t="s">
        <v>1848</v>
      </c>
      <c r="E1013" s="10" t="s">
        <v>858</v>
      </c>
      <c r="F1013" t="s">
        <v>17</v>
      </c>
      <c r="G1013" t="s">
        <v>26</v>
      </c>
      <c r="H1013" t="s">
        <v>84</v>
      </c>
      <c r="I1013">
        <v>7</v>
      </c>
      <c r="J1013" s="3">
        <v>46.56</v>
      </c>
      <c r="K1013" s="2">
        <v>0.1</v>
      </c>
      <c r="L1013" s="3">
        <v>293.33</v>
      </c>
      <c r="M1013" s="3">
        <v>41.77</v>
      </c>
      <c r="N1013" t="s">
        <v>40</v>
      </c>
      <c r="O1013" s="3"/>
      <c r="P1013" s="3"/>
    </row>
    <row r="1014" spans="1:16" x14ac:dyDescent="0.3">
      <c r="A1014" t="s">
        <v>2286</v>
      </c>
      <c r="B1014" s="9" t="s">
        <v>170</v>
      </c>
      <c r="C1014" s="20" t="str">
        <f t="shared" si="15"/>
        <v>Mar</v>
      </c>
      <c r="D1014" t="s">
        <v>590</v>
      </c>
      <c r="E1014" s="10" t="s">
        <v>1114</v>
      </c>
      <c r="F1014" t="s">
        <v>32</v>
      </c>
      <c r="G1014" t="s">
        <v>26</v>
      </c>
      <c r="H1014" t="s">
        <v>27</v>
      </c>
      <c r="I1014">
        <v>1</v>
      </c>
      <c r="J1014" s="3">
        <v>117.93</v>
      </c>
      <c r="K1014" s="2">
        <v>0.05</v>
      </c>
      <c r="L1014" s="3">
        <v>112.03</v>
      </c>
      <c r="M1014" s="3">
        <v>24.07</v>
      </c>
      <c r="N1014" t="s">
        <v>20</v>
      </c>
      <c r="O1014" s="3"/>
      <c r="P1014" s="3"/>
    </row>
    <row r="1015" spans="1:16" x14ac:dyDescent="0.3">
      <c r="A1015" t="s">
        <v>2287</v>
      </c>
      <c r="B1015" s="9" t="s">
        <v>756</v>
      </c>
      <c r="C1015" s="20" t="str">
        <f t="shared" si="15"/>
        <v>Nov</v>
      </c>
      <c r="D1015" t="s">
        <v>116</v>
      </c>
      <c r="E1015" s="10" t="s">
        <v>1969</v>
      </c>
      <c r="F1015" t="s">
        <v>59</v>
      </c>
      <c r="G1015" t="s">
        <v>89</v>
      </c>
      <c r="H1015" t="s">
        <v>131</v>
      </c>
      <c r="I1015">
        <v>6</v>
      </c>
      <c r="J1015" s="3">
        <v>110.46</v>
      </c>
      <c r="K1015" s="2">
        <v>0.05</v>
      </c>
      <c r="L1015" s="3">
        <v>629.62</v>
      </c>
      <c r="M1015" s="3">
        <v>168.35</v>
      </c>
      <c r="N1015" t="s">
        <v>35</v>
      </c>
      <c r="O1015" s="3"/>
      <c r="P1015" s="3"/>
    </row>
    <row r="1016" spans="1:16" x14ac:dyDescent="0.3">
      <c r="A1016" t="s">
        <v>2288</v>
      </c>
      <c r="B1016" s="9" t="s">
        <v>690</v>
      </c>
      <c r="C1016" s="20" t="str">
        <f t="shared" si="15"/>
        <v>Jul</v>
      </c>
      <c r="D1016" t="s">
        <v>1069</v>
      </c>
      <c r="E1016" s="10" t="s">
        <v>284</v>
      </c>
      <c r="F1016" t="s">
        <v>25</v>
      </c>
      <c r="G1016" t="s">
        <v>26</v>
      </c>
      <c r="H1016" t="s">
        <v>84</v>
      </c>
      <c r="I1016">
        <v>5</v>
      </c>
      <c r="J1016" s="3">
        <v>91.09</v>
      </c>
      <c r="K1016" s="2">
        <v>0.1</v>
      </c>
      <c r="L1016" s="3">
        <v>409.91</v>
      </c>
      <c r="M1016" s="3">
        <v>65.92</v>
      </c>
      <c r="N1016" t="s">
        <v>35</v>
      </c>
      <c r="O1016" s="3"/>
      <c r="P1016" s="3"/>
    </row>
    <row r="1017" spans="1:16" x14ac:dyDescent="0.3">
      <c r="A1017" t="s">
        <v>2289</v>
      </c>
      <c r="B1017" s="9" t="s">
        <v>432</v>
      </c>
      <c r="C1017" s="20" t="str">
        <f t="shared" si="15"/>
        <v>Jul</v>
      </c>
      <c r="D1017" t="s">
        <v>1754</v>
      </c>
      <c r="E1017" s="10" t="s">
        <v>628</v>
      </c>
      <c r="F1017" t="s">
        <v>25</v>
      </c>
      <c r="G1017" t="s">
        <v>89</v>
      </c>
      <c r="H1017" t="s">
        <v>150</v>
      </c>
      <c r="I1017">
        <v>3</v>
      </c>
      <c r="J1017" s="3">
        <v>178.58</v>
      </c>
      <c r="K1017" s="2">
        <v>0</v>
      </c>
      <c r="L1017" s="3">
        <v>535.74</v>
      </c>
      <c r="M1017" s="3">
        <v>89.94</v>
      </c>
      <c r="N1017" t="s">
        <v>20</v>
      </c>
      <c r="O1017" s="3"/>
      <c r="P1017" s="3"/>
    </row>
    <row r="1018" spans="1:16" x14ac:dyDescent="0.3">
      <c r="A1018" t="s">
        <v>2290</v>
      </c>
      <c r="B1018" s="9" t="s">
        <v>1684</v>
      </c>
      <c r="C1018" s="20" t="str">
        <f t="shared" si="15"/>
        <v>Nov</v>
      </c>
      <c r="D1018" t="s">
        <v>890</v>
      </c>
      <c r="E1018" s="10" t="s">
        <v>2002</v>
      </c>
      <c r="F1018" t="s">
        <v>17</v>
      </c>
      <c r="G1018" t="s">
        <v>18</v>
      </c>
      <c r="H1018" t="s">
        <v>45</v>
      </c>
      <c r="I1018">
        <v>5</v>
      </c>
      <c r="J1018" s="3">
        <v>241.41</v>
      </c>
      <c r="K1018" s="2">
        <v>0.15</v>
      </c>
      <c r="L1018" s="3">
        <v>1025.99</v>
      </c>
      <c r="M1018" s="3">
        <v>158.79</v>
      </c>
      <c r="N1018" t="s">
        <v>40</v>
      </c>
      <c r="O1018" s="3"/>
      <c r="P1018" s="3"/>
    </row>
    <row r="1019" spans="1:16" x14ac:dyDescent="0.3">
      <c r="A1019" t="s">
        <v>2291</v>
      </c>
      <c r="B1019" s="9" t="s">
        <v>96</v>
      </c>
      <c r="C1019" s="20" t="str">
        <f t="shared" si="15"/>
        <v>Aug</v>
      </c>
      <c r="D1019" t="s">
        <v>879</v>
      </c>
      <c r="E1019" s="10" t="s">
        <v>2292</v>
      </c>
      <c r="F1019" t="s">
        <v>32</v>
      </c>
      <c r="G1019" t="s">
        <v>18</v>
      </c>
      <c r="H1019" t="s">
        <v>79</v>
      </c>
      <c r="I1019">
        <v>1</v>
      </c>
      <c r="J1019" s="3">
        <v>200.28</v>
      </c>
      <c r="K1019" s="2">
        <v>0.15</v>
      </c>
      <c r="L1019" s="3">
        <v>170.24</v>
      </c>
      <c r="M1019" s="3">
        <v>18.03</v>
      </c>
      <c r="N1019" t="s">
        <v>40</v>
      </c>
      <c r="O1019" s="3"/>
      <c r="P1019" s="3"/>
    </row>
    <row r="1020" spans="1:16" x14ac:dyDescent="0.3">
      <c r="A1020" t="s">
        <v>2293</v>
      </c>
      <c r="B1020" s="9" t="s">
        <v>1801</v>
      </c>
      <c r="C1020" s="20" t="str">
        <f t="shared" si="15"/>
        <v>Apr</v>
      </c>
      <c r="D1020" t="s">
        <v>372</v>
      </c>
      <c r="E1020" s="10" t="s">
        <v>1453</v>
      </c>
      <c r="F1020" t="s">
        <v>59</v>
      </c>
      <c r="G1020" t="s">
        <v>26</v>
      </c>
      <c r="H1020" t="s">
        <v>27</v>
      </c>
      <c r="I1020">
        <v>4</v>
      </c>
      <c r="J1020" s="3">
        <v>220.47</v>
      </c>
      <c r="K1020" s="2">
        <v>0.15</v>
      </c>
      <c r="L1020" s="3">
        <v>749.6</v>
      </c>
      <c r="M1020" s="3">
        <v>144.30000000000001</v>
      </c>
      <c r="N1020" t="s">
        <v>20</v>
      </c>
      <c r="O1020" s="3"/>
      <c r="P1020" s="3"/>
    </row>
    <row r="1021" spans="1:16" x14ac:dyDescent="0.3">
      <c r="A1021" t="s">
        <v>2294</v>
      </c>
      <c r="B1021" s="9" t="s">
        <v>2219</v>
      </c>
      <c r="C1021" s="20" t="str">
        <f t="shared" si="15"/>
        <v>Jan</v>
      </c>
      <c r="D1021" t="s">
        <v>1957</v>
      </c>
      <c r="E1021" s="10" t="s">
        <v>2295</v>
      </c>
      <c r="F1021" t="s">
        <v>64</v>
      </c>
      <c r="G1021" t="s">
        <v>18</v>
      </c>
      <c r="H1021" t="s">
        <v>45</v>
      </c>
      <c r="I1021">
        <v>1</v>
      </c>
      <c r="J1021" s="3">
        <v>42.46</v>
      </c>
      <c r="K1021" s="2">
        <v>0.05</v>
      </c>
      <c r="L1021" s="3">
        <v>40.340000000000003</v>
      </c>
      <c r="M1021" s="3">
        <v>6.42</v>
      </c>
      <c r="N1021" t="s">
        <v>20</v>
      </c>
      <c r="O1021" s="3"/>
      <c r="P1021" s="3"/>
    </row>
    <row r="1022" spans="1:16" x14ac:dyDescent="0.3">
      <c r="A1022" t="s">
        <v>2296</v>
      </c>
      <c r="B1022" s="9" t="s">
        <v>596</v>
      </c>
      <c r="C1022" s="20" t="str">
        <f t="shared" si="15"/>
        <v>Sep</v>
      </c>
      <c r="D1022" t="s">
        <v>1188</v>
      </c>
      <c r="E1022" s="10" t="s">
        <v>1436</v>
      </c>
      <c r="F1022" t="s">
        <v>59</v>
      </c>
      <c r="G1022" t="s">
        <v>26</v>
      </c>
      <c r="H1022" t="s">
        <v>118</v>
      </c>
      <c r="I1022">
        <v>5</v>
      </c>
      <c r="J1022" s="3">
        <v>190.12</v>
      </c>
      <c r="K1022" s="2">
        <v>0.05</v>
      </c>
      <c r="L1022" s="3">
        <v>903.07</v>
      </c>
      <c r="M1022" s="3">
        <v>91.01</v>
      </c>
      <c r="N1022" t="s">
        <v>35</v>
      </c>
      <c r="O1022" s="3"/>
      <c r="P1022" s="3"/>
    </row>
    <row r="1023" spans="1:16" x14ac:dyDescent="0.3">
      <c r="A1023" t="s">
        <v>2297</v>
      </c>
      <c r="B1023" s="9" t="s">
        <v>1418</v>
      </c>
      <c r="C1023" s="20" t="str">
        <f t="shared" si="15"/>
        <v>Sep</v>
      </c>
      <c r="D1023" t="s">
        <v>236</v>
      </c>
      <c r="E1023" s="10" t="s">
        <v>315</v>
      </c>
      <c r="F1023" t="s">
        <v>32</v>
      </c>
      <c r="G1023" t="s">
        <v>33</v>
      </c>
      <c r="H1023" t="s">
        <v>34</v>
      </c>
      <c r="I1023">
        <v>3</v>
      </c>
      <c r="J1023" s="3">
        <v>55.31</v>
      </c>
      <c r="K1023" s="2">
        <v>0.15</v>
      </c>
      <c r="L1023" s="3">
        <v>141.04</v>
      </c>
      <c r="M1023" s="3">
        <v>39.83</v>
      </c>
      <c r="N1023" t="s">
        <v>35</v>
      </c>
      <c r="O1023" s="3"/>
      <c r="P1023" s="3"/>
    </row>
    <row r="1024" spans="1:16" x14ac:dyDescent="0.3">
      <c r="A1024" t="s">
        <v>2298</v>
      </c>
      <c r="B1024" s="9" t="s">
        <v>885</v>
      </c>
      <c r="C1024" s="20" t="str">
        <f t="shared" si="15"/>
        <v>Dec</v>
      </c>
      <c r="D1024" t="s">
        <v>1571</v>
      </c>
      <c r="E1024" s="10" t="s">
        <v>478</v>
      </c>
      <c r="F1024" t="s">
        <v>32</v>
      </c>
      <c r="G1024" t="s">
        <v>33</v>
      </c>
      <c r="H1024" t="s">
        <v>69</v>
      </c>
      <c r="I1024">
        <v>4</v>
      </c>
      <c r="J1024" s="3">
        <v>99.18</v>
      </c>
      <c r="K1024" s="2">
        <v>0.1</v>
      </c>
      <c r="L1024" s="3">
        <v>357.05</v>
      </c>
      <c r="M1024" s="3">
        <v>101.58</v>
      </c>
      <c r="N1024" t="s">
        <v>35</v>
      </c>
      <c r="O1024" s="3"/>
      <c r="P1024" s="3"/>
    </row>
    <row r="1025" spans="1:16" x14ac:dyDescent="0.3">
      <c r="A1025" t="s">
        <v>2299</v>
      </c>
      <c r="B1025" s="9" t="s">
        <v>1192</v>
      </c>
      <c r="C1025" s="20" t="str">
        <f t="shared" si="15"/>
        <v>Jun</v>
      </c>
      <c r="D1025" t="s">
        <v>1802</v>
      </c>
      <c r="E1025" s="10" t="s">
        <v>528</v>
      </c>
      <c r="F1025" t="s">
        <v>17</v>
      </c>
      <c r="G1025" t="s">
        <v>18</v>
      </c>
      <c r="H1025" t="s">
        <v>79</v>
      </c>
      <c r="I1025">
        <v>5</v>
      </c>
      <c r="J1025" s="3">
        <v>211.2</v>
      </c>
      <c r="K1025" s="2">
        <v>0</v>
      </c>
      <c r="L1025" s="3">
        <v>1056</v>
      </c>
      <c r="M1025" s="3">
        <v>310.55</v>
      </c>
      <c r="N1025" t="s">
        <v>40</v>
      </c>
      <c r="O1025" s="3"/>
      <c r="P1025" s="3"/>
    </row>
    <row r="1026" spans="1:16" x14ac:dyDescent="0.3">
      <c r="A1026" t="s">
        <v>2300</v>
      </c>
      <c r="B1026" s="9" t="s">
        <v>432</v>
      </c>
      <c r="C1026" s="20" t="str">
        <f t="shared" ref="C1026:C1089" si="16">TEXT(B:B, "mmm")</f>
        <v>Jul</v>
      </c>
      <c r="D1026" t="s">
        <v>413</v>
      </c>
      <c r="E1026" s="10" t="s">
        <v>661</v>
      </c>
      <c r="F1026" t="s">
        <v>59</v>
      </c>
      <c r="G1026" t="s">
        <v>89</v>
      </c>
      <c r="H1026" t="s">
        <v>150</v>
      </c>
      <c r="I1026">
        <v>3</v>
      </c>
      <c r="J1026" s="3">
        <v>50.58</v>
      </c>
      <c r="K1026" s="2">
        <v>0.05</v>
      </c>
      <c r="L1026" s="3">
        <v>144.15</v>
      </c>
      <c r="M1026" s="3">
        <v>33.729999999999997</v>
      </c>
      <c r="N1026" t="s">
        <v>35</v>
      </c>
      <c r="O1026" s="3"/>
      <c r="P1026" s="3"/>
    </row>
    <row r="1027" spans="1:16" x14ac:dyDescent="0.3">
      <c r="A1027" t="s">
        <v>2301</v>
      </c>
      <c r="B1027" s="9" t="s">
        <v>924</v>
      </c>
      <c r="C1027" s="20" t="str">
        <f t="shared" si="16"/>
        <v>Apr</v>
      </c>
      <c r="D1027" t="s">
        <v>1302</v>
      </c>
      <c r="E1027" s="10" t="s">
        <v>747</v>
      </c>
      <c r="F1027" t="s">
        <v>32</v>
      </c>
      <c r="G1027" t="s">
        <v>33</v>
      </c>
      <c r="H1027" t="s">
        <v>34</v>
      </c>
      <c r="I1027">
        <v>2</v>
      </c>
      <c r="J1027" s="3">
        <v>84.04</v>
      </c>
      <c r="K1027" s="2">
        <v>0.15</v>
      </c>
      <c r="L1027" s="3">
        <v>142.87</v>
      </c>
      <c r="M1027" s="3">
        <v>36.54</v>
      </c>
      <c r="N1027" t="s">
        <v>35</v>
      </c>
      <c r="O1027" s="3"/>
      <c r="P1027" s="3"/>
    </row>
    <row r="1028" spans="1:16" x14ac:dyDescent="0.3">
      <c r="A1028" t="s">
        <v>2302</v>
      </c>
      <c r="B1028" s="9" t="s">
        <v>1136</v>
      </c>
      <c r="C1028" s="20" t="str">
        <f t="shared" si="16"/>
        <v>Apr</v>
      </c>
      <c r="D1028" t="s">
        <v>514</v>
      </c>
      <c r="E1028" s="10" t="s">
        <v>280</v>
      </c>
      <c r="F1028" t="s">
        <v>17</v>
      </c>
      <c r="G1028" t="s">
        <v>26</v>
      </c>
      <c r="H1028" t="s">
        <v>27</v>
      </c>
      <c r="I1028">
        <v>4</v>
      </c>
      <c r="J1028" s="3">
        <v>161.65</v>
      </c>
      <c r="K1028" s="2">
        <v>0.15</v>
      </c>
      <c r="L1028" s="3">
        <v>549.61</v>
      </c>
      <c r="M1028" s="3">
        <v>77.040000000000006</v>
      </c>
      <c r="N1028" t="s">
        <v>35</v>
      </c>
      <c r="O1028" s="3"/>
      <c r="P1028" s="3"/>
    </row>
    <row r="1029" spans="1:16" x14ac:dyDescent="0.3">
      <c r="A1029" t="s">
        <v>2303</v>
      </c>
      <c r="B1029" s="9" t="s">
        <v>988</v>
      </c>
      <c r="C1029" s="20" t="str">
        <f t="shared" si="16"/>
        <v>Apr</v>
      </c>
      <c r="D1029" t="s">
        <v>1257</v>
      </c>
      <c r="E1029" s="10" t="s">
        <v>741</v>
      </c>
      <c r="F1029" t="s">
        <v>25</v>
      </c>
      <c r="G1029" t="s">
        <v>18</v>
      </c>
      <c r="H1029" t="s">
        <v>45</v>
      </c>
      <c r="I1029">
        <v>1</v>
      </c>
      <c r="J1029" s="3">
        <v>83.98</v>
      </c>
      <c r="K1029" s="2">
        <v>0.05</v>
      </c>
      <c r="L1029" s="3">
        <v>79.78</v>
      </c>
      <c r="M1029" s="3">
        <v>23.3</v>
      </c>
      <c r="N1029" t="s">
        <v>40</v>
      </c>
      <c r="O1029" s="3"/>
      <c r="P1029" s="3"/>
    </row>
    <row r="1030" spans="1:16" x14ac:dyDescent="0.3">
      <c r="A1030" t="s">
        <v>2304</v>
      </c>
      <c r="B1030" s="9" t="s">
        <v>235</v>
      </c>
      <c r="C1030" s="20" t="str">
        <f t="shared" si="16"/>
        <v>Jul</v>
      </c>
      <c r="D1030" t="s">
        <v>1050</v>
      </c>
      <c r="E1030" s="10" t="s">
        <v>2305</v>
      </c>
      <c r="F1030" t="s">
        <v>64</v>
      </c>
      <c r="G1030" t="s">
        <v>26</v>
      </c>
      <c r="H1030" t="s">
        <v>84</v>
      </c>
      <c r="I1030">
        <v>1</v>
      </c>
      <c r="J1030" s="3">
        <v>81.72</v>
      </c>
      <c r="K1030" s="2">
        <v>0.15</v>
      </c>
      <c r="L1030" s="3">
        <v>69.459999999999994</v>
      </c>
      <c r="M1030" s="3">
        <v>11.44</v>
      </c>
      <c r="N1030" t="s">
        <v>35</v>
      </c>
      <c r="O1030" s="3"/>
      <c r="P1030" s="3"/>
    </row>
    <row r="1031" spans="1:16" x14ac:dyDescent="0.3">
      <c r="A1031" t="s">
        <v>2306</v>
      </c>
      <c r="B1031" s="9" t="s">
        <v>1813</v>
      </c>
      <c r="C1031" s="20" t="str">
        <f t="shared" si="16"/>
        <v>Mar</v>
      </c>
      <c r="D1031" t="s">
        <v>1504</v>
      </c>
      <c r="E1031" s="10" t="s">
        <v>2307</v>
      </c>
      <c r="F1031" t="s">
        <v>32</v>
      </c>
      <c r="G1031" t="s">
        <v>33</v>
      </c>
      <c r="H1031" t="s">
        <v>69</v>
      </c>
      <c r="I1031">
        <v>8</v>
      </c>
      <c r="J1031" s="3">
        <v>219.54</v>
      </c>
      <c r="K1031" s="2">
        <v>0.05</v>
      </c>
      <c r="L1031" s="3">
        <v>1668.5</v>
      </c>
      <c r="M1031" s="3">
        <v>368.36</v>
      </c>
      <c r="N1031" t="s">
        <v>20</v>
      </c>
      <c r="O1031" s="3"/>
      <c r="P1031" s="3"/>
    </row>
    <row r="1032" spans="1:16" x14ac:dyDescent="0.3">
      <c r="A1032" t="s">
        <v>2308</v>
      </c>
      <c r="B1032" s="9" t="s">
        <v>663</v>
      </c>
      <c r="C1032" s="20" t="str">
        <f t="shared" si="16"/>
        <v>Oct</v>
      </c>
      <c r="D1032" t="s">
        <v>946</v>
      </c>
      <c r="E1032" s="10" t="s">
        <v>343</v>
      </c>
      <c r="F1032" t="s">
        <v>32</v>
      </c>
      <c r="G1032" t="s">
        <v>89</v>
      </c>
      <c r="H1032" t="s">
        <v>131</v>
      </c>
      <c r="I1032">
        <v>1</v>
      </c>
      <c r="J1032" s="3">
        <v>91.45</v>
      </c>
      <c r="K1032" s="2">
        <v>0.15</v>
      </c>
      <c r="L1032" s="3">
        <v>77.73</v>
      </c>
      <c r="M1032" s="3">
        <v>22.86</v>
      </c>
      <c r="N1032" t="s">
        <v>40</v>
      </c>
      <c r="O1032" s="3"/>
      <c r="P1032" s="3"/>
    </row>
    <row r="1033" spans="1:16" x14ac:dyDescent="0.3">
      <c r="A1033" t="s">
        <v>2309</v>
      </c>
      <c r="B1033" s="9" t="s">
        <v>235</v>
      </c>
      <c r="C1033" s="20" t="str">
        <f t="shared" si="16"/>
        <v>Jul</v>
      </c>
      <c r="D1033" t="s">
        <v>1322</v>
      </c>
      <c r="E1033" s="10" t="s">
        <v>1791</v>
      </c>
      <c r="F1033" t="s">
        <v>64</v>
      </c>
      <c r="G1033" t="s">
        <v>89</v>
      </c>
      <c r="H1033" t="s">
        <v>90</v>
      </c>
      <c r="I1033">
        <v>2</v>
      </c>
      <c r="J1033" s="3">
        <v>206.89</v>
      </c>
      <c r="K1033" s="2">
        <v>0.1</v>
      </c>
      <c r="L1033" s="3">
        <v>372.4</v>
      </c>
      <c r="M1033" s="3">
        <v>63.8</v>
      </c>
      <c r="N1033" t="s">
        <v>20</v>
      </c>
      <c r="O1033" s="3"/>
      <c r="P1033" s="3"/>
    </row>
    <row r="1034" spans="1:16" x14ac:dyDescent="0.3">
      <c r="A1034" t="s">
        <v>2310</v>
      </c>
      <c r="B1034" s="9" t="s">
        <v>2043</v>
      </c>
      <c r="C1034" s="20" t="str">
        <f t="shared" si="16"/>
        <v>Jan</v>
      </c>
      <c r="D1034" t="s">
        <v>838</v>
      </c>
      <c r="E1034" s="10" t="s">
        <v>1211</v>
      </c>
      <c r="F1034" t="s">
        <v>25</v>
      </c>
      <c r="G1034" t="s">
        <v>18</v>
      </c>
      <c r="H1034" t="s">
        <v>79</v>
      </c>
      <c r="I1034">
        <v>8</v>
      </c>
      <c r="J1034" s="3">
        <v>137.30000000000001</v>
      </c>
      <c r="K1034" s="2">
        <v>0.1</v>
      </c>
      <c r="L1034" s="3">
        <v>988.56</v>
      </c>
      <c r="M1034" s="3">
        <v>209.47</v>
      </c>
      <c r="N1034" t="s">
        <v>40</v>
      </c>
      <c r="O1034" s="3"/>
      <c r="P1034" s="3"/>
    </row>
    <row r="1035" spans="1:16" x14ac:dyDescent="0.3">
      <c r="A1035" t="s">
        <v>2311</v>
      </c>
      <c r="B1035" s="9" t="s">
        <v>1098</v>
      </c>
      <c r="C1035" s="20" t="str">
        <f t="shared" si="16"/>
        <v>Nov</v>
      </c>
      <c r="D1035" t="s">
        <v>608</v>
      </c>
      <c r="E1035" s="10" t="s">
        <v>1902</v>
      </c>
      <c r="F1035" t="s">
        <v>17</v>
      </c>
      <c r="G1035" t="s">
        <v>26</v>
      </c>
      <c r="H1035" t="s">
        <v>27</v>
      </c>
      <c r="I1035">
        <v>7</v>
      </c>
      <c r="J1035" s="3">
        <v>240.81</v>
      </c>
      <c r="K1035" s="2">
        <v>0.1</v>
      </c>
      <c r="L1035" s="3">
        <v>1517.1</v>
      </c>
      <c r="M1035" s="3">
        <v>291.45</v>
      </c>
      <c r="N1035" t="s">
        <v>20</v>
      </c>
      <c r="O1035" s="3"/>
      <c r="P1035" s="3"/>
    </row>
    <row r="1036" spans="1:16" x14ac:dyDescent="0.3">
      <c r="A1036" t="s">
        <v>2312</v>
      </c>
      <c r="B1036" s="9" t="s">
        <v>705</v>
      </c>
      <c r="C1036" s="20" t="str">
        <f t="shared" si="16"/>
        <v>Mar</v>
      </c>
      <c r="D1036" t="s">
        <v>2313</v>
      </c>
      <c r="E1036" s="10" t="s">
        <v>2156</v>
      </c>
      <c r="F1036" t="s">
        <v>64</v>
      </c>
      <c r="G1036" t="s">
        <v>26</v>
      </c>
      <c r="H1036" t="s">
        <v>27</v>
      </c>
      <c r="I1036">
        <v>8</v>
      </c>
      <c r="J1036" s="3">
        <v>121.37</v>
      </c>
      <c r="K1036" s="2">
        <v>0</v>
      </c>
      <c r="L1036" s="3">
        <v>970.96</v>
      </c>
      <c r="M1036" s="3">
        <v>164.63</v>
      </c>
      <c r="N1036" t="s">
        <v>35</v>
      </c>
      <c r="O1036" s="3"/>
      <c r="P1036" s="3"/>
    </row>
    <row r="1037" spans="1:16" x14ac:dyDescent="0.3">
      <c r="A1037" t="s">
        <v>2314</v>
      </c>
      <c r="B1037" s="9" t="s">
        <v>396</v>
      </c>
      <c r="C1037" s="20" t="str">
        <f t="shared" si="16"/>
        <v>May</v>
      </c>
      <c r="D1037" t="s">
        <v>562</v>
      </c>
      <c r="E1037" s="10" t="s">
        <v>1622</v>
      </c>
      <c r="F1037" t="s">
        <v>64</v>
      </c>
      <c r="G1037" t="s">
        <v>89</v>
      </c>
      <c r="H1037" t="s">
        <v>150</v>
      </c>
      <c r="I1037">
        <v>2</v>
      </c>
      <c r="J1037" s="3">
        <v>22.75</v>
      </c>
      <c r="K1037" s="2">
        <v>0.1</v>
      </c>
      <c r="L1037" s="3">
        <v>40.950000000000003</v>
      </c>
      <c r="M1037" s="3">
        <v>7.1</v>
      </c>
      <c r="N1037" t="s">
        <v>35</v>
      </c>
      <c r="O1037" s="3"/>
      <c r="P1037" s="3"/>
    </row>
    <row r="1038" spans="1:16" x14ac:dyDescent="0.3">
      <c r="A1038" t="s">
        <v>2315</v>
      </c>
      <c r="B1038" s="9" t="s">
        <v>29</v>
      </c>
      <c r="C1038" s="20" t="str">
        <f t="shared" si="16"/>
        <v>Jun</v>
      </c>
      <c r="D1038" t="s">
        <v>2048</v>
      </c>
      <c r="E1038" s="10" t="s">
        <v>1153</v>
      </c>
      <c r="F1038" t="s">
        <v>25</v>
      </c>
      <c r="G1038" t="s">
        <v>18</v>
      </c>
      <c r="H1038" t="s">
        <v>79</v>
      </c>
      <c r="I1038">
        <v>5</v>
      </c>
      <c r="J1038" s="3">
        <v>249.21</v>
      </c>
      <c r="K1038" s="2">
        <v>0.05</v>
      </c>
      <c r="L1038" s="3">
        <v>1183.75</v>
      </c>
      <c r="M1038" s="3">
        <v>110.22</v>
      </c>
      <c r="N1038" t="s">
        <v>20</v>
      </c>
      <c r="O1038" s="3"/>
      <c r="P1038" s="3"/>
    </row>
    <row r="1039" spans="1:16" x14ac:dyDescent="0.3">
      <c r="A1039" t="s">
        <v>2316</v>
      </c>
      <c r="B1039" s="9" t="s">
        <v>1459</v>
      </c>
      <c r="C1039" s="20" t="str">
        <f t="shared" si="16"/>
        <v>Sep</v>
      </c>
      <c r="D1039" t="s">
        <v>901</v>
      </c>
      <c r="E1039" s="10" t="s">
        <v>16</v>
      </c>
      <c r="F1039" t="s">
        <v>59</v>
      </c>
      <c r="G1039" t="s">
        <v>26</v>
      </c>
      <c r="H1039" t="s">
        <v>27</v>
      </c>
      <c r="I1039">
        <v>4</v>
      </c>
      <c r="J1039" s="3">
        <v>199.5</v>
      </c>
      <c r="K1039" s="2">
        <v>0.1</v>
      </c>
      <c r="L1039" s="3">
        <v>718.2</v>
      </c>
      <c r="M1039" s="3">
        <v>177.59</v>
      </c>
      <c r="N1039" t="s">
        <v>20</v>
      </c>
      <c r="O1039" s="3"/>
      <c r="P1039" s="3"/>
    </row>
    <row r="1040" spans="1:16" x14ac:dyDescent="0.3">
      <c r="A1040" t="s">
        <v>2317</v>
      </c>
      <c r="B1040" s="9" t="s">
        <v>1018</v>
      </c>
      <c r="C1040" s="20" t="str">
        <f t="shared" si="16"/>
        <v>Jul</v>
      </c>
      <c r="D1040" t="s">
        <v>204</v>
      </c>
      <c r="E1040" s="10" t="s">
        <v>1224</v>
      </c>
      <c r="F1040" t="s">
        <v>17</v>
      </c>
      <c r="G1040" t="s">
        <v>89</v>
      </c>
      <c r="H1040" t="s">
        <v>90</v>
      </c>
      <c r="I1040">
        <v>6</v>
      </c>
      <c r="J1040" s="3">
        <v>21.35</v>
      </c>
      <c r="K1040" s="2">
        <v>0.05</v>
      </c>
      <c r="L1040" s="3">
        <v>121.7</v>
      </c>
      <c r="M1040" s="3">
        <v>32.729999999999997</v>
      </c>
      <c r="N1040" t="s">
        <v>40</v>
      </c>
      <c r="O1040" s="3"/>
      <c r="P1040" s="3"/>
    </row>
    <row r="1041" spans="1:16" x14ac:dyDescent="0.3">
      <c r="A1041" t="s">
        <v>2318</v>
      </c>
      <c r="B1041" s="9" t="s">
        <v>309</v>
      </c>
      <c r="C1041" s="20" t="str">
        <f t="shared" si="16"/>
        <v>Feb</v>
      </c>
      <c r="D1041" t="s">
        <v>93</v>
      </c>
      <c r="E1041" s="10" t="s">
        <v>2319</v>
      </c>
      <c r="F1041" t="s">
        <v>17</v>
      </c>
      <c r="G1041" t="s">
        <v>26</v>
      </c>
      <c r="H1041" t="s">
        <v>84</v>
      </c>
      <c r="I1041">
        <v>8</v>
      </c>
      <c r="J1041" s="3">
        <v>168.54</v>
      </c>
      <c r="K1041" s="2">
        <v>0</v>
      </c>
      <c r="L1041" s="3">
        <v>1348.32</v>
      </c>
      <c r="M1041" s="3">
        <v>318.22000000000003</v>
      </c>
      <c r="N1041" t="s">
        <v>35</v>
      </c>
      <c r="O1041" s="3"/>
      <c r="P1041" s="3"/>
    </row>
    <row r="1042" spans="1:16" x14ac:dyDescent="0.3">
      <c r="A1042" t="s">
        <v>2320</v>
      </c>
      <c r="B1042" s="9" t="s">
        <v>81</v>
      </c>
      <c r="C1042" s="20" t="str">
        <f t="shared" si="16"/>
        <v>Feb</v>
      </c>
      <c r="D1042" t="s">
        <v>1754</v>
      </c>
      <c r="E1042" s="10" t="s">
        <v>186</v>
      </c>
      <c r="F1042" t="s">
        <v>59</v>
      </c>
      <c r="G1042" t="s">
        <v>26</v>
      </c>
      <c r="H1042" t="s">
        <v>27</v>
      </c>
      <c r="I1042">
        <v>6</v>
      </c>
      <c r="J1042" s="3">
        <v>182.58</v>
      </c>
      <c r="K1042" s="2">
        <v>0</v>
      </c>
      <c r="L1042" s="3">
        <v>1095.48</v>
      </c>
      <c r="M1042" s="3">
        <v>144.38</v>
      </c>
      <c r="N1042" t="s">
        <v>35</v>
      </c>
      <c r="O1042" s="3"/>
      <c r="P1042" s="3"/>
    </row>
    <row r="1043" spans="1:16" x14ac:dyDescent="0.3">
      <c r="A1043" t="s">
        <v>2321</v>
      </c>
      <c r="B1043" s="9" t="s">
        <v>1773</v>
      </c>
      <c r="C1043" s="20" t="str">
        <f t="shared" si="16"/>
        <v>Nov</v>
      </c>
      <c r="D1043" t="s">
        <v>181</v>
      </c>
      <c r="E1043" s="10" t="s">
        <v>791</v>
      </c>
      <c r="F1043" t="s">
        <v>17</v>
      </c>
      <c r="G1043" t="s">
        <v>89</v>
      </c>
      <c r="H1043" t="s">
        <v>150</v>
      </c>
      <c r="I1043">
        <v>2</v>
      </c>
      <c r="J1043" s="3">
        <v>111.48</v>
      </c>
      <c r="K1043" s="2">
        <v>0.15</v>
      </c>
      <c r="L1043" s="3">
        <v>189.52</v>
      </c>
      <c r="M1043" s="3">
        <v>31.15</v>
      </c>
      <c r="N1043" t="s">
        <v>35</v>
      </c>
      <c r="O1043" s="3"/>
      <c r="P1043" s="3"/>
    </row>
    <row r="1044" spans="1:16" x14ac:dyDescent="0.3">
      <c r="A1044" t="s">
        <v>2322</v>
      </c>
      <c r="B1044" s="9" t="s">
        <v>603</v>
      </c>
      <c r="C1044" s="20" t="str">
        <f t="shared" si="16"/>
        <v>Nov</v>
      </c>
      <c r="D1044" t="s">
        <v>1765</v>
      </c>
      <c r="E1044" s="10" t="s">
        <v>1211</v>
      </c>
      <c r="F1044" t="s">
        <v>17</v>
      </c>
      <c r="G1044" t="s">
        <v>89</v>
      </c>
      <c r="H1044" t="s">
        <v>90</v>
      </c>
      <c r="I1044">
        <v>8</v>
      </c>
      <c r="J1044" s="3">
        <v>78.86</v>
      </c>
      <c r="K1044" s="2">
        <v>0.05</v>
      </c>
      <c r="L1044" s="3">
        <v>599.34</v>
      </c>
      <c r="M1044" s="3">
        <v>152.49</v>
      </c>
      <c r="N1044" t="s">
        <v>40</v>
      </c>
      <c r="O1044" s="3"/>
      <c r="P1044" s="3"/>
    </row>
    <row r="1045" spans="1:16" x14ac:dyDescent="0.3">
      <c r="A1045" t="s">
        <v>2323</v>
      </c>
      <c r="B1045" s="9" t="s">
        <v>1634</v>
      </c>
      <c r="C1045" s="20" t="str">
        <f t="shared" si="16"/>
        <v>Dec</v>
      </c>
      <c r="D1045" t="s">
        <v>1831</v>
      </c>
      <c r="E1045" s="10" t="s">
        <v>1897</v>
      </c>
      <c r="F1045" t="s">
        <v>64</v>
      </c>
      <c r="G1045" t="s">
        <v>18</v>
      </c>
      <c r="H1045" t="s">
        <v>79</v>
      </c>
      <c r="I1045">
        <v>7</v>
      </c>
      <c r="J1045" s="3">
        <v>97.89</v>
      </c>
      <c r="K1045" s="2">
        <v>0.15</v>
      </c>
      <c r="L1045" s="3">
        <v>582.45000000000005</v>
      </c>
      <c r="M1045" s="3">
        <v>132.58000000000001</v>
      </c>
      <c r="N1045" t="s">
        <v>40</v>
      </c>
      <c r="O1045" s="3"/>
      <c r="P1045" s="3"/>
    </row>
    <row r="1046" spans="1:16" x14ac:dyDescent="0.3">
      <c r="A1046" t="s">
        <v>2324</v>
      </c>
      <c r="B1046" s="9" t="s">
        <v>1252</v>
      </c>
      <c r="C1046" s="20" t="str">
        <f t="shared" si="16"/>
        <v>Oct</v>
      </c>
      <c r="D1046" t="s">
        <v>1339</v>
      </c>
      <c r="E1046" s="10" t="s">
        <v>1822</v>
      </c>
      <c r="F1046" t="s">
        <v>59</v>
      </c>
      <c r="G1046" t="s">
        <v>89</v>
      </c>
      <c r="H1046" t="s">
        <v>90</v>
      </c>
      <c r="I1046">
        <v>7</v>
      </c>
      <c r="J1046" s="3">
        <v>59.11</v>
      </c>
      <c r="K1046" s="2">
        <v>0.1</v>
      </c>
      <c r="L1046" s="3">
        <v>372.39</v>
      </c>
      <c r="M1046" s="3">
        <v>109.55</v>
      </c>
      <c r="N1046" t="s">
        <v>40</v>
      </c>
      <c r="O1046" s="3"/>
      <c r="P1046" s="3"/>
    </row>
    <row r="1047" spans="1:16" x14ac:dyDescent="0.3">
      <c r="A1047" t="s">
        <v>2325</v>
      </c>
      <c r="B1047" s="9" t="s">
        <v>252</v>
      </c>
      <c r="C1047" s="20" t="str">
        <f t="shared" si="16"/>
        <v>Mar</v>
      </c>
      <c r="D1047" t="s">
        <v>984</v>
      </c>
      <c r="E1047" s="10" t="s">
        <v>1479</v>
      </c>
      <c r="F1047" t="s">
        <v>32</v>
      </c>
      <c r="G1047" t="s">
        <v>26</v>
      </c>
      <c r="H1047" t="s">
        <v>27</v>
      </c>
      <c r="I1047">
        <v>4</v>
      </c>
      <c r="J1047" s="3">
        <v>45.42</v>
      </c>
      <c r="K1047" s="2">
        <v>0.05</v>
      </c>
      <c r="L1047" s="3">
        <v>172.6</v>
      </c>
      <c r="M1047" s="3">
        <v>29.12</v>
      </c>
      <c r="N1047" t="s">
        <v>20</v>
      </c>
      <c r="O1047" s="3"/>
      <c r="P1047" s="3"/>
    </row>
    <row r="1048" spans="1:16" x14ac:dyDescent="0.3">
      <c r="A1048" t="s">
        <v>2326</v>
      </c>
      <c r="B1048" s="9" t="s">
        <v>86</v>
      </c>
      <c r="C1048" s="20" t="str">
        <f t="shared" si="16"/>
        <v>Feb</v>
      </c>
      <c r="D1048" t="s">
        <v>2183</v>
      </c>
      <c r="E1048" s="10" t="s">
        <v>747</v>
      </c>
      <c r="F1048" t="s">
        <v>64</v>
      </c>
      <c r="G1048" t="s">
        <v>26</v>
      </c>
      <c r="H1048" t="s">
        <v>27</v>
      </c>
      <c r="I1048">
        <v>3</v>
      </c>
      <c r="J1048" s="3">
        <v>40.47</v>
      </c>
      <c r="K1048" s="2">
        <v>0.05</v>
      </c>
      <c r="L1048" s="3">
        <v>115.34</v>
      </c>
      <c r="M1048" s="3">
        <v>13.3</v>
      </c>
      <c r="N1048" t="s">
        <v>40</v>
      </c>
      <c r="O1048" s="3"/>
      <c r="P1048" s="3"/>
    </row>
    <row r="1049" spans="1:16" x14ac:dyDescent="0.3">
      <c r="A1049" t="s">
        <v>2327</v>
      </c>
      <c r="B1049" s="9" t="s">
        <v>2328</v>
      </c>
      <c r="C1049" s="20" t="str">
        <f t="shared" si="16"/>
        <v>May</v>
      </c>
      <c r="D1049" t="s">
        <v>196</v>
      </c>
      <c r="E1049" s="10" t="s">
        <v>360</v>
      </c>
      <c r="F1049" t="s">
        <v>59</v>
      </c>
      <c r="G1049" t="s">
        <v>18</v>
      </c>
      <c r="H1049" t="s">
        <v>45</v>
      </c>
      <c r="I1049">
        <v>7</v>
      </c>
      <c r="J1049" s="3">
        <v>159.51</v>
      </c>
      <c r="K1049" s="2">
        <v>0.15</v>
      </c>
      <c r="L1049" s="3">
        <v>949.08</v>
      </c>
      <c r="M1049" s="3">
        <v>207.52</v>
      </c>
      <c r="N1049" t="s">
        <v>20</v>
      </c>
      <c r="O1049" s="3"/>
      <c r="P1049" s="3"/>
    </row>
    <row r="1050" spans="1:16" x14ac:dyDescent="0.3">
      <c r="A1050" t="s">
        <v>2329</v>
      </c>
      <c r="B1050" s="9" t="s">
        <v>317</v>
      </c>
      <c r="C1050" s="20" t="str">
        <f t="shared" si="16"/>
        <v>May</v>
      </c>
      <c r="D1050" t="s">
        <v>2330</v>
      </c>
      <c r="E1050" s="10" t="s">
        <v>572</v>
      </c>
      <c r="F1050" t="s">
        <v>17</v>
      </c>
      <c r="G1050" t="s">
        <v>89</v>
      </c>
      <c r="H1050" t="s">
        <v>150</v>
      </c>
      <c r="I1050">
        <v>8</v>
      </c>
      <c r="J1050" s="3">
        <v>68.36</v>
      </c>
      <c r="K1050" s="2">
        <v>0.15</v>
      </c>
      <c r="L1050" s="3">
        <v>464.85</v>
      </c>
      <c r="M1050" s="3">
        <v>87.93</v>
      </c>
      <c r="N1050" t="s">
        <v>40</v>
      </c>
      <c r="O1050" s="3"/>
      <c r="P1050" s="3"/>
    </row>
    <row r="1051" spans="1:16" x14ac:dyDescent="0.3">
      <c r="A1051" t="s">
        <v>2331</v>
      </c>
      <c r="B1051" s="9" t="s">
        <v>1644</v>
      </c>
      <c r="C1051" s="20" t="str">
        <f t="shared" si="16"/>
        <v>Sep</v>
      </c>
      <c r="D1051" t="s">
        <v>1920</v>
      </c>
      <c r="E1051" s="10" t="s">
        <v>1295</v>
      </c>
      <c r="F1051" t="s">
        <v>25</v>
      </c>
      <c r="G1051" t="s">
        <v>18</v>
      </c>
      <c r="H1051" t="s">
        <v>45</v>
      </c>
      <c r="I1051">
        <v>7</v>
      </c>
      <c r="J1051" s="3">
        <v>164.71</v>
      </c>
      <c r="K1051" s="2">
        <v>0</v>
      </c>
      <c r="L1051" s="3">
        <v>1152.97</v>
      </c>
      <c r="M1051" s="3">
        <v>134.99</v>
      </c>
      <c r="N1051" t="s">
        <v>35</v>
      </c>
      <c r="O1051" s="3"/>
      <c r="P1051" s="3"/>
    </row>
    <row r="1052" spans="1:16" x14ac:dyDescent="0.3">
      <c r="A1052" t="s">
        <v>2332</v>
      </c>
      <c r="B1052" s="9" t="s">
        <v>1263</v>
      </c>
      <c r="C1052" s="20" t="str">
        <f t="shared" si="16"/>
        <v>Dec</v>
      </c>
      <c r="D1052" t="s">
        <v>1499</v>
      </c>
      <c r="E1052" s="10" t="s">
        <v>1240</v>
      </c>
      <c r="F1052" t="s">
        <v>64</v>
      </c>
      <c r="G1052" t="s">
        <v>33</v>
      </c>
      <c r="H1052" t="s">
        <v>34</v>
      </c>
      <c r="I1052">
        <v>5</v>
      </c>
      <c r="J1052" s="3">
        <v>53.82</v>
      </c>
      <c r="K1052" s="2">
        <v>0</v>
      </c>
      <c r="L1052" s="3">
        <v>269.10000000000002</v>
      </c>
      <c r="M1052" s="3">
        <v>35.770000000000003</v>
      </c>
      <c r="N1052" t="s">
        <v>40</v>
      </c>
      <c r="O1052" s="3"/>
      <c r="P1052" s="3"/>
    </row>
    <row r="1053" spans="1:16" x14ac:dyDescent="0.3">
      <c r="A1053" t="s">
        <v>2335</v>
      </c>
      <c r="B1053" s="9" t="s">
        <v>1242</v>
      </c>
      <c r="C1053" s="20" t="str">
        <f t="shared" si="16"/>
        <v>Jun</v>
      </c>
      <c r="D1053" t="s">
        <v>876</v>
      </c>
      <c r="E1053" s="10" t="s">
        <v>927</v>
      </c>
      <c r="F1053" t="s">
        <v>64</v>
      </c>
      <c r="G1053" t="s">
        <v>18</v>
      </c>
      <c r="H1053" t="s">
        <v>45</v>
      </c>
      <c r="I1053">
        <v>7</v>
      </c>
      <c r="J1053" s="3">
        <v>133.05000000000001</v>
      </c>
      <c r="K1053" s="2">
        <v>0.15</v>
      </c>
      <c r="L1053" s="3">
        <v>791.65</v>
      </c>
      <c r="M1053" s="3">
        <v>76.459999999999994</v>
      </c>
      <c r="N1053" t="s">
        <v>20</v>
      </c>
      <c r="O1053" s="3"/>
      <c r="P1053" s="3"/>
    </row>
    <row r="1054" spans="1:16" x14ac:dyDescent="0.3">
      <c r="A1054" t="s">
        <v>2336</v>
      </c>
      <c r="B1054" s="9" t="s">
        <v>14</v>
      </c>
      <c r="C1054" s="20" t="str">
        <f t="shared" si="16"/>
        <v>Aug</v>
      </c>
      <c r="D1054" t="s">
        <v>511</v>
      </c>
      <c r="E1054" s="10" t="s">
        <v>1689</v>
      </c>
      <c r="F1054" t="s">
        <v>32</v>
      </c>
      <c r="G1054" t="s">
        <v>26</v>
      </c>
      <c r="H1054" t="s">
        <v>84</v>
      </c>
      <c r="I1054">
        <v>4</v>
      </c>
      <c r="J1054" s="3">
        <v>51.88</v>
      </c>
      <c r="K1054" s="2">
        <v>0</v>
      </c>
      <c r="L1054" s="3">
        <v>207.52</v>
      </c>
      <c r="M1054" s="3">
        <v>40.549999999999997</v>
      </c>
      <c r="N1054" t="s">
        <v>35</v>
      </c>
      <c r="O1054" s="3"/>
      <c r="P1054" s="3"/>
    </row>
    <row r="1055" spans="1:16" x14ac:dyDescent="0.3">
      <c r="A1055" t="s">
        <v>2337</v>
      </c>
      <c r="B1055" s="9" t="s">
        <v>697</v>
      </c>
      <c r="C1055" s="20" t="str">
        <f t="shared" si="16"/>
        <v>Oct</v>
      </c>
      <c r="D1055" t="s">
        <v>660</v>
      </c>
      <c r="E1055" s="10" t="s">
        <v>1902</v>
      </c>
      <c r="F1055" t="s">
        <v>17</v>
      </c>
      <c r="G1055" t="s">
        <v>89</v>
      </c>
      <c r="H1055" t="s">
        <v>90</v>
      </c>
      <c r="I1055">
        <v>6</v>
      </c>
      <c r="J1055" s="3">
        <v>50.13</v>
      </c>
      <c r="K1055" s="2">
        <v>0.1</v>
      </c>
      <c r="L1055" s="3">
        <v>270.7</v>
      </c>
      <c r="M1055" s="3">
        <v>75.02</v>
      </c>
      <c r="N1055" t="s">
        <v>35</v>
      </c>
      <c r="O1055" s="3"/>
      <c r="P1055" s="3"/>
    </row>
    <row r="1056" spans="1:16" x14ac:dyDescent="0.3">
      <c r="A1056" t="s">
        <v>2338</v>
      </c>
      <c r="B1056" s="9" t="s">
        <v>681</v>
      </c>
      <c r="C1056" s="20" t="str">
        <f t="shared" si="16"/>
        <v>Jan</v>
      </c>
      <c r="D1056" t="s">
        <v>62</v>
      </c>
      <c r="E1056" s="10" t="s">
        <v>902</v>
      </c>
      <c r="F1056" t="s">
        <v>32</v>
      </c>
      <c r="G1056" t="s">
        <v>18</v>
      </c>
      <c r="H1056" t="s">
        <v>79</v>
      </c>
      <c r="I1056">
        <v>4</v>
      </c>
      <c r="J1056" s="3">
        <v>49.26</v>
      </c>
      <c r="K1056" s="2">
        <v>0.05</v>
      </c>
      <c r="L1056" s="3">
        <v>187.19</v>
      </c>
      <c r="M1056" s="3">
        <v>40.33</v>
      </c>
      <c r="N1056" t="s">
        <v>40</v>
      </c>
      <c r="O1056" s="3"/>
      <c r="P1056" s="3"/>
    </row>
    <row r="1057" spans="1:16" x14ac:dyDescent="0.3">
      <c r="A1057" t="s">
        <v>2339</v>
      </c>
      <c r="B1057" s="9" t="s">
        <v>362</v>
      </c>
      <c r="C1057" s="20" t="str">
        <f t="shared" si="16"/>
        <v>Jun</v>
      </c>
      <c r="D1057" t="s">
        <v>480</v>
      </c>
      <c r="E1057" s="10" t="s">
        <v>871</v>
      </c>
      <c r="F1057" t="s">
        <v>17</v>
      </c>
      <c r="G1057" t="s">
        <v>18</v>
      </c>
      <c r="H1057" t="s">
        <v>45</v>
      </c>
      <c r="I1057">
        <v>2</v>
      </c>
      <c r="J1057" s="3">
        <v>60.98</v>
      </c>
      <c r="K1057" s="2">
        <v>0</v>
      </c>
      <c r="L1057" s="3">
        <v>121.96</v>
      </c>
      <c r="M1057" s="3">
        <v>13.71</v>
      </c>
      <c r="N1057" t="s">
        <v>20</v>
      </c>
      <c r="O1057" s="3"/>
      <c r="P1057" s="3"/>
    </row>
    <row r="1058" spans="1:16" x14ac:dyDescent="0.3">
      <c r="A1058" t="s">
        <v>2340</v>
      </c>
      <c r="B1058" s="9" t="s">
        <v>400</v>
      </c>
      <c r="C1058" s="20" t="str">
        <f t="shared" si="16"/>
        <v>Dec</v>
      </c>
      <c r="D1058" t="s">
        <v>62</v>
      </c>
      <c r="E1058" s="10" t="s">
        <v>1264</v>
      </c>
      <c r="F1058" t="s">
        <v>59</v>
      </c>
      <c r="G1058" t="s">
        <v>18</v>
      </c>
      <c r="H1058" t="s">
        <v>19</v>
      </c>
      <c r="I1058">
        <v>2</v>
      </c>
      <c r="J1058" s="3">
        <v>213.23</v>
      </c>
      <c r="K1058" s="2">
        <v>0.15</v>
      </c>
      <c r="L1058" s="3">
        <v>362.49</v>
      </c>
      <c r="M1058" s="3">
        <v>83.31</v>
      </c>
      <c r="N1058" t="s">
        <v>35</v>
      </c>
      <c r="O1058" s="3"/>
      <c r="P1058" s="3"/>
    </row>
    <row r="1059" spans="1:16" x14ac:dyDescent="0.3">
      <c r="A1059" t="s">
        <v>2341</v>
      </c>
      <c r="B1059" s="9" t="s">
        <v>657</v>
      </c>
      <c r="C1059" s="20" t="str">
        <f t="shared" si="16"/>
        <v>Dec</v>
      </c>
      <c r="D1059" t="s">
        <v>215</v>
      </c>
      <c r="E1059" s="10" t="s">
        <v>1240</v>
      </c>
      <c r="F1059" t="s">
        <v>64</v>
      </c>
      <c r="G1059" t="s">
        <v>33</v>
      </c>
      <c r="H1059" t="s">
        <v>74</v>
      </c>
      <c r="I1059">
        <v>4</v>
      </c>
      <c r="J1059" s="3">
        <v>31.45</v>
      </c>
      <c r="K1059" s="2">
        <v>0.1</v>
      </c>
      <c r="L1059" s="3">
        <v>113.22</v>
      </c>
      <c r="M1059" s="3">
        <v>20.329999999999998</v>
      </c>
      <c r="N1059" t="s">
        <v>40</v>
      </c>
      <c r="O1059" s="3"/>
      <c r="P1059" s="3"/>
    </row>
    <row r="1060" spans="1:16" x14ac:dyDescent="0.3">
      <c r="A1060" t="s">
        <v>2342</v>
      </c>
      <c r="B1060" s="9" t="s">
        <v>133</v>
      </c>
      <c r="C1060" s="20" t="str">
        <f t="shared" si="16"/>
        <v>Apr</v>
      </c>
      <c r="D1060" t="s">
        <v>863</v>
      </c>
      <c r="E1060" s="10" t="s">
        <v>94</v>
      </c>
      <c r="F1060" t="s">
        <v>32</v>
      </c>
      <c r="G1060" t="s">
        <v>26</v>
      </c>
      <c r="H1060" t="s">
        <v>84</v>
      </c>
      <c r="I1060">
        <v>7</v>
      </c>
      <c r="J1060" s="3">
        <v>181.64</v>
      </c>
      <c r="K1060" s="2">
        <v>0.1</v>
      </c>
      <c r="L1060" s="3">
        <v>1144.33</v>
      </c>
      <c r="M1060" s="3">
        <v>107.97</v>
      </c>
      <c r="N1060" t="s">
        <v>35</v>
      </c>
      <c r="O1060" s="3"/>
      <c r="P1060" s="3"/>
    </row>
    <row r="1061" spans="1:16" x14ac:dyDescent="0.3">
      <c r="A1061" t="s">
        <v>2343</v>
      </c>
      <c r="B1061" s="9" t="s">
        <v>885</v>
      </c>
      <c r="C1061" s="20" t="str">
        <f t="shared" si="16"/>
        <v>Dec</v>
      </c>
      <c r="D1061" t="s">
        <v>93</v>
      </c>
      <c r="E1061" s="10" t="s">
        <v>1323</v>
      </c>
      <c r="F1061" t="s">
        <v>59</v>
      </c>
      <c r="G1061" t="s">
        <v>89</v>
      </c>
      <c r="H1061" t="s">
        <v>90</v>
      </c>
      <c r="I1061">
        <v>6</v>
      </c>
      <c r="J1061" s="3">
        <v>47.69</v>
      </c>
      <c r="K1061" s="2">
        <v>0.15</v>
      </c>
      <c r="L1061" s="3">
        <v>243.22</v>
      </c>
      <c r="M1061" s="3">
        <v>51.42</v>
      </c>
      <c r="N1061" t="s">
        <v>35</v>
      </c>
      <c r="O1061" s="3"/>
      <c r="P1061" s="3"/>
    </row>
    <row r="1062" spans="1:16" x14ac:dyDescent="0.3">
      <c r="A1062" t="s">
        <v>2344</v>
      </c>
      <c r="B1062" s="9" t="s">
        <v>223</v>
      </c>
      <c r="C1062" s="20" t="str">
        <f t="shared" si="16"/>
        <v>Jun</v>
      </c>
      <c r="D1062" t="s">
        <v>2345</v>
      </c>
      <c r="E1062" s="10" t="s">
        <v>1269</v>
      </c>
      <c r="F1062" t="s">
        <v>32</v>
      </c>
      <c r="G1062" t="s">
        <v>18</v>
      </c>
      <c r="H1062" t="s">
        <v>19</v>
      </c>
      <c r="I1062">
        <v>7</v>
      </c>
      <c r="J1062" s="3">
        <v>129.59</v>
      </c>
      <c r="K1062" s="2">
        <v>0.05</v>
      </c>
      <c r="L1062" s="3">
        <v>861.77</v>
      </c>
      <c r="M1062" s="3">
        <v>109.65</v>
      </c>
      <c r="N1062" t="s">
        <v>20</v>
      </c>
      <c r="O1062" s="3"/>
      <c r="P1062" s="3"/>
    </row>
    <row r="1063" spans="1:16" x14ac:dyDescent="0.3">
      <c r="A1063" t="s">
        <v>2346</v>
      </c>
      <c r="B1063" s="9" t="s">
        <v>1136</v>
      </c>
      <c r="C1063" s="20" t="str">
        <f t="shared" si="16"/>
        <v>Apr</v>
      </c>
      <c r="D1063" t="s">
        <v>287</v>
      </c>
      <c r="E1063" s="10" t="s">
        <v>2083</v>
      </c>
      <c r="F1063" t="s">
        <v>64</v>
      </c>
      <c r="G1063" t="s">
        <v>26</v>
      </c>
      <c r="H1063" t="s">
        <v>84</v>
      </c>
      <c r="I1063">
        <v>6</v>
      </c>
      <c r="J1063" s="3">
        <v>197.53</v>
      </c>
      <c r="K1063" s="2">
        <v>0</v>
      </c>
      <c r="L1063" s="3">
        <v>1185.18</v>
      </c>
      <c r="M1063" s="3">
        <v>339.82</v>
      </c>
      <c r="N1063" t="s">
        <v>40</v>
      </c>
      <c r="O1063" s="3"/>
      <c r="P1063" s="3"/>
    </row>
    <row r="1064" spans="1:16" x14ac:dyDescent="0.3">
      <c r="A1064" t="s">
        <v>2347</v>
      </c>
      <c r="B1064" s="9" t="s">
        <v>540</v>
      </c>
      <c r="C1064" s="20" t="str">
        <f t="shared" si="16"/>
        <v>Apr</v>
      </c>
      <c r="D1064" t="s">
        <v>1119</v>
      </c>
      <c r="E1064" s="10" t="s">
        <v>165</v>
      </c>
      <c r="F1064" t="s">
        <v>59</v>
      </c>
      <c r="G1064" t="s">
        <v>18</v>
      </c>
      <c r="H1064" t="s">
        <v>79</v>
      </c>
      <c r="I1064">
        <v>5</v>
      </c>
      <c r="J1064" s="3">
        <v>201.33</v>
      </c>
      <c r="K1064" s="2">
        <v>0</v>
      </c>
      <c r="L1064" s="3">
        <v>1006.65</v>
      </c>
      <c r="M1064" s="3">
        <v>283.76</v>
      </c>
      <c r="N1064" t="s">
        <v>40</v>
      </c>
      <c r="O1064" s="3"/>
      <c r="P1064" s="3"/>
    </row>
    <row r="1065" spans="1:16" x14ac:dyDescent="0.3">
      <c r="A1065" t="s">
        <v>2348</v>
      </c>
      <c r="B1065" s="9" t="s">
        <v>705</v>
      </c>
      <c r="C1065" s="20" t="str">
        <f t="shared" si="16"/>
        <v>Mar</v>
      </c>
      <c r="D1065" t="s">
        <v>1532</v>
      </c>
      <c r="E1065" s="10" t="s">
        <v>601</v>
      </c>
      <c r="F1065" t="s">
        <v>25</v>
      </c>
      <c r="G1065" t="s">
        <v>33</v>
      </c>
      <c r="H1065" t="s">
        <v>34</v>
      </c>
      <c r="I1065">
        <v>7</v>
      </c>
      <c r="J1065" s="3">
        <v>59.44</v>
      </c>
      <c r="K1065" s="2">
        <v>0.15</v>
      </c>
      <c r="L1065" s="3">
        <v>353.67</v>
      </c>
      <c r="M1065" s="3">
        <v>58.7</v>
      </c>
      <c r="N1065" t="s">
        <v>35</v>
      </c>
      <c r="O1065" s="3"/>
      <c r="P1065" s="3"/>
    </row>
    <row r="1066" spans="1:16" x14ac:dyDescent="0.3">
      <c r="A1066" t="s">
        <v>2349</v>
      </c>
      <c r="B1066" s="9" t="s">
        <v>1925</v>
      </c>
      <c r="C1066" s="20" t="str">
        <f t="shared" si="16"/>
        <v>May</v>
      </c>
      <c r="D1066" t="s">
        <v>2350</v>
      </c>
      <c r="E1066" s="10" t="s">
        <v>1500</v>
      </c>
      <c r="F1066" t="s">
        <v>59</v>
      </c>
      <c r="G1066" t="s">
        <v>89</v>
      </c>
      <c r="H1066" t="s">
        <v>131</v>
      </c>
      <c r="I1066">
        <v>6</v>
      </c>
      <c r="J1066" s="3">
        <v>51.62</v>
      </c>
      <c r="K1066" s="2">
        <v>0.05</v>
      </c>
      <c r="L1066" s="3">
        <v>294.23</v>
      </c>
      <c r="M1066" s="3">
        <v>63.03</v>
      </c>
      <c r="N1066" t="s">
        <v>35</v>
      </c>
      <c r="O1066" s="3"/>
      <c r="P1066" s="3"/>
    </row>
    <row r="1067" spans="1:16" x14ac:dyDescent="0.3">
      <c r="A1067" t="s">
        <v>2351</v>
      </c>
      <c r="B1067" s="9" t="s">
        <v>1242</v>
      </c>
      <c r="C1067" s="20" t="str">
        <f t="shared" si="16"/>
        <v>Jun</v>
      </c>
      <c r="D1067" t="s">
        <v>504</v>
      </c>
      <c r="E1067" s="10" t="s">
        <v>1431</v>
      </c>
      <c r="F1067" t="s">
        <v>64</v>
      </c>
      <c r="G1067" t="s">
        <v>33</v>
      </c>
      <c r="H1067" t="s">
        <v>50</v>
      </c>
      <c r="I1067">
        <v>3</v>
      </c>
      <c r="J1067" s="3">
        <v>222.34</v>
      </c>
      <c r="K1067" s="2">
        <v>0</v>
      </c>
      <c r="L1067" s="3">
        <v>667.02</v>
      </c>
      <c r="M1067" s="3">
        <v>87.99</v>
      </c>
      <c r="N1067" t="s">
        <v>40</v>
      </c>
      <c r="O1067" s="3"/>
      <c r="P1067" s="3"/>
    </row>
    <row r="1068" spans="1:16" x14ac:dyDescent="0.3">
      <c r="A1068" t="s">
        <v>2352</v>
      </c>
      <c r="B1068" s="9" t="s">
        <v>1011</v>
      </c>
      <c r="C1068" s="20" t="str">
        <f t="shared" si="16"/>
        <v>Jun</v>
      </c>
      <c r="D1068" t="s">
        <v>1754</v>
      </c>
      <c r="E1068" s="10" t="s">
        <v>1520</v>
      </c>
      <c r="F1068" t="s">
        <v>59</v>
      </c>
      <c r="G1068" t="s">
        <v>89</v>
      </c>
      <c r="H1068" t="s">
        <v>131</v>
      </c>
      <c r="I1068">
        <v>1</v>
      </c>
      <c r="J1068" s="3">
        <v>166.75</v>
      </c>
      <c r="K1068" s="2">
        <v>0.05</v>
      </c>
      <c r="L1068" s="3">
        <v>158.41</v>
      </c>
      <c r="M1068" s="3">
        <v>21.15</v>
      </c>
      <c r="N1068" t="s">
        <v>35</v>
      </c>
      <c r="O1068" s="3"/>
      <c r="P1068" s="3"/>
    </row>
    <row r="1069" spans="1:16" x14ac:dyDescent="0.3">
      <c r="A1069" t="s">
        <v>2353</v>
      </c>
      <c r="B1069" s="9" t="s">
        <v>338</v>
      </c>
      <c r="C1069" s="20" t="str">
        <f t="shared" si="16"/>
        <v>Dec</v>
      </c>
      <c r="D1069" t="s">
        <v>160</v>
      </c>
      <c r="E1069" s="10" t="s">
        <v>2354</v>
      </c>
      <c r="F1069" t="s">
        <v>17</v>
      </c>
      <c r="G1069" t="s">
        <v>26</v>
      </c>
      <c r="H1069" t="s">
        <v>118</v>
      </c>
      <c r="I1069">
        <v>2</v>
      </c>
      <c r="J1069" s="3">
        <v>23.17</v>
      </c>
      <c r="K1069" s="2">
        <v>0.15</v>
      </c>
      <c r="L1069" s="3">
        <v>39.39</v>
      </c>
      <c r="M1069" s="3">
        <v>3.94</v>
      </c>
      <c r="N1069" t="s">
        <v>35</v>
      </c>
      <c r="O1069" s="3"/>
      <c r="P1069" s="3"/>
    </row>
    <row r="1070" spans="1:16" x14ac:dyDescent="0.3">
      <c r="A1070" t="s">
        <v>2355</v>
      </c>
      <c r="B1070" s="9" t="s">
        <v>124</v>
      </c>
      <c r="C1070" s="20" t="str">
        <f t="shared" si="16"/>
        <v>Jun</v>
      </c>
      <c r="D1070" t="s">
        <v>2356</v>
      </c>
      <c r="E1070" s="10" t="s">
        <v>2063</v>
      </c>
      <c r="F1070" t="s">
        <v>64</v>
      </c>
      <c r="G1070" t="s">
        <v>33</v>
      </c>
      <c r="H1070" t="s">
        <v>74</v>
      </c>
      <c r="I1070">
        <v>6</v>
      </c>
      <c r="J1070" s="3">
        <v>10.77</v>
      </c>
      <c r="K1070" s="2">
        <v>0.15</v>
      </c>
      <c r="L1070" s="3">
        <v>54.93</v>
      </c>
      <c r="M1070" s="3">
        <v>4.41</v>
      </c>
      <c r="N1070" t="s">
        <v>35</v>
      </c>
      <c r="O1070" s="3"/>
      <c r="P1070" s="3"/>
    </row>
    <row r="1071" spans="1:16" x14ac:dyDescent="0.3">
      <c r="A1071" t="s">
        <v>2357</v>
      </c>
      <c r="B1071" s="9" t="s">
        <v>133</v>
      </c>
      <c r="C1071" s="20" t="str">
        <f t="shared" si="16"/>
        <v>Apr</v>
      </c>
      <c r="D1071" t="s">
        <v>204</v>
      </c>
      <c r="E1071" s="10" t="s">
        <v>1822</v>
      </c>
      <c r="F1071" t="s">
        <v>25</v>
      </c>
      <c r="G1071" t="s">
        <v>26</v>
      </c>
      <c r="H1071" t="s">
        <v>27</v>
      </c>
      <c r="I1071">
        <v>3</v>
      </c>
      <c r="J1071" s="3">
        <v>161.66</v>
      </c>
      <c r="K1071" s="2">
        <v>0.1</v>
      </c>
      <c r="L1071" s="3">
        <v>436.48</v>
      </c>
      <c r="M1071" s="3">
        <v>56.3</v>
      </c>
      <c r="N1071" t="s">
        <v>20</v>
      </c>
      <c r="O1071" s="3"/>
      <c r="P1071" s="3"/>
    </row>
    <row r="1072" spans="1:16" x14ac:dyDescent="0.3">
      <c r="A1072" t="s">
        <v>2358</v>
      </c>
      <c r="B1072" s="9" t="s">
        <v>100</v>
      </c>
      <c r="C1072" s="20" t="str">
        <f t="shared" si="16"/>
        <v>Jul</v>
      </c>
      <c r="D1072" t="s">
        <v>853</v>
      </c>
      <c r="E1072" s="10" t="s">
        <v>568</v>
      </c>
      <c r="F1072" t="s">
        <v>64</v>
      </c>
      <c r="G1072" t="s">
        <v>18</v>
      </c>
      <c r="H1072" t="s">
        <v>19</v>
      </c>
      <c r="I1072">
        <v>2</v>
      </c>
      <c r="J1072" s="3">
        <v>166.69</v>
      </c>
      <c r="K1072" s="2">
        <v>0.15</v>
      </c>
      <c r="L1072" s="3">
        <v>283.37</v>
      </c>
      <c r="M1072" s="3">
        <v>71.930000000000007</v>
      </c>
      <c r="N1072" t="s">
        <v>20</v>
      </c>
      <c r="O1072" s="3"/>
      <c r="P1072" s="3"/>
    </row>
    <row r="1073" spans="1:16" x14ac:dyDescent="0.3">
      <c r="A1073" t="s">
        <v>2359</v>
      </c>
      <c r="B1073" s="9" t="s">
        <v>681</v>
      </c>
      <c r="C1073" s="20" t="str">
        <f t="shared" si="16"/>
        <v>Jan</v>
      </c>
      <c r="D1073" t="s">
        <v>148</v>
      </c>
      <c r="E1073" s="10" t="s">
        <v>2307</v>
      </c>
      <c r="F1073" t="s">
        <v>25</v>
      </c>
      <c r="G1073" t="s">
        <v>18</v>
      </c>
      <c r="H1073" t="s">
        <v>45</v>
      </c>
      <c r="I1073">
        <v>5</v>
      </c>
      <c r="J1073" s="3">
        <v>20.34</v>
      </c>
      <c r="K1073" s="2">
        <v>0.1</v>
      </c>
      <c r="L1073" s="3">
        <v>91.53</v>
      </c>
      <c r="M1073" s="3">
        <v>18.78</v>
      </c>
      <c r="N1073" t="s">
        <v>40</v>
      </c>
      <c r="O1073" s="3"/>
      <c r="P1073" s="3"/>
    </row>
    <row r="1074" spans="1:16" x14ac:dyDescent="0.3">
      <c r="A1074" t="s">
        <v>2360</v>
      </c>
      <c r="B1074" s="9" t="s">
        <v>749</v>
      </c>
      <c r="C1074" s="20" t="str">
        <f t="shared" si="16"/>
        <v>Mar</v>
      </c>
      <c r="D1074" t="s">
        <v>105</v>
      </c>
      <c r="E1074" s="10" t="s">
        <v>126</v>
      </c>
      <c r="F1074" t="s">
        <v>17</v>
      </c>
      <c r="G1074" t="s">
        <v>26</v>
      </c>
      <c r="H1074" t="s">
        <v>84</v>
      </c>
      <c r="I1074">
        <v>8</v>
      </c>
      <c r="J1074" s="3">
        <v>151.05000000000001</v>
      </c>
      <c r="K1074" s="2">
        <v>0.05</v>
      </c>
      <c r="L1074" s="3">
        <v>1147.98</v>
      </c>
      <c r="M1074" s="3">
        <v>231.72</v>
      </c>
      <c r="N1074" t="s">
        <v>40</v>
      </c>
      <c r="O1074" s="3"/>
      <c r="P1074" s="3"/>
    </row>
    <row r="1075" spans="1:16" x14ac:dyDescent="0.3">
      <c r="A1075" t="s">
        <v>2361</v>
      </c>
      <c r="B1075" s="9" t="s">
        <v>1415</v>
      </c>
      <c r="C1075" s="20" t="str">
        <f t="shared" si="16"/>
        <v>Sep</v>
      </c>
      <c r="D1075" t="s">
        <v>2362</v>
      </c>
      <c r="E1075" s="10" t="s">
        <v>2020</v>
      </c>
      <c r="F1075" t="s">
        <v>32</v>
      </c>
      <c r="G1075" t="s">
        <v>26</v>
      </c>
      <c r="H1075" t="s">
        <v>84</v>
      </c>
      <c r="I1075">
        <v>3</v>
      </c>
      <c r="J1075" s="3">
        <v>223.15</v>
      </c>
      <c r="K1075" s="2">
        <v>0.15</v>
      </c>
      <c r="L1075" s="3">
        <v>569.03</v>
      </c>
      <c r="M1075" s="3">
        <v>140.37</v>
      </c>
      <c r="N1075" t="s">
        <v>40</v>
      </c>
      <c r="O1075" s="3"/>
      <c r="P1075" s="3"/>
    </row>
    <row r="1076" spans="1:16" x14ac:dyDescent="0.3">
      <c r="A1076" t="s">
        <v>2363</v>
      </c>
      <c r="B1076" s="9" t="s">
        <v>1367</v>
      </c>
      <c r="C1076" s="20" t="str">
        <f t="shared" si="16"/>
        <v>Jan</v>
      </c>
      <c r="D1076" t="s">
        <v>1074</v>
      </c>
      <c r="E1076" s="10" t="s">
        <v>723</v>
      </c>
      <c r="F1076" t="s">
        <v>59</v>
      </c>
      <c r="G1076" t="s">
        <v>26</v>
      </c>
      <c r="H1076" t="s">
        <v>118</v>
      </c>
      <c r="I1076">
        <v>5</v>
      </c>
      <c r="J1076" s="3">
        <v>178.8</v>
      </c>
      <c r="K1076" s="2">
        <v>0.15</v>
      </c>
      <c r="L1076" s="3">
        <v>759.9</v>
      </c>
      <c r="M1076" s="3">
        <v>67.37</v>
      </c>
      <c r="N1076" t="s">
        <v>40</v>
      </c>
      <c r="O1076" s="3"/>
      <c r="P1076" s="3"/>
    </row>
    <row r="1077" spans="1:16" x14ac:dyDescent="0.3">
      <c r="A1077" t="s">
        <v>2364</v>
      </c>
      <c r="B1077" s="9" t="s">
        <v>1483</v>
      </c>
      <c r="C1077" s="20" t="str">
        <f t="shared" si="16"/>
        <v>Dec</v>
      </c>
      <c r="D1077" t="s">
        <v>429</v>
      </c>
      <c r="E1077" s="10" t="s">
        <v>240</v>
      </c>
      <c r="F1077" t="s">
        <v>25</v>
      </c>
      <c r="G1077" t="s">
        <v>89</v>
      </c>
      <c r="H1077" t="s">
        <v>90</v>
      </c>
      <c r="I1077">
        <v>8</v>
      </c>
      <c r="J1077" s="3">
        <v>210.95</v>
      </c>
      <c r="K1077" s="2">
        <v>0.05</v>
      </c>
      <c r="L1077" s="3">
        <v>1603.22</v>
      </c>
      <c r="M1077" s="3">
        <v>430.73</v>
      </c>
      <c r="N1077" t="s">
        <v>40</v>
      </c>
      <c r="O1077" s="3"/>
      <c r="P1077" s="3"/>
    </row>
    <row r="1078" spans="1:16" x14ac:dyDescent="0.3">
      <c r="A1078" t="s">
        <v>2365</v>
      </c>
      <c r="B1078" s="9" t="s">
        <v>2022</v>
      </c>
      <c r="C1078" s="20" t="str">
        <f t="shared" si="16"/>
        <v>Jun</v>
      </c>
      <c r="D1078" t="s">
        <v>1327</v>
      </c>
      <c r="E1078" s="10" t="s">
        <v>1022</v>
      </c>
      <c r="F1078" t="s">
        <v>32</v>
      </c>
      <c r="G1078" t="s">
        <v>33</v>
      </c>
      <c r="H1078" t="s">
        <v>74</v>
      </c>
      <c r="I1078">
        <v>2</v>
      </c>
      <c r="J1078" s="3">
        <v>36.409999999999997</v>
      </c>
      <c r="K1078" s="2">
        <v>0.05</v>
      </c>
      <c r="L1078" s="3">
        <v>69.180000000000007</v>
      </c>
      <c r="M1078" s="3">
        <v>18.899999999999999</v>
      </c>
      <c r="N1078" t="s">
        <v>20</v>
      </c>
      <c r="O1078" s="3"/>
      <c r="P1078" s="3"/>
    </row>
    <row r="1079" spans="1:16" x14ac:dyDescent="0.3">
      <c r="A1079" t="s">
        <v>2366</v>
      </c>
      <c r="B1079" s="9" t="s">
        <v>302</v>
      </c>
      <c r="C1079" s="20" t="str">
        <f t="shared" si="16"/>
        <v>Oct</v>
      </c>
      <c r="D1079" t="s">
        <v>1922</v>
      </c>
      <c r="E1079" s="10" t="s">
        <v>175</v>
      </c>
      <c r="F1079" t="s">
        <v>64</v>
      </c>
      <c r="G1079" t="s">
        <v>18</v>
      </c>
      <c r="H1079" t="s">
        <v>19</v>
      </c>
      <c r="I1079">
        <v>4</v>
      </c>
      <c r="J1079" s="3">
        <v>230.58</v>
      </c>
      <c r="K1079" s="2">
        <v>0</v>
      </c>
      <c r="L1079" s="3">
        <v>922.32</v>
      </c>
      <c r="M1079" s="3">
        <v>268.83999999999997</v>
      </c>
      <c r="N1079" t="s">
        <v>40</v>
      </c>
      <c r="O1079" s="3"/>
      <c r="P1079" s="3"/>
    </row>
    <row r="1080" spans="1:16" x14ac:dyDescent="0.3">
      <c r="A1080" t="s">
        <v>2367</v>
      </c>
      <c r="B1080" s="9" t="s">
        <v>180</v>
      </c>
      <c r="C1080" s="20" t="str">
        <f t="shared" si="16"/>
        <v>Feb</v>
      </c>
      <c r="D1080" t="s">
        <v>1239</v>
      </c>
      <c r="E1080" s="10" t="s">
        <v>1392</v>
      </c>
      <c r="F1080" t="s">
        <v>17</v>
      </c>
      <c r="G1080" t="s">
        <v>18</v>
      </c>
      <c r="H1080" t="s">
        <v>19</v>
      </c>
      <c r="I1080">
        <v>6</v>
      </c>
      <c r="J1080" s="3">
        <v>12.45</v>
      </c>
      <c r="K1080" s="2">
        <v>0.05</v>
      </c>
      <c r="L1080" s="3">
        <v>70.959999999999994</v>
      </c>
      <c r="M1080" s="3">
        <v>11</v>
      </c>
      <c r="N1080" t="s">
        <v>40</v>
      </c>
      <c r="O1080" s="3"/>
      <c r="P1080" s="3"/>
    </row>
    <row r="1081" spans="1:16" x14ac:dyDescent="0.3">
      <c r="A1081" t="s">
        <v>2368</v>
      </c>
      <c r="B1081" s="9" t="s">
        <v>1495</v>
      </c>
      <c r="C1081" s="20" t="str">
        <f t="shared" si="16"/>
        <v>Jan</v>
      </c>
      <c r="D1081" t="s">
        <v>2369</v>
      </c>
      <c r="E1081" s="10" t="s">
        <v>1856</v>
      </c>
      <c r="F1081" t="s">
        <v>64</v>
      </c>
      <c r="G1081" t="s">
        <v>89</v>
      </c>
      <c r="H1081" t="s">
        <v>150</v>
      </c>
      <c r="I1081">
        <v>2</v>
      </c>
      <c r="J1081" s="3">
        <v>15.89</v>
      </c>
      <c r="K1081" s="2">
        <v>0.15</v>
      </c>
      <c r="L1081" s="3">
        <v>27.01</v>
      </c>
      <c r="M1081" s="3">
        <v>3.11</v>
      </c>
      <c r="N1081" t="s">
        <v>20</v>
      </c>
      <c r="O1081" s="3"/>
      <c r="P1081" s="3"/>
    </row>
    <row r="1082" spans="1:16" x14ac:dyDescent="0.3">
      <c r="A1082" t="s">
        <v>2370</v>
      </c>
      <c r="B1082" s="9" t="s">
        <v>371</v>
      </c>
      <c r="C1082" s="20" t="str">
        <f t="shared" si="16"/>
        <v>Aug</v>
      </c>
      <c r="D1082" t="s">
        <v>38</v>
      </c>
      <c r="E1082" s="10" t="s">
        <v>1362</v>
      </c>
      <c r="F1082" t="s">
        <v>64</v>
      </c>
      <c r="G1082" t="s">
        <v>26</v>
      </c>
      <c r="H1082" t="s">
        <v>118</v>
      </c>
      <c r="I1082">
        <v>4</v>
      </c>
      <c r="J1082" s="3">
        <v>211.76</v>
      </c>
      <c r="K1082" s="2">
        <v>0.1</v>
      </c>
      <c r="L1082" s="3">
        <v>762.34</v>
      </c>
      <c r="M1082" s="3">
        <v>194.41</v>
      </c>
      <c r="N1082" t="s">
        <v>35</v>
      </c>
      <c r="O1082" s="3"/>
      <c r="P1082" s="3"/>
    </row>
    <row r="1083" spans="1:16" x14ac:dyDescent="0.3">
      <c r="A1083" t="s">
        <v>2371</v>
      </c>
      <c r="B1083" s="9" t="s">
        <v>929</v>
      </c>
      <c r="C1083" s="20" t="str">
        <f t="shared" si="16"/>
        <v>May</v>
      </c>
      <c r="D1083" t="s">
        <v>1888</v>
      </c>
      <c r="E1083" s="10" t="s">
        <v>2372</v>
      </c>
      <c r="F1083" t="s">
        <v>32</v>
      </c>
      <c r="G1083" t="s">
        <v>26</v>
      </c>
      <c r="H1083" t="s">
        <v>27</v>
      </c>
      <c r="I1083">
        <v>5</v>
      </c>
      <c r="J1083" s="3">
        <v>191.54</v>
      </c>
      <c r="K1083" s="2">
        <v>0.1</v>
      </c>
      <c r="L1083" s="3">
        <v>861.93</v>
      </c>
      <c r="M1083" s="3">
        <v>184.78</v>
      </c>
      <c r="N1083" t="s">
        <v>20</v>
      </c>
      <c r="O1083" s="3"/>
      <c r="P1083" s="3"/>
    </row>
    <row r="1084" spans="1:16" x14ac:dyDescent="0.3">
      <c r="A1084" t="s">
        <v>2375</v>
      </c>
      <c r="B1084" s="9" t="s">
        <v>252</v>
      </c>
      <c r="C1084" s="20" t="str">
        <f t="shared" si="16"/>
        <v>Mar</v>
      </c>
      <c r="D1084" t="s">
        <v>527</v>
      </c>
      <c r="E1084" s="10" t="s">
        <v>1362</v>
      </c>
      <c r="F1084" t="s">
        <v>25</v>
      </c>
      <c r="G1084" t="s">
        <v>18</v>
      </c>
      <c r="H1084" t="s">
        <v>79</v>
      </c>
      <c r="I1084">
        <v>8</v>
      </c>
      <c r="J1084" s="3">
        <v>90.74</v>
      </c>
      <c r="K1084" s="2">
        <v>0.1</v>
      </c>
      <c r="L1084" s="3">
        <v>653.33000000000004</v>
      </c>
      <c r="M1084" s="3">
        <v>131.57</v>
      </c>
      <c r="N1084" t="s">
        <v>40</v>
      </c>
      <c r="O1084" s="3"/>
      <c r="P1084" s="3"/>
    </row>
    <row r="1085" spans="1:16" x14ac:dyDescent="0.3">
      <c r="A1085" t="s">
        <v>2376</v>
      </c>
      <c r="B1085" s="9" t="s">
        <v>1108</v>
      </c>
      <c r="C1085" s="20" t="str">
        <f t="shared" si="16"/>
        <v>Dec</v>
      </c>
      <c r="D1085" t="s">
        <v>967</v>
      </c>
      <c r="E1085" s="10" t="s">
        <v>661</v>
      </c>
      <c r="F1085" t="s">
        <v>25</v>
      </c>
      <c r="G1085" t="s">
        <v>18</v>
      </c>
      <c r="H1085" t="s">
        <v>45</v>
      </c>
      <c r="I1085">
        <v>4</v>
      </c>
      <c r="J1085" s="3">
        <v>32.56</v>
      </c>
      <c r="K1085" s="2">
        <v>0.15</v>
      </c>
      <c r="L1085" s="3">
        <v>110.7</v>
      </c>
      <c r="M1085" s="3">
        <v>25.69</v>
      </c>
      <c r="N1085" t="s">
        <v>40</v>
      </c>
      <c r="O1085" s="3"/>
      <c r="P1085" s="3"/>
    </row>
    <row r="1086" spans="1:16" x14ac:dyDescent="0.3">
      <c r="A1086" t="s">
        <v>2377</v>
      </c>
      <c r="B1086" s="9" t="s">
        <v>643</v>
      </c>
      <c r="C1086" s="20" t="str">
        <f t="shared" si="16"/>
        <v>Aug</v>
      </c>
      <c r="D1086" t="s">
        <v>272</v>
      </c>
      <c r="E1086" s="10" t="s">
        <v>237</v>
      </c>
      <c r="F1086" t="s">
        <v>32</v>
      </c>
      <c r="G1086" t="s">
        <v>89</v>
      </c>
      <c r="H1086" t="s">
        <v>150</v>
      </c>
      <c r="I1086">
        <v>7</v>
      </c>
      <c r="J1086" s="3">
        <v>55.7</v>
      </c>
      <c r="K1086" s="2">
        <v>0.05</v>
      </c>
      <c r="L1086" s="3">
        <v>370.41</v>
      </c>
      <c r="M1086" s="3">
        <v>52.68</v>
      </c>
      <c r="N1086" t="s">
        <v>20</v>
      </c>
      <c r="O1086" s="3"/>
      <c r="P1086" s="3"/>
    </row>
    <row r="1087" spans="1:16" x14ac:dyDescent="0.3">
      <c r="A1087" t="s">
        <v>2378</v>
      </c>
      <c r="B1087" s="9" t="s">
        <v>516</v>
      </c>
      <c r="C1087" s="20" t="str">
        <f t="shared" si="16"/>
        <v>May</v>
      </c>
      <c r="D1087" t="s">
        <v>824</v>
      </c>
      <c r="E1087" s="10" t="s">
        <v>1130</v>
      </c>
      <c r="F1087" t="s">
        <v>64</v>
      </c>
      <c r="G1087" t="s">
        <v>33</v>
      </c>
      <c r="H1087" t="s">
        <v>74</v>
      </c>
      <c r="I1087">
        <v>6</v>
      </c>
      <c r="J1087" s="3">
        <v>31.84</v>
      </c>
      <c r="K1087" s="2">
        <v>0.15</v>
      </c>
      <c r="L1087" s="3">
        <v>162.38</v>
      </c>
      <c r="M1087" s="3">
        <v>13.15</v>
      </c>
      <c r="N1087" t="s">
        <v>35</v>
      </c>
      <c r="O1087" s="3"/>
      <c r="P1087" s="3"/>
    </row>
    <row r="1088" spans="1:16" x14ac:dyDescent="0.3">
      <c r="A1088" t="s">
        <v>2379</v>
      </c>
      <c r="B1088" s="9" t="s">
        <v>771</v>
      </c>
      <c r="C1088" s="20" t="str">
        <f t="shared" si="16"/>
        <v>Jun</v>
      </c>
      <c r="D1088" t="s">
        <v>454</v>
      </c>
      <c r="E1088" s="10" t="s">
        <v>937</v>
      </c>
      <c r="F1088" t="s">
        <v>64</v>
      </c>
      <c r="G1088" t="s">
        <v>18</v>
      </c>
      <c r="H1088" t="s">
        <v>45</v>
      </c>
      <c r="I1088">
        <v>5</v>
      </c>
      <c r="J1088" s="3">
        <v>170.19</v>
      </c>
      <c r="K1088" s="2">
        <v>0</v>
      </c>
      <c r="L1088" s="3">
        <v>850.95</v>
      </c>
      <c r="M1088" s="3">
        <v>244.05</v>
      </c>
      <c r="N1088" t="s">
        <v>35</v>
      </c>
      <c r="O1088" s="3"/>
      <c r="P1088" s="3"/>
    </row>
    <row r="1089" spans="1:16" x14ac:dyDescent="0.3">
      <c r="A1089" t="s">
        <v>2380</v>
      </c>
      <c r="B1089" s="9" t="s">
        <v>523</v>
      </c>
      <c r="C1089" s="20" t="str">
        <f t="shared" si="16"/>
        <v>Dec</v>
      </c>
      <c r="D1089" t="s">
        <v>1110</v>
      </c>
      <c r="E1089" s="10" t="s">
        <v>2381</v>
      </c>
      <c r="F1089" t="s">
        <v>59</v>
      </c>
      <c r="G1089" t="s">
        <v>89</v>
      </c>
      <c r="H1089" t="s">
        <v>90</v>
      </c>
      <c r="I1089">
        <v>6</v>
      </c>
      <c r="J1089" s="3">
        <v>74.180000000000007</v>
      </c>
      <c r="K1089" s="2">
        <v>0.1</v>
      </c>
      <c r="L1089" s="3">
        <v>400.57</v>
      </c>
      <c r="M1089" s="3">
        <v>49.02</v>
      </c>
      <c r="N1089" t="s">
        <v>35</v>
      </c>
      <c r="O1089" s="3"/>
      <c r="P1089" s="3"/>
    </row>
    <row r="1090" spans="1:16" x14ac:dyDescent="0.3">
      <c r="A1090" t="s">
        <v>2382</v>
      </c>
      <c r="B1090" s="9" t="s">
        <v>885</v>
      </c>
      <c r="C1090" s="20" t="str">
        <f t="shared" ref="C1090:C1153" si="17">TEXT(B:B, "mmm")</f>
        <v>Dec</v>
      </c>
      <c r="D1090" t="s">
        <v>567</v>
      </c>
      <c r="E1090" s="10" t="s">
        <v>343</v>
      </c>
      <c r="F1090" t="s">
        <v>64</v>
      </c>
      <c r="G1090" t="s">
        <v>89</v>
      </c>
      <c r="H1090" t="s">
        <v>90</v>
      </c>
      <c r="I1090">
        <v>8</v>
      </c>
      <c r="J1090" s="3">
        <v>227.21</v>
      </c>
      <c r="K1090" s="2">
        <v>0.1</v>
      </c>
      <c r="L1090" s="3">
        <v>1635.91</v>
      </c>
      <c r="M1090" s="3">
        <v>339.03</v>
      </c>
      <c r="N1090" t="s">
        <v>20</v>
      </c>
      <c r="O1090" s="3"/>
      <c r="P1090" s="3"/>
    </row>
    <row r="1091" spans="1:16" x14ac:dyDescent="0.3">
      <c r="A1091" t="s">
        <v>2383</v>
      </c>
      <c r="B1091" s="9" t="s">
        <v>108</v>
      </c>
      <c r="C1091" s="20" t="str">
        <f t="shared" si="17"/>
        <v>May</v>
      </c>
      <c r="D1091" t="s">
        <v>230</v>
      </c>
      <c r="E1091" s="10" t="s">
        <v>1675</v>
      </c>
      <c r="F1091" t="s">
        <v>64</v>
      </c>
      <c r="G1091" t="s">
        <v>89</v>
      </c>
      <c r="H1091" t="s">
        <v>90</v>
      </c>
      <c r="I1091">
        <v>5</v>
      </c>
      <c r="J1091" s="3">
        <v>189.68</v>
      </c>
      <c r="K1091" s="2">
        <v>0.05</v>
      </c>
      <c r="L1091" s="3">
        <v>900.98</v>
      </c>
      <c r="M1091" s="3">
        <v>208.73</v>
      </c>
      <c r="N1091" t="s">
        <v>40</v>
      </c>
      <c r="O1091" s="3"/>
      <c r="P1091" s="3"/>
    </row>
    <row r="1092" spans="1:16" x14ac:dyDescent="0.3">
      <c r="A1092" t="s">
        <v>2384</v>
      </c>
      <c r="B1092" s="9" t="s">
        <v>159</v>
      </c>
      <c r="C1092" s="20" t="str">
        <f t="shared" si="17"/>
        <v>May</v>
      </c>
      <c r="D1092" t="s">
        <v>2048</v>
      </c>
      <c r="E1092" s="10" t="s">
        <v>1687</v>
      </c>
      <c r="F1092" t="s">
        <v>59</v>
      </c>
      <c r="G1092" t="s">
        <v>89</v>
      </c>
      <c r="H1092" t="s">
        <v>90</v>
      </c>
      <c r="I1092">
        <v>4</v>
      </c>
      <c r="J1092" s="3">
        <v>129.07</v>
      </c>
      <c r="K1092" s="2">
        <v>0.1</v>
      </c>
      <c r="L1092" s="3">
        <v>464.65</v>
      </c>
      <c r="M1092" s="3">
        <v>70.430000000000007</v>
      </c>
      <c r="N1092" t="s">
        <v>35</v>
      </c>
      <c r="O1092" s="3"/>
      <c r="P1092" s="3"/>
    </row>
    <row r="1093" spans="1:16" x14ac:dyDescent="0.3">
      <c r="A1093" t="s">
        <v>2385</v>
      </c>
      <c r="B1093" s="9" t="s">
        <v>810</v>
      </c>
      <c r="C1093" s="20" t="str">
        <f t="shared" si="17"/>
        <v>Feb</v>
      </c>
      <c r="D1093" t="s">
        <v>831</v>
      </c>
      <c r="E1093" s="10" t="s">
        <v>934</v>
      </c>
      <c r="F1093" t="s">
        <v>64</v>
      </c>
      <c r="G1093" t="s">
        <v>26</v>
      </c>
      <c r="H1093" t="s">
        <v>84</v>
      </c>
      <c r="I1093">
        <v>4</v>
      </c>
      <c r="J1093" s="3">
        <v>82.64</v>
      </c>
      <c r="K1093" s="2">
        <v>0</v>
      </c>
      <c r="L1093" s="3">
        <v>330.56</v>
      </c>
      <c r="M1093" s="3">
        <v>45.18</v>
      </c>
      <c r="N1093" t="s">
        <v>35</v>
      </c>
      <c r="O1093" s="3"/>
      <c r="P1093" s="3"/>
    </row>
    <row r="1094" spans="1:16" x14ac:dyDescent="0.3">
      <c r="A1094" t="s">
        <v>2386</v>
      </c>
      <c r="B1094" s="9" t="s">
        <v>1428</v>
      </c>
      <c r="C1094" s="20" t="str">
        <f t="shared" si="17"/>
        <v>Jun</v>
      </c>
      <c r="D1094" t="s">
        <v>105</v>
      </c>
      <c r="E1094" s="10" t="s">
        <v>655</v>
      </c>
      <c r="F1094" t="s">
        <v>25</v>
      </c>
      <c r="G1094" t="s">
        <v>33</v>
      </c>
      <c r="H1094" t="s">
        <v>69</v>
      </c>
      <c r="I1094">
        <v>8</v>
      </c>
      <c r="J1094" s="3">
        <v>240.94</v>
      </c>
      <c r="K1094" s="2">
        <v>0.1</v>
      </c>
      <c r="L1094" s="3">
        <v>1734.77</v>
      </c>
      <c r="M1094" s="3">
        <v>504.12</v>
      </c>
      <c r="N1094" t="s">
        <v>35</v>
      </c>
      <c r="O1094" s="3"/>
      <c r="P1094" s="3"/>
    </row>
    <row r="1095" spans="1:16" x14ac:dyDescent="0.3">
      <c r="A1095" t="s">
        <v>2387</v>
      </c>
      <c r="B1095" s="9" t="s">
        <v>290</v>
      </c>
      <c r="C1095" s="20" t="str">
        <f t="shared" si="17"/>
        <v>Jul</v>
      </c>
      <c r="D1095" t="s">
        <v>2388</v>
      </c>
      <c r="E1095" s="10" t="s">
        <v>1596</v>
      </c>
      <c r="F1095" t="s">
        <v>59</v>
      </c>
      <c r="G1095" t="s">
        <v>89</v>
      </c>
      <c r="H1095" t="s">
        <v>131</v>
      </c>
      <c r="I1095">
        <v>3</v>
      </c>
      <c r="J1095" s="3">
        <v>183.49</v>
      </c>
      <c r="K1095" s="2">
        <v>0</v>
      </c>
      <c r="L1095" s="3">
        <v>550.47</v>
      </c>
      <c r="M1095" s="3">
        <v>128.37</v>
      </c>
      <c r="N1095" t="s">
        <v>35</v>
      </c>
      <c r="O1095" s="3"/>
      <c r="P1095" s="3"/>
    </row>
    <row r="1096" spans="1:16" x14ac:dyDescent="0.3">
      <c r="A1096" t="s">
        <v>2389</v>
      </c>
      <c r="B1096" s="9" t="s">
        <v>1367</v>
      </c>
      <c r="C1096" s="20" t="str">
        <f t="shared" si="17"/>
        <v>Jan</v>
      </c>
      <c r="D1096" t="s">
        <v>249</v>
      </c>
      <c r="E1096" s="10" t="s">
        <v>1077</v>
      </c>
      <c r="F1096" t="s">
        <v>17</v>
      </c>
      <c r="G1096" t="s">
        <v>33</v>
      </c>
      <c r="H1096" t="s">
        <v>34</v>
      </c>
      <c r="I1096">
        <v>7</v>
      </c>
      <c r="J1096" s="3">
        <v>46.6</v>
      </c>
      <c r="K1096" s="2">
        <v>0.05</v>
      </c>
      <c r="L1096" s="3">
        <v>309.89</v>
      </c>
      <c r="M1096" s="3">
        <v>56.9</v>
      </c>
      <c r="N1096" t="s">
        <v>20</v>
      </c>
      <c r="O1096" s="3"/>
      <c r="P1096" s="3"/>
    </row>
    <row r="1097" spans="1:16" x14ac:dyDescent="0.3">
      <c r="A1097" t="s">
        <v>2390</v>
      </c>
      <c r="B1097" s="9" t="s">
        <v>2391</v>
      </c>
      <c r="C1097" s="20" t="str">
        <f t="shared" si="17"/>
        <v>Jul</v>
      </c>
      <c r="D1097" t="s">
        <v>72</v>
      </c>
      <c r="E1097" s="10" t="s">
        <v>658</v>
      </c>
      <c r="F1097" t="s">
        <v>32</v>
      </c>
      <c r="G1097" t="s">
        <v>26</v>
      </c>
      <c r="H1097" t="s">
        <v>27</v>
      </c>
      <c r="I1097">
        <v>2</v>
      </c>
      <c r="J1097" s="3">
        <v>241.71</v>
      </c>
      <c r="K1097" s="2">
        <v>0</v>
      </c>
      <c r="L1097" s="3">
        <v>483.42</v>
      </c>
      <c r="M1097" s="3">
        <v>90.57</v>
      </c>
      <c r="N1097" t="s">
        <v>20</v>
      </c>
      <c r="O1097" s="3"/>
      <c r="P1097" s="3"/>
    </row>
    <row r="1098" spans="1:16" x14ac:dyDescent="0.3">
      <c r="A1098" t="s">
        <v>2392</v>
      </c>
      <c r="B1098" s="9" t="s">
        <v>2393</v>
      </c>
      <c r="C1098" s="20" t="str">
        <f t="shared" si="17"/>
        <v>Aug</v>
      </c>
      <c r="D1098" t="s">
        <v>2394</v>
      </c>
      <c r="E1098" s="10" t="s">
        <v>280</v>
      </c>
      <c r="F1098" t="s">
        <v>32</v>
      </c>
      <c r="G1098" t="s">
        <v>33</v>
      </c>
      <c r="H1098" t="s">
        <v>69</v>
      </c>
      <c r="I1098">
        <v>5</v>
      </c>
      <c r="J1098" s="3">
        <v>191.07</v>
      </c>
      <c r="K1098" s="2">
        <v>0.1</v>
      </c>
      <c r="L1098" s="3">
        <v>859.81</v>
      </c>
      <c r="M1098" s="3">
        <v>147.41</v>
      </c>
      <c r="N1098" t="s">
        <v>20</v>
      </c>
      <c r="O1098" s="3"/>
      <c r="P1098" s="3"/>
    </row>
    <row r="1099" spans="1:16" x14ac:dyDescent="0.3">
      <c r="A1099" t="s">
        <v>2395</v>
      </c>
      <c r="B1099" s="9" t="s">
        <v>457</v>
      </c>
      <c r="C1099" s="20" t="str">
        <f t="shared" si="17"/>
        <v>Jan</v>
      </c>
      <c r="D1099" t="s">
        <v>2396</v>
      </c>
      <c r="E1099" s="10" t="s">
        <v>2156</v>
      </c>
      <c r="F1099" t="s">
        <v>32</v>
      </c>
      <c r="G1099" t="s">
        <v>26</v>
      </c>
      <c r="H1099" t="s">
        <v>27</v>
      </c>
      <c r="I1099">
        <v>8</v>
      </c>
      <c r="J1099" s="3">
        <v>40.32</v>
      </c>
      <c r="K1099" s="2">
        <v>0.05</v>
      </c>
      <c r="L1099" s="3">
        <v>306.43</v>
      </c>
      <c r="M1099" s="3">
        <v>52.66</v>
      </c>
      <c r="N1099" t="s">
        <v>40</v>
      </c>
      <c r="O1099" s="3"/>
      <c r="P1099" s="3"/>
    </row>
    <row r="1100" spans="1:16" x14ac:dyDescent="0.3">
      <c r="A1100" t="s">
        <v>2397</v>
      </c>
      <c r="B1100" s="9" t="s">
        <v>392</v>
      </c>
      <c r="C1100" s="20" t="str">
        <f t="shared" si="17"/>
        <v>Jan</v>
      </c>
      <c r="D1100" t="s">
        <v>1737</v>
      </c>
      <c r="E1100" s="10" t="s">
        <v>919</v>
      </c>
      <c r="F1100" t="s">
        <v>32</v>
      </c>
      <c r="G1100" t="s">
        <v>26</v>
      </c>
      <c r="H1100" t="s">
        <v>118</v>
      </c>
      <c r="I1100">
        <v>1</v>
      </c>
      <c r="J1100" s="3">
        <v>177.06</v>
      </c>
      <c r="K1100" s="2">
        <v>0.05</v>
      </c>
      <c r="L1100" s="3">
        <v>168.21</v>
      </c>
      <c r="M1100" s="3">
        <v>19.14</v>
      </c>
      <c r="N1100" t="s">
        <v>35</v>
      </c>
      <c r="O1100" s="3"/>
      <c r="P1100" s="3"/>
    </row>
    <row r="1101" spans="1:16" x14ac:dyDescent="0.3">
      <c r="A1101" t="s">
        <v>2398</v>
      </c>
      <c r="B1101" s="9" t="s">
        <v>199</v>
      </c>
      <c r="C1101" s="20" t="str">
        <f t="shared" si="17"/>
        <v>Mar</v>
      </c>
      <c r="D1101" t="s">
        <v>221</v>
      </c>
      <c r="E1101" s="10" t="s">
        <v>1455</v>
      </c>
      <c r="F1101" t="s">
        <v>64</v>
      </c>
      <c r="G1101" t="s">
        <v>26</v>
      </c>
      <c r="H1101" t="s">
        <v>27</v>
      </c>
      <c r="I1101">
        <v>1</v>
      </c>
      <c r="J1101" s="3">
        <v>56.41</v>
      </c>
      <c r="K1101" s="2">
        <v>0</v>
      </c>
      <c r="L1101" s="3">
        <v>56.41</v>
      </c>
      <c r="M1101" s="3">
        <v>16.239999999999998</v>
      </c>
      <c r="N1101" t="s">
        <v>20</v>
      </c>
      <c r="O1101" s="3"/>
      <c r="P1101" s="3"/>
    </row>
    <row r="1102" spans="1:16" x14ac:dyDescent="0.3">
      <c r="A1102" t="s">
        <v>2399</v>
      </c>
      <c r="B1102" s="9" t="s">
        <v>1377</v>
      </c>
      <c r="C1102" s="20" t="str">
        <f t="shared" si="17"/>
        <v>Oct</v>
      </c>
      <c r="D1102" t="s">
        <v>1679</v>
      </c>
      <c r="E1102" s="10" t="s">
        <v>919</v>
      </c>
      <c r="F1102" t="s">
        <v>59</v>
      </c>
      <c r="G1102" t="s">
        <v>26</v>
      </c>
      <c r="H1102" t="s">
        <v>27</v>
      </c>
      <c r="I1102">
        <v>3</v>
      </c>
      <c r="J1102" s="3">
        <v>114.16</v>
      </c>
      <c r="K1102" s="2">
        <v>0.15</v>
      </c>
      <c r="L1102" s="3">
        <v>291.11</v>
      </c>
      <c r="M1102" s="3">
        <v>83.4</v>
      </c>
      <c r="N1102" t="s">
        <v>35</v>
      </c>
      <c r="O1102" s="3"/>
      <c r="P1102" s="3"/>
    </row>
    <row r="1103" spans="1:16" x14ac:dyDescent="0.3">
      <c r="A1103" t="s">
        <v>2400</v>
      </c>
      <c r="B1103" s="9" t="s">
        <v>180</v>
      </c>
      <c r="C1103" s="20" t="str">
        <f t="shared" si="17"/>
        <v>Feb</v>
      </c>
      <c r="D1103" t="s">
        <v>429</v>
      </c>
      <c r="E1103" s="10" t="s">
        <v>1661</v>
      </c>
      <c r="F1103" t="s">
        <v>25</v>
      </c>
      <c r="G1103" t="s">
        <v>26</v>
      </c>
      <c r="H1103" t="s">
        <v>27</v>
      </c>
      <c r="I1103">
        <v>2</v>
      </c>
      <c r="J1103" s="3">
        <v>202.97</v>
      </c>
      <c r="K1103" s="2">
        <v>0.15</v>
      </c>
      <c r="L1103" s="3">
        <v>345.05</v>
      </c>
      <c r="M1103" s="3">
        <v>48.61</v>
      </c>
      <c r="N1103" t="s">
        <v>35</v>
      </c>
      <c r="O1103" s="3"/>
      <c r="P1103" s="3"/>
    </row>
    <row r="1104" spans="1:16" x14ac:dyDescent="0.3">
      <c r="A1104" t="s">
        <v>2401</v>
      </c>
      <c r="B1104" s="9" t="s">
        <v>1011</v>
      </c>
      <c r="C1104" s="20" t="str">
        <f t="shared" si="17"/>
        <v>Jun</v>
      </c>
      <c r="D1104" t="s">
        <v>2402</v>
      </c>
      <c r="E1104" s="10" t="s">
        <v>2403</v>
      </c>
      <c r="F1104" t="s">
        <v>64</v>
      </c>
      <c r="G1104" t="s">
        <v>89</v>
      </c>
      <c r="H1104" t="s">
        <v>131</v>
      </c>
      <c r="I1104">
        <v>2</v>
      </c>
      <c r="J1104" s="3">
        <v>203.47</v>
      </c>
      <c r="K1104" s="2">
        <v>0.15</v>
      </c>
      <c r="L1104" s="3">
        <v>345.9</v>
      </c>
      <c r="M1104" s="3">
        <v>77.040000000000006</v>
      </c>
      <c r="N1104" t="s">
        <v>35</v>
      </c>
      <c r="O1104" s="3"/>
      <c r="P1104" s="3"/>
    </row>
    <row r="1105" spans="1:16" x14ac:dyDescent="0.3">
      <c r="A1105" t="s">
        <v>2404</v>
      </c>
      <c r="B1105" s="9" t="s">
        <v>1883</v>
      </c>
      <c r="C1105" s="20" t="str">
        <f t="shared" si="17"/>
        <v>Jun</v>
      </c>
      <c r="D1105" t="s">
        <v>600</v>
      </c>
      <c r="E1105" s="10" t="s">
        <v>157</v>
      </c>
      <c r="F1105" t="s">
        <v>17</v>
      </c>
      <c r="G1105" t="s">
        <v>18</v>
      </c>
      <c r="H1105" t="s">
        <v>79</v>
      </c>
      <c r="I1105">
        <v>2</v>
      </c>
      <c r="J1105" s="3">
        <v>213.57</v>
      </c>
      <c r="K1105" s="2">
        <v>0.1</v>
      </c>
      <c r="L1105" s="3">
        <v>384.43</v>
      </c>
      <c r="M1105" s="3">
        <v>95.27</v>
      </c>
      <c r="N1105" t="s">
        <v>35</v>
      </c>
      <c r="O1105" s="3"/>
      <c r="P1105" s="3"/>
    </row>
    <row r="1106" spans="1:16" x14ac:dyDescent="0.3">
      <c r="A1106" t="s">
        <v>2405</v>
      </c>
      <c r="B1106" s="9" t="s">
        <v>2124</v>
      </c>
      <c r="C1106" s="20" t="str">
        <f t="shared" si="17"/>
        <v>Oct</v>
      </c>
      <c r="D1106" t="s">
        <v>1567</v>
      </c>
      <c r="E1106" s="10" t="s">
        <v>851</v>
      </c>
      <c r="F1106" t="s">
        <v>64</v>
      </c>
      <c r="G1106" t="s">
        <v>89</v>
      </c>
      <c r="H1106" t="s">
        <v>90</v>
      </c>
      <c r="I1106">
        <v>5</v>
      </c>
      <c r="J1106" s="3">
        <v>237.5</v>
      </c>
      <c r="K1106" s="2">
        <v>0.15</v>
      </c>
      <c r="L1106" s="3">
        <v>1009.38</v>
      </c>
      <c r="M1106" s="3">
        <v>238.84</v>
      </c>
      <c r="N1106" t="s">
        <v>20</v>
      </c>
      <c r="O1106" s="3"/>
      <c r="P1106" s="3"/>
    </row>
    <row r="1107" spans="1:16" x14ac:dyDescent="0.3">
      <c r="A1107" t="s">
        <v>2406</v>
      </c>
      <c r="B1107" s="9" t="s">
        <v>1684</v>
      </c>
      <c r="C1107" s="20" t="str">
        <f t="shared" si="17"/>
        <v>Nov</v>
      </c>
      <c r="D1107" t="s">
        <v>148</v>
      </c>
      <c r="E1107" s="10" t="s">
        <v>1859</v>
      </c>
      <c r="F1107" t="s">
        <v>32</v>
      </c>
      <c r="G1107" t="s">
        <v>89</v>
      </c>
      <c r="H1107" t="s">
        <v>131</v>
      </c>
      <c r="I1107">
        <v>1</v>
      </c>
      <c r="J1107" s="3">
        <v>39.64</v>
      </c>
      <c r="K1107" s="2">
        <v>0</v>
      </c>
      <c r="L1107" s="3">
        <v>39.64</v>
      </c>
      <c r="M1107" s="3">
        <v>7.11</v>
      </c>
      <c r="N1107" t="s">
        <v>35</v>
      </c>
      <c r="O1107" s="3"/>
      <c r="P1107" s="3"/>
    </row>
    <row r="1108" spans="1:16" x14ac:dyDescent="0.3">
      <c r="A1108" t="s">
        <v>2407</v>
      </c>
      <c r="B1108" s="9" t="s">
        <v>290</v>
      </c>
      <c r="C1108" s="20" t="str">
        <f t="shared" si="17"/>
        <v>Jul</v>
      </c>
      <c r="D1108" t="s">
        <v>48</v>
      </c>
      <c r="E1108" s="10" t="s">
        <v>2408</v>
      </c>
      <c r="F1108" t="s">
        <v>64</v>
      </c>
      <c r="G1108" t="s">
        <v>18</v>
      </c>
      <c r="H1108" t="s">
        <v>45</v>
      </c>
      <c r="I1108">
        <v>6</v>
      </c>
      <c r="J1108" s="3">
        <v>183.97</v>
      </c>
      <c r="K1108" s="2">
        <v>0.1</v>
      </c>
      <c r="L1108" s="3">
        <v>993.44</v>
      </c>
      <c r="M1108" s="3">
        <v>101.38</v>
      </c>
      <c r="N1108" t="s">
        <v>35</v>
      </c>
      <c r="O1108" s="3"/>
      <c r="P1108" s="3"/>
    </row>
    <row r="1109" spans="1:16" x14ac:dyDescent="0.3">
      <c r="A1109" t="s">
        <v>2409</v>
      </c>
      <c r="B1109" s="9" t="s">
        <v>120</v>
      </c>
      <c r="C1109" s="20" t="str">
        <f t="shared" si="17"/>
        <v>Aug</v>
      </c>
      <c r="D1109" t="s">
        <v>386</v>
      </c>
      <c r="E1109" s="10" t="s">
        <v>813</v>
      </c>
      <c r="F1109" t="s">
        <v>64</v>
      </c>
      <c r="G1109" t="s">
        <v>33</v>
      </c>
      <c r="H1109" t="s">
        <v>34</v>
      </c>
      <c r="I1109">
        <v>2</v>
      </c>
      <c r="J1109" s="3">
        <v>91.2</v>
      </c>
      <c r="K1109" s="2">
        <v>0</v>
      </c>
      <c r="L1109" s="3">
        <v>182.4</v>
      </c>
      <c r="M1109" s="3">
        <v>21.4</v>
      </c>
      <c r="N1109" t="s">
        <v>35</v>
      </c>
      <c r="O1109" s="3"/>
      <c r="P1109" s="3"/>
    </row>
    <row r="1110" spans="1:16" x14ac:dyDescent="0.3">
      <c r="A1110" t="s">
        <v>2410</v>
      </c>
      <c r="B1110" s="9" t="s">
        <v>1465</v>
      </c>
      <c r="C1110" s="20" t="str">
        <f t="shared" si="17"/>
        <v>Jan</v>
      </c>
      <c r="D1110" t="s">
        <v>717</v>
      </c>
      <c r="E1110" s="10" t="s">
        <v>1320</v>
      </c>
      <c r="F1110" t="s">
        <v>17</v>
      </c>
      <c r="G1110" t="s">
        <v>26</v>
      </c>
      <c r="H1110" t="s">
        <v>27</v>
      </c>
      <c r="I1110">
        <v>6</v>
      </c>
      <c r="J1110" s="3">
        <v>27.41</v>
      </c>
      <c r="K1110" s="2">
        <v>0.05</v>
      </c>
      <c r="L1110" s="3">
        <v>156.24</v>
      </c>
      <c r="M1110" s="3">
        <v>13.25</v>
      </c>
      <c r="N1110" t="s">
        <v>40</v>
      </c>
      <c r="O1110" s="3"/>
      <c r="P1110" s="3"/>
    </row>
    <row r="1111" spans="1:16" x14ac:dyDescent="0.3">
      <c r="A1111" t="s">
        <v>2411</v>
      </c>
      <c r="B1111" s="9" t="s">
        <v>639</v>
      </c>
      <c r="C1111" s="20" t="str">
        <f t="shared" si="17"/>
        <v>Nov</v>
      </c>
      <c r="D1111" t="s">
        <v>276</v>
      </c>
      <c r="E1111" s="10" t="s">
        <v>1934</v>
      </c>
      <c r="F1111" t="s">
        <v>64</v>
      </c>
      <c r="G1111" t="s">
        <v>89</v>
      </c>
      <c r="H1111" t="s">
        <v>131</v>
      </c>
      <c r="I1111">
        <v>6</v>
      </c>
      <c r="J1111" s="3">
        <v>21.02</v>
      </c>
      <c r="K1111" s="2">
        <v>0</v>
      </c>
      <c r="L1111" s="3">
        <v>126.12</v>
      </c>
      <c r="M1111" s="3">
        <v>18.989999999999998</v>
      </c>
      <c r="N1111" t="s">
        <v>35</v>
      </c>
      <c r="O1111" s="3"/>
      <c r="P1111" s="3"/>
    </row>
    <row r="1112" spans="1:16" x14ac:dyDescent="0.3">
      <c r="A1112" t="s">
        <v>2412</v>
      </c>
      <c r="B1112" s="9" t="s">
        <v>731</v>
      </c>
      <c r="C1112" s="20" t="str">
        <f t="shared" si="17"/>
        <v>Oct</v>
      </c>
      <c r="D1112" t="s">
        <v>890</v>
      </c>
      <c r="E1112" s="10" t="s">
        <v>2413</v>
      </c>
      <c r="F1112" t="s">
        <v>25</v>
      </c>
      <c r="G1112" t="s">
        <v>26</v>
      </c>
      <c r="H1112" t="s">
        <v>27</v>
      </c>
      <c r="I1112">
        <v>7</v>
      </c>
      <c r="J1112" s="3">
        <v>196.08</v>
      </c>
      <c r="K1112" s="2">
        <v>0.15</v>
      </c>
      <c r="L1112" s="3">
        <v>1166.68</v>
      </c>
      <c r="M1112" s="3">
        <v>243.11</v>
      </c>
      <c r="N1112" t="s">
        <v>20</v>
      </c>
      <c r="O1112" s="3"/>
      <c r="P1112" s="3"/>
    </row>
    <row r="1113" spans="1:16" x14ac:dyDescent="0.3">
      <c r="A1113" t="s">
        <v>2414</v>
      </c>
      <c r="B1113" s="9" t="s">
        <v>596</v>
      </c>
      <c r="C1113" s="20" t="str">
        <f t="shared" si="17"/>
        <v>Sep</v>
      </c>
      <c r="D1113" t="s">
        <v>725</v>
      </c>
      <c r="E1113" s="10" t="s">
        <v>2068</v>
      </c>
      <c r="F1113" t="s">
        <v>17</v>
      </c>
      <c r="G1113" t="s">
        <v>18</v>
      </c>
      <c r="H1113" t="s">
        <v>19</v>
      </c>
      <c r="I1113">
        <v>6</v>
      </c>
      <c r="J1113" s="3">
        <v>174.62</v>
      </c>
      <c r="K1113" s="2">
        <v>0.05</v>
      </c>
      <c r="L1113" s="3">
        <v>995.33</v>
      </c>
      <c r="M1113" s="3">
        <v>167.83</v>
      </c>
      <c r="N1113" t="s">
        <v>40</v>
      </c>
      <c r="O1113" s="3"/>
      <c r="P1113" s="3"/>
    </row>
    <row r="1114" spans="1:16" x14ac:dyDescent="0.3">
      <c r="A1114" t="s">
        <v>2415</v>
      </c>
      <c r="B1114" s="9" t="s">
        <v>104</v>
      </c>
      <c r="C1114" s="20" t="str">
        <f t="shared" si="17"/>
        <v>May</v>
      </c>
      <c r="D1114" t="s">
        <v>2416</v>
      </c>
      <c r="E1114" s="10" t="s">
        <v>141</v>
      </c>
      <c r="F1114" t="s">
        <v>64</v>
      </c>
      <c r="G1114" t="s">
        <v>33</v>
      </c>
      <c r="H1114" t="s">
        <v>69</v>
      </c>
      <c r="I1114">
        <v>3</v>
      </c>
      <c r="J1114" s="3">
        <v>192.09</v>
      </c>
      <c r="K1114" s="2">
        <v>0.05</v>
      </c>
      <c r="L1114" s="3">
        <v>547.46</v>
      </c>
      <c r="M1114" s="3">
        <v>100.82</v>
      </c>
      <c r="N1114" t="s">
        <v>20</v>
      </c>
      <c r="O1114" s="3"/>
      <c r="P1114" s="3"/>
    </row>
    <row r="1115" spans="1:16" x14ac:dyDescent="0.3">
      <c r="A1115" t="s">
        <v>2417</v>
      </c>
      <c r="B1115" s="9" t="s">
        <v>450</v>
      </c>
      <c r="C1115" s="20" t="str">
        <f t="shared" si="17"/>
        <v>Sep</v>
      </c>
      <c r="D1115" t="s">
        <v>226</v>
      </c>
      <c r="E1115" s="10" t="s">
        <v>2418</v>
      </c>
      <c r="F1115" t="s">
        <v>32</v>
      </c>
      <c r="G1115" t="s">
        <v>18</v>
      </c>
      <c r="H1115" t="s">
        <v>19</v>
      </c>
      <c r="I1115">
        <v>6</v>
      </c>
      <c r="J1115" s="3">
        <v>20.65</v>
      </c>
      <c r="K1115" s="2">
        <v>0.05</v>
      </c>
      <c r="L1115" s="3">
        <v>117.7</v>
      </c>
      <c r="M1115" s="3">
        <v>31.68</v>
      </c>
      <c r="N1115" t="s">
        <v>40</v>
      </c>
      <c r="O1115" s="3"/>
      <c r="P1115" s="3"/>
    </row>
    <row r="1116" spans="1:16" x14ac:dyDescent="0.3">
      <c r="A1116" t="s">
        <v>2419</v>
      </c>
      <c r="B1116" s="9" t="s">
        <v>317</v>
      </c>
      <c r="C1116" s="20" t="str">
        <f t="shared" si="17"/>
        <v>May</v>
      </c>
      <c r="D1116" t="s">
        <v>1178</v>
      </c>
      <c r="E1116" s="10" t="s">
        <v>1027</v>
      </c>
      <c r="F1116" t="s">
        <v>59</v>
      </c>
      <c r="G1116" t="s">
        <v>33</v>
      </c>
      <c r="H1116" t="s">
        <v>50</v>
      </c>
      <c r="I1116">
        <v>3</v>
      </c>
      <c r="J1116" s="3">
        <v>219.67</v>
      </c>
      <c r="K1116" s="2">
        <v>0.15</v>
      </c>
      <c r="L1116" s="3">
        <v>560.16</v>
      </c>
      <c r="M1116" s="3">
        <v>153.93</v>
      </c>
      <c r="N1116" t="s">
        <v>40</v>
      </c>
      <c r="O1116" s="3"/>
      <c r="P1116" s="3"/>
    </row>
    <row r="1117" spans="1:16" x14ac:dyDescent="0.3">
      <c r="A1117" t="s">
        <v>2420</v>
      </c>
      <c r="B1117" s="9" t="s">
        <v>1578</v>
      </c>
      <c r="C1117" s="20" t="str">
        <f t="shared" si="17"/>
        <v>Mar</v>
      </c>
      <c r="D1117" t="s">
        <v>1411</v>
      </c>
      <c r="E1117" s="10" t="s">
        <v>410</v>
      </c>
      <c r="F1117" t="s">
        <v>32</v>
      </c>
      <c r="G1117" t="s">
        <v>26</v>
      </c>
      <c r="H1117" t="s">
        <v>27</v>
      </c>
      <c r="I1117">
        <v>8</v>
      </c>
      <c r="J1117" s="3">
        <v>159.91</v>
      </c>
      <c r="K1117" s="2">
        <v>0</v>
      </c>
      <c r="L1117" s="3">
        <v>1279.28</v>
      </c>
      <c r="M1117" s="3">
        <v>306.36</v>
      </c>
      <c r="N1117" t="s">
        <v>20</v>
      </c>
      <c r="O1117" s="3"/>
      <c r="P1117" s="3"/>
    </row>
    <row r="1118" spans="1:16" x14ac:dyDescent="0.3">
      <c r="A1118" t="s">
        <v>2421</v>
      </c>
      <c r="B1118" s="9" t="s">
        <v>743</v>
      </c>
      <c r="C1118" s="20" t="str">
        <f t="shared" si="17"/>
        <v>Oct</v>
      </c>
      <c r="D1118" t="s">
        <v>1978</v>
      </c>
      <c r="E1118" s="10" t="s">
        <v>1575</v>
      </c>
      <c r="F1118" t="s">
        <v>59</v>
      </c>
      <c r="G1118" t="s">
        <v>26</v>
      </c>
      <c r="H1118" t="s">
        <v>84</v>
      </c>
      <c r="I1118">
        <v>4</v>
      </c>
      <c r="J1118" s="3">
        <v>77.849999999999994</v>
      </c>
      <c r="K1118" s="2">
        <v>0.05</v>
      </c>
      <c r="L1118" s="3">
        <v>295.83</v>
      </c>
      <c r="M1118" s="3">
        <v>84.63</v>
      </c>
      <c r="N1118" t="s">
        <v>35</v>
      </c>
      <c r="O1118" s="3"/>
      <c r="P1118" s="3"/>
    </row>
    <row r="1119" spans="1:16" x14ac:dyDescent="0.3">
      <c r="A1119" t="s">
        <v>2422</v>
      </c>
      <c r="B1119" s="9" t="s">
        <v>554</v>
      </c>
      <c r="C1119" s="20" t="str">
        <f t="shared" si="17"/>
        <v>Sep</v>
      </c>
      <c r="D1119" t="s">
        <v>1679</v>
      </c>
      <c r="E1119" s="10" t="s">
        <v>1560</v>
      </c>
      <c r="F1119" t="s">
        <v>25</v>
      </c>
      <c r="G1119" t="s">
        <v>89</v>
      </c>
      <c r="H1119" t="s">
        <v>90</v>
      </c>
      <c r="I1119">
        <v>3</v>
      </c>
      <c r="J1119" s="3">
        <v>219.08</v>
      </c>
      <c r="K1119" s="2">
        <v>0</v>
      </c>
      <c r="L1119" s="3">
        <v>657.24</v>
      </c>
      <c r="M1119" s="3">
        <v>131.86000000000001</v>
      </c>
      <c r="N1119" t="s">
        <v>35</v>
      </c>
      <c r="O1119" s="3"/>
      <c r="P1119" s="3"/>
    </row>
    <row r="1120" spans="1:16" x14ac:dyDescent="0.3">
      <c r="A1120" t="s">
        <v>2423</v>
      </c>
      <c r="B1120" s="9" t="s">
        <v>1013</v>
      </c>
      <c r="C1120" s="20" t="str">
        <f t="shared" si="17"/>
        <v>Dec</v>
      </c>
      <c r="D1120" t="s">
        <v>1404</v>
      </c>
      <c r="E1120" s="10" t="s">
        <v>648</v>
      </c>
      <c r="F1120" t="s">
        <v>17</v>
      </c>
      <c r="G1120" t="s">
        <v>33</v>
      </c>
      <c r="H1120" t="s">
        <v>34</v>
      </c>
      <c r="I1120">
        <v>3</v>
      </c>
      <c r="J1120" s="3">
        <v>221.6</v>
      </c>
      <c r="K1120" s="2">
        <v>0.05</v>
      </c>
      <c r="L1120" s="3">
        <v>631.55999999999995</v>
      </c>
      <c r="M1120" s="3">
        <v>163.44999999999999</v>
      </c>
      <c r="N1120" t="s">
        <v>20</v>
      </c>
      <c r="O1120" s="3"/>
      <c r="P1120" s="3"/>
    </row>
    <row r="1121" spans="1:16" x14ac:dyDescent="0.3">
      <c r="A1121" t="s">
        <v>2424</v>
      </c>
      <c r="B1121" s="9" t="s">
        <v>2425</v>
      </c>
      <c r="C1121" s="20" t="str">
        <f t="shared" si="17"/>
        <v>Nov</v>
      </c>
      <c r="D1121" t="s">
        <v>1239</v>
      </c>
      <c r="E1121" s="10" t="s">
        <v>2032</v>
      </c>
      <c r="F1121" t="s">
        <v>25</v>
      </c>
      <c r="G1121" t="s">
        <v>18</v>
      </c>
      <c r="H1121" t="s">
        <v>79</v>
      </c>
      <c r="I1121">
        <v>4</v>
      </c>
      <c r="J1121" s="3">
        <v>148.25</v>
      </c>
      <c r="K1121" s="2">
        <v>0</v>
      </c>
      <c r="L1121" s="3">
        <v>593</v>
      </c>
      <c r="M1121" s="3">
        <v>131.49</v>
      </c>
      <c r="N1121" t="s">
        <v>40</v>
      </c>
      <c r="O1121" s="3"/>
      <c r="P1121" s="3"/>
    </row>
    <row r="1122" spans="1:16" x14ac:dyDescent="0.3">
      <c r="A1122" t="s">
        <v>2426</v>
      </c>
      <c r="B1122" s="9" t="s">
        <v>540</v>
      </c>
      <c r="C1122" s="20" t="str">
        <f t="shared" si="17"/>
        <v>Apr</v>
      </c>
      <c r="D1122" t="s">
        <v>876</v>
      </c>
      <c r="E1122" s="10" t="s">
        <v>1320</v>
      </c>
      <c r="F1122" t="s">
        <v>25</v>
      </c>
      <c r="G1122" t="s">
        <v>33</v>
      </c>
      <c r="H1122" t="s">
        <v>69</v>
      </c>
      <c r="I1122">
        <v>4</v>
      </c>
      <c r="J1122" s="3">
        <v>145.16</v>
      </c>
      <c r="K1122" s="2">
        <v>0</v>
      </c>
      <c r="L1122" s="3">
        <v>580.64</v>
      </c>
      <c r="M1122" s="3">
        <v>168.05</v>
      </c>
      <c r="N1122" t="s">
        <v>35</v>
      </c>
      <c r="O1122" s="3"/>
      <c r="P1122" s="3"/>
    </row>
    <row r="1123" spans="1:16" x14ac:dyDescent="0.3">
      <c r="A1123" t="s">
        <v>2427</v>
      </c>
      <c r="B1123" s="9" t="s">
        <v>793</v>
      </c>
      <c r="C1123" s="20" t="str">
        <f t="shared" si="17"/>
        <v>Apr</v>
      </c>
      <c r="D1123" t="s">
        <v>717</v>
      </c>
      <c r="E1123" s="10" t="s">
        <v>491</v>
      </c>
      <c r="F1123" t="s">
        <v>64</v>
      </c>
      <c r="G1123" t="s">
        <v>26</v>
      </c>
      <c r="H1123" t="s">
        <v>118</v>
      </c>
      <c r="I1123">
        <v>3</v>
      </c>
      <c r="J1123" s="3">
        <v>91.88</v>
      </c>
      <c r="K1123" s="2">
        <v>0.05</v>
      </c>
      <c r="L1123" s="3">
        <v>261.86</v>
      </c>
      <c r="M1123" s="3">
        <v>33.22</v>
      </c>
      <c r="N1123" t="s">
        <v>40</v>
      </c>
      <c r="O1123" s="3"/>
      <c r="P1123" s="3"/>
    </row>
    <row r="1124" spans="1:16" x14ac:dyDescent="0.3">
      <c r="A1124" t="s">
        <v>2428</v>
      </c>
      <c r="B1124" s="9" t="s">
        <v>1055</v>
      </c>
      <c r="C1124" s="20" t="str">
        <f t="shared" si="17"/>
        <v>Aug</v>
      </c>
      <c r="D1124" t="s">
        <v>57</v>
      </c>
      <c r="E1124" s="10" t="s">
        <v>360</v>
      </c>
      <c r="F1124" t="s">
        <v>25</v>
      </c>
      <c r="G1124" t="s">
        <v>33</v>
      </c>
      <c r="H1124" t="s">
        <v>69</v>
      </c>
      <c r="I1124">
        <v>7</v>
      </c>
      <c r="J1124" s="3">
        <v>240.18</v>
      </c>
      <c r="K1124" s="2">
        <v>0.1</v>
      </c>
      <c r="L1124" s="3">
        <v>1513.13</v>
      </c>
      <c r="M1124" s="3">
        <v>417.77</v>
      </c>
      <c r="N1124" t="s">
        <v>35</v>
      </c>
      <c r="O1124" s="3"/>
      <c r="P1124" s="3"/>
    </row>
    <row r="1125" spans="1:16" x14ac:dyDescent="0.3">
      <c r="A1125" t="s">
        <v>2429</v>
      </c>
      <c r="B1125" s="9" t="s">
        <v>111</v>
      </c>
      <c r="C1125" s="20" t="str">
        <f t="shared" si="17"/>
        <v>Apr</v>
      </c>
      <c r="D1125" t="s">
        <v>318</v>
      </c>
      <c r="E1125" s="10" t="s">
        <v>1475</v>
      </c>
      <c r="F1125" t="s">
        <v>25</v>
      </c>
      <c r="G1125" t="s">
        <v>26</v>
      </c>
      <c r="H1125" t="s">
        <v>84</v>
      </c>
      <c r="I1125">
        <v>3</v>
      </c>
      <c r="J1125" s="3">
        <v>137.19999999999999</v>
      </c>
      <c r="K1125" s="2">
        <v>0.05</v>
      </c>
      <c r="L1125" s="3">
        <v>391.02</v>
      </c>
      <c r="M1125" s="3">
        <v>59.93</v>
      </c>
      <c r="N1125" t="s">
        <v>35</v>
      </c>
      <c r="O1125" s="3"/>
      <c r="P1125" s="3"/>
    </row>
    <row r="1126" spans="1:16" x14ac:dyDescent="0.3">
      <c r="A1126" t="s">
        <v>2430</v>
      </c>
      <c r="B1126" s="9" t="s">
        <v>133</v>
      </c>
      <c r="C1126" s="20" t="str">
        <f t="shared" si="17"/>
        <v>Apr</v>
      </c>
      <c r="D1126" t="s">
        <v>1411</v>
      </c>
      <c r="E1126" s="10" t="s">
        <v>231</v>
      </c>
      <c r="F1126" t="s">
        <v>64</v>
      </c>
      <c r="G1126" t="s">
        <v>89</v>
      </c>
      <c r="H1126" t="s">
        <v>150</v>
      </c>
      <c r="I1126">
        <v>6</v>
      </c>
      <c r="J1126" s="3">
        <v>236.4</v>
      </c>
      <c r="K1126" s="2">
        <v>0.15</v>
      </c>
      <c r="L1126" s="3">
        <v>1205.6400000000001</v>
      </c>
      <c r="M1126" s="3">
        <v>299.10000000000002</v>
      </c>
      <c r="N1126" t="s">
        <v>35</v>
      </c>
      <c r="O1126" s="3"/>
      <c r="P1126" s="3"/>
    </row>
    <row r="1127" spans="1:16" x14ac:dyDescent="0.3">
      <c r="A1127" t="s">
        <v>2431</v>
      </c>
      <c r="B1127" s="9" t="s">
        <v>1207</v>
      </c>
      <c r="C1127" s="20" t="str">
        <f t="shared" si="17"/>
        <v>Apr</v>
      </c>
      <c r="D1127" t="s">
        <v>1802</v>
      </c>
      <c r="E1127" s="10" t="s">
        <v>1224</v>
      </c>
      <c r="F1127" t="s">
        <v>32</v>
      </c>
      <c r="G1127" t="s">
        <v>18</v>
      </c>
      <c r="H1127" t="s">
        <v>45</v>
      </c>
      <c r="I1127">
        <v>3</v>
      </c>
      <c r="J1127" s="3">
        <v>85.87</v>
      </c>
      <c r="K1127" s="2">
        <v>0</v>
      </c>
      <c r="L1127" s="3">
        <v>257.61</v>
      </c>
      <c r="M1127" s="3">
        <v>46.1</v>
      </c>
      <c r="N1127" t="s">
        <v>40</v>
      </c>
      <c r="O1127" s="3"/>
      <c r="P1127" s="3"/>
    </row>
    <row r="1128" spans="1:16" x14ac:dyDescent="0.3">
      <c r="A1128" t="s">
        <v>2432</v>
      </c>
      <c r="B1128" s="9" t="s">
        <v>2043</v>
      </c>
      <c r="C1128" s="20" t="str">
        <f t="shared" si="17"/>
        <v>Jan</v>
      </c>
      <c r="D1128" t="s">
        <v>926</v>
      </c>
      <c r="E1128" s="10" t="s">
        <v>1959</v>
      </c>
      <c r="F1128" t="s">
        <v>59</v>
      </c>
      <c r="G1128" t="s">
        <v>89</v>
      </c>
      <c r="H1128" t="s">
        <v>131</v>
      </c>
      <c r="I1128">
        <v>5</v>
      </c>
      <c r="J1128" s="3">
        <v>71</v>
      </c>
      <c r="K1128" s="2">
        <v>0</v>
      </c>
      <c r="L1128" s="3">
        <v>355</v>
      </c>
      <c r="M1128" s="3">
        <v>105.92</v>
      </c>
      <c r="N1128" t="s">
        <v>20</v>
      </c>
      <c r="O1128" s="3"/>
      <c r="P1128" s="3"/>
    </row>
    <row r="1129" spans="1:16" x14ac:dyDescent="0.3">
      <c r="A1129" t="s">
        <v>2433</v>
      </c>
      <c r="B1129" s="9" t="s">
        <v>242</v>
      </c>
      <c r="C1129" s="20" t="str">
        <f t="shared" si="17"/>
        <v>Jun</v>
      </c>
      <c r="D1129" t="s">
        <v>783</v>
      </c>
      <c r="E1129" s="10" t="s">
        <v>1865</v>
      </c>
      <c r="F1129" t="s">
        <v>59</v>
      </c>
      <c r="G1129" t="s">
        <v>33</v>
      </c>
      <c r="H1129" t="s">
        <v>69</v>
      </c>
      <c r="I1129">
        <v>7</v>
      </c>
      <c r="J1129" s="3">
        <v>66.84</v>
      </c>
      <c r="K1129" s="2">
        <v>0.1</v>
      </c>
      <c r="L1129" s="3">
        <v>421.09</v>
      </c>
      <c r="M1129" s="3">
        <v>60.07</v>
      </c>
      <c r="N1129" t="s">
        <v>35</v>
      </c>
      <c r="O1129" s="3"/>
      <c r="P1129" s="3"/>
    </row>
    <row r="1130" spans="1:16" x14ac:dyDescent="0.3">
      <c r="A1130" t="s">
        <v>2434</v>
      </c>
      <c r="B1130" s="9" t="s">
        <v>2435</v>
      </c>
      <c r="C1130" s="20" t="str">
        <f t="shared" si="17"/>
        <v>Nov</v>
      </c>
      <c r="D1130" t="s">
        <v>1257</v>
      </c>
      <c r="E1130" s="10" t="s">
        <v>628</v>
      </c>
      <c r="F1130" t="s">
        <v>64</v>
      </c>
      <c r="G1130" t="s">
        <v>18</v>
      </c>
      <c r="H1130" t="s">
        <v>79</v>
      </c>
      <c r="I1130">
        <v>2</v>
      </c>
      <c r="J1130" s="3">
        <v>195.83</v>
      </c>
      <c r="K1130" s="2">
        <v>0.15</v>
      </c>
      <c r="L1130" s="3">
        <v>332.91</v>
      </c>
      <c r="M1130" s="3">
        <v>52.57</v>
      </c>
      <c r="N1130" t="s">
        <v>35</v>
      </c>
      <c r="O1130" s="3"/>
      <c r="P1130" s="3"/>
    </row>
    <row r="1131" spans="1:16" x14ac:dyDescent="0.3">
      <c r="A1131" t="s">
        <v>2436</v>
      </c>
      <c r="B1131" s="9" t="s">
        <v>143</v>
      </c>
      <c r="C1131" s="20" t="str">
        <f t="shared" si="17"/>
        <v>Jan</v>
      </c>
      <c r="D1131" t="s">
        <v>991</v>
      </c>
      <c r="E1131" s="10" t="s">
        <v>2437</v>
      </c>
      <c r="F1131" t="s">
        <v>25</v>
      </c>
      <c r="G1131" t="s">
        <v>89</v>
      </c>
      <c r="H1131" t="s">
        <v>150</v>
      </c>
      <c r="I1131">
        <v>1</v>
      </c>
      <c r="J1131" s="3">
        <v>77.17</v>
      </c>
      <c r="K1131" s="2">
        <v>0.15</v>
      </c>
      <c r="L1131" s="3">
        <v>65.59</v>
      </c>
      <c r="M1131" s="3">
        <v>19.32</v>
      </c>
      <c r="N1131" t="s">
        <v>35</v>
      </c>
      <c r="O1131" s="3"/>
      <c r="P1131" s="3"/>
    </row>
    <row r="1132" spans="1:16" x14ac:dyDescent="0.3">
      <c r="A1132" t="s">
        <v>2438</v>
      </c>
      <c r="B1132" s="9" t="s">
        <v>184</v>
      </c>
      <c r="C1132" s="20" t="str">
        <f t="shared" si="17"/>
        <v>Aug</v>
      </c>
      <c r="D1132" t="s">
        <v>1346</v>
      </c>
      <c r="E1132" s="10" t="s">
        <v>556</v>
      </c>
      <c r="F1132" t="s">
        <v>59</v>
      </c>
      <c r="G1132" t="s">
        <v>89</v>
      </c>
      <c r="H1132" t="s">
        <v>90</v>
      </c>
      <c r="I1132">
        <v>8</v>
      </c>
      <c r="J1132" s="3">
        <v>226.22</v>
      </c>
      <c r="K1132" s="2">
        <v>0.15</v>
      </c>
      <c r="L1132" s="3">
        <v>1538.3</v>
      </c>
      <c r="M1132" s="3">
        <v>157</v>
      </c>
      <c r="N1132" t="s">
        <v>40</v>
      </c>
      <c r="O1132" s="3"/>
      <c r="P1132" s="3"/>
    </row>
    <row r="1133" spans="1:16" x14ac:dyDescent="0.3">
      <c r="A1133" t="s">
        <v>2439</v>
      </c>
      <c r="B1133" s="9" t="s">
        <v>760</v>
      </c>
      <c r="C1133" s="20" t="str">
        <f t="shared" si="17"/>
        <v>Dec</v>
      </c>
      <c r="D1133" t="s">
        <v>2440</v>
      </c>
      <c r="E1133" s="10" t="s">
        <v>31</v>
      </c>
      <c r="F1133" t="s">
        <v>25</v>
      </c>
      <c r="G1133" t="s">
        <v>33</v>
      </c>
      <c r="H1133" t="s">
        <v>50</v>
      </c>
      <c r="I1133">
        <v>2</v>
      </c>
      <c r="J1133" s="3">
        <v>136.44999999999999</v>
      </c>
      <c r="K1133" s="2">
        <v>0.15</v>
      </c>
      <c r="L1133" s="3">
        <v>231.96</v>
      </c>
      <c r="M1133" s="3">
        <v>51.53</v>
      </c>
      <c r="N1133" t="s">
        <v>20</v>
      </c>
      <c r="O1133" s="3"/>
      <c r="P1133" s="3"/>
    </row>
    <row r="1134" spans="1:16" x14ac:dyDescent="0.3">
      <c r="A1134" t="s">
        <v>2441</v>
      </c>
      <c r="B1134" s="9" t="s">
        <v>1573</v>
      </c>
      <c r="C1134" s="20" t="str">
        <f t="shared" si="17"/>
        <v>Mar</v>
      </c>
      <c r="D1134" t="s">
        <v>1389</v>
      </c>
      <c r="E1134" s="10" t="s">
        <v>1463</v>
      </c>
      <c r="F1134" t="s">
        <v>17</v>
      </c>
      <c r="G1134" t="s">
        <v>89</v>
      </c>
      <c r="H1134" t="s">
        <v>150</v>
      </c>
      <c r="I1134">
        <v>7</v>
      </c>
      <c r="J1134" s="3">
        <v>174.92</v>
      </c>
      <c r="K1134" s="2">
        <v>0</v>
      </c>
      <c r="L1134" s="3">
        <v>1224.44</v>
      </c>
      <c r="M1134" s="3">
        <v>295.16000000000003</v>
      </c>
      <c r="N1134" t="s">
        <v>20</v>
      </c>
      <c r="O1134" s="3"/>
      <c r="P1134" s="3"/>
    </row>
    <row r="1135" spans="1:16" x14ac:dyDescent="0.3">
      <c r="A1135" t="s">
        <v>2442</v>
      </c>
      <c r="B1135" s="9" t="s">
        <v>217</v>
      </c>
      <c r="C1135" s="20" t="str">
        <f t="shared" si="17"/>
        <v>Dec</v>
      </c>
      <c r="D1135" t="s">
        <v>950</v>
      </c>
      <c r="E1135" s="10" t="s">
        <v>1655</v>
      </c>
      <c r="F1135" t="s">
        <v>25</v>
      </c>
      <c r="G1135" t="s">
        <v>89</v>
      </c>
      <c r="H1135" t="s">
        <v>150</v>
      </c>
      <c r="I1135">
        <v>3</v>
      </c>
      <c r="J1135" s="3">
        <v>228.68</v>
      </c>
      <c r="K1135" s="2">
        <v>0.15</v>
      </c>
      <c r="L1135" s="3">
        <v>583.13</v>
      </c>
      <c r="M1135" s="3">
        <v>58.1</v>
      </c>
      <c r="N1135" t="s">
        <v>35</v>
      </c>
      <c r="O1135" s="3"/>
      <c r="P1135" s="3"/>
    </row>
    <row r="1136" spans="1:16" x14ac:dyDescent="0.3">
      <c r="A1136" t="s">
        <v>2443</v>
      </c>
      <c r="B1136" s="9" t="s">
        <v>705</v>
      </c>
      <c r="C1136" s="20" t="str">
        <f t="shared" si="17"/>
        <v>Mar</v>
      </c>
      <c r="D1136" t="s">
        <v>397</v>
      </c>
      <c r="E1136" s="10" t="s">
        <v>2010</v>
      </c>
      <c r="F1136" t="s">
        <v>64</v>
      </c>
      <c r="G1136" t="s">
        <v>26</v>
      </c>
      <c r="H1136" t="s">
        <v>84</v>
      </c>
      <c r="I1136">
        <v>4</v>
      </c>
      <c r="J1136" s="3">
        <v>212.33</v>
      </c>
      <c r="K1136" s="2">
        <v>0.05</v>
      </c>
      <c r="L1136" s="3">
        <v>806.85</v>
      </c>
      <c r="M1136" s="3">
        <v>167</v>
      </c>
      <c r="N1136" t="s">
        <v>40</v>
      </c>
      <c r="O1136" s="3"/>
      <c r="P1136" s="3"/>
    </row>
    <row r="1137" spans="1:16" x14ac:dyDescent="0.3">
      <c r="A1137" t="s">
        <v>2444</v>
      </c>
      <c r="B1137" s="9" t="s">
        <v>464</v>
      </c>
      <c r="C1137" s="20" t="str">
        <f t="shared" si="17"/>
        <v>Mar</v>
      </c>
      <c r="D1137" t="s">
        <v>2445</v>
      </c>
      <c r="E1137" s="10" t="s">
        <v>2381</v>
      </c>
      <c r="F1137" t="s">
        <v>59</v>
      </c>
      <c r="G1137" t="s">
        <v>33</v>
      </c>
      <c r="H1137" t="s">
        <v>74</v>
      </c>
      <c r="I1137">
        <v>7</v>
      </c>
      <c r="J1137" s="3">
        <v>203.62</v>
      </c>
      <c r="K1137" s="2">
        <v>0.15</v>
      </c>
      <c r="L1137" s="3">
        <v>1211.54</v>
      </c>
      <c r="M1137" s="3">
        <v>346.87</v>
      </c>
      <c r="N1137" t="s">
        <v>35</v>
      </c>
      <c r="O1137" s="3"/>
      <c r="P1137" s="3"/>
    </row>
    <row r="1138" spans="1:16" x14ac:dyDescent="0.3">
      <c r="A1138" t="s">
        <v>2446</v>
      </c>
      <c r="B1138" s="9" t="s">
        <v>2043</v>
      </c>
      <c r="C1138" s="20" t="str">
        <f t="shared" si="17"/>
        <v>Jan</v>
      </c>
      <c r="D1138" t="s">
        <v>299</v>
      </c>
      <c r="E1138" s="10" t="s">
        <v>44</v>
      </c>
      <c r="F1138" t="s">
        <v>17</v>
      </c>
      <c r="G1138" t="s">
        <v>18</v>
      </c>
      <c r="H1138" t="s">
        <v>19</v>
      </c>
      <c r="I1138">
        <v>8</v>
      </c>
      <c r="J1138" s="3">
        <v>66.709999999999994</v>
      </c>
      <c r="K1138" s="2">
        <v>0.15</v>
      </c>
      <c r="L1138" s="3">
        <v>453.63</v>
      </c>
      <c r="M1138" s="3">
        <v>79.61</v>
      </c>
      <c r="N1138" t="s">
        <v>35</v>
      </c>
      <c r="O1138" s="3"/>
      <c r="P1138" s="3"/>
    </row>
    <row r="1139" spans="1:16" x14ac:dyDescent="0.3">
      <c r="A1139" t="s">
        <v>2447</v>
      </c>
      <c r="B1139" s="9" t="s">
        <v>1620</v>
      </c>
      <c r="C1139" s="20" t="str">
        <f t="shared" si="17"/>
        <v>Oct</v>
      </c>
      <c r="D1139" t="s">
        <v>67</v>
      </c>
      <c r="E1139" s="10" t="s">
        <v>2372</v>
      </c>
      <c r="F1139" t="s">
        <v>59</v>
      </c>
      <c r="G1139" t="s">
        <v>33</v>
      </c>
      <c r="H1139" t="s">
        <v>34</v>
      </c>
      <c r="I1139">
        <v>2</v>
      </c>
      <c r="J1139" s="3">
        <v>39.5</v>
      </c>
      <c r="K1139" s="2">
        <v>0</v>
      </c>
      <c r="L1139" s="3">
        <v>79</v>
      </c>
      <c r="M1139" s="3">
        <v>13.1</v>
      </c>
      <c r="N1139" t="s">
        <v>40</v>
      </c>
      <c r="O1139" s="3"/>
      <c r="P1139" s="3"/>
    </row>
    <row r="1140" spans="1:16" x14ac:dyDescent="0.3">
      <c r="A1140" t="s">
        <v>2448</v>
      </c>
      <c r="B1140" s="9" t="s">
        <v>1465</v>
      </c>
      <c r="C1140" s="20" t="str">
        <f t="shared" si="17"/>
        <v>Jan</v>
      </c>
      <c r="D1140" t="s">
        <v>1132</v>
      </c>
      <c r="E1140" s="10" t="s">
        <v>1481</v>
      </c>
      <c r="F1140" t="s">
        <v>64</v>
      </c>
      <c r="G1140" t="s">
        <v>89</v>
      </c>
      <c r="H1140" t="s">
        <v>131</v>
      </c>
      <c r="I1140">
        <v>5</v>
      </c>
      <c r="J1140" s="3">
        <v>90.08</v>
      </c>
      <c r="K1140" s="2">
        <v>0</v>
      </c>
      <c r="L1140" s="3">
        <v>450.4</v>
      </c>
      <c r="M1140" s="3">
        <v>74.53</v>
      </c>
      <c r="N1140" t="s">
        <v>35</v>
      </c>
      <c r="O1140" s="3"/>
      <c r="P1140" s="3"/>
    </row>
    <row r="1141" spans="1:16" x14ac:dyDescent="0.3">
      <c r="A1141" t="s">
        <v>2449</v>
      </c>
      <c r="B1141" s="9" t="s">
        <v>943</v>
      </c>
      <c r="C1141" s="20" t="str">
        <f t="shared" si="17"/>
        <v>Feb</v>
      </c>
      <c r="D1141" t="s">
        <v>1968</v>
      </c>
      <c r="E1141" s="10" t="s">
        <v>376</v>
      </c>
      <c r="F1141" t="s">
        <v>59</v>
      </c>
      <c r="G1141" t="s">
        <v>26</v>
      </c>
      <c r="H1141" t="s">
        <v>84</v>
      </c>
      <c r="I1141">
        <v>5</v>
      </c>
      <c r="J1141" s="3">
        <v>188.09</v>
      </c>
      <c r="K1141" s="2">
        <v>0</v>
      </c>
      <c r="L1141" s="3">
        <v>940.45</v>
      </c>
      <c r="M1141" s="3">
        <v>268.88</v>
      </c>
      <c r="N1141" t="s">
        <v>40</v>
      </c>
      <c r="O1141" s="3"/>
      <c r="P1141" s="3"/>
    </row>
    <row r="1142" spans="1:16" x14ac:dyDescent="0.3">
      <c r="A1142" t="s">
        <v>2450</v>
      </c>
      <c r="B1142" s="9" t="s">
        <v>359</v>
      </c>
      <c r="C1142" s="20" t="str">
        <f t="shared" si="17"/>
        <v>Aug</v>
      </c>
      <c r="D1142" t="s">
        <v>1679</v>
      </c>
      <c r="E1142" s="10" t="s">
        <v>1475</v>
      </c>
      <c r="F1142" t="s">
        <v>25</v>
      </c>
      <c r="G1142" t="s">
        <v>26</v>
      </c>
      <c r="H1142" t="s">
        <v>118</v>
      </c>
      <c r="I1142">
        <v>1</v>
      </c>
      <c r="J1142" s="3">
        <v>109.66</v>
      </c>
      <c r="K1142" s="2">
        <v>0</v>
      </c>
      <c r="L1142" s="3">
        <v>109.66</v>
      </c>
      <c r="M1142" s="3">
        <v>32.14</v>
      </c>
      <c r="N1142" t="s">
        <v>35</v>
      </c>
      <c r="O1142" s="3"/>
      <c r="P1142" s="3"/>
    </row>
    <row r="1143" spans="1:16" x14ac:dyDescent="0.3">
      <c r="A1143" t="s">
        <v>2451</v>
      </c>
      <c r="B1143" s="9" t="s">
        <v>81</v>
      </c>
      <c r="C1143" s="20" t="str">
        <f t="shared" si="17"/>
        <v>Feb</v>
      </c>
      <c r="D1143" t="s">
        <v>2183</v>
      </c>
      <c r="E1143" s="10" t="s">
        <v>628</v>
      </c>
      <c r="F1143" t="s">
        <v>17</v>
      </c>
      <c r="G1143" t="s">
        <v>89</v>
      </c>
      <c r="H1143" t="s">
        <v>150</v>
      </c>
      <c r="I1143">
        <v>6</v>
      </c>
      <c r="J1143" s="3">
        <v>22.39</v>
      </c>
      <c r="K1143" s="2">
        <v>0.05</v>
      </c>
      <c r="L1143" s="3">
        <v>127.62</v>
      </c>
      <c r="M1143" s="3">
        <v>35.880000000000003</v>
      </c>
      <c r="N1143" t="s">
        <v>20</v>
      </c>
      <c r="O1143" s="3"/>
      <c r="P1143" s="3"/>
    </row>
    <row r="1144" spans="1:16" x14ac:dyDescent="0.3">
      <c r="A1144" t="s">
        <v>2452</v>
      </c>
      <c r="B1144" s="9" t="s">
        <v>450</v>
      </c>
      <c r="C1144" s="20" t="str">
        <f t="shared" si="17"/>
        <v>Sep</v>
      </c>
      <c r="D1144" t="s">
        <v>1268</v>
      </c>
      <c r="E1144" s="10" t="s">
        <v>1594</v>
      </c>
      <c r="F1144" t="s">
        <v>59</v>
      </c>
      <c r="G1144" t="s">
        <v>33</v>
      </c>
      <c r="H1144" t="s">
        <v>50</v>
      </c>
      <c r="I1144">
        <v>8</v>
      </c>
      <c r="J1144" s="3">
        <v>33.4</v>
      </c>
      <c r="K1144" s="2">
        <v>0.05</v>
      </c>
      <c r="L1144" s="3">
        <v>253.84</v>
      </c>
      <c r="M1144" s="3">
        <v>40.869999999999997</v>
      </c>
      <c r="N1144" t="s">
        <v>40</v>
      </c>
      <c r="O1144" s="3"/>
      <c r="P1144" s="3"/>
    </row>
    <row r="1145" spans="1:16" x14ac:dyDescent="0.3">
      <c r="A1145" t="s">
        <v>2453</v>
      </c>
      <c r="B1145" s="9" t="s">
        <v>1418</v>
      </c>
      <c r="C1145" s="20" t="str">
        <f t="shared" si="17"/>
        <v>Sep</v>
      </c>
      <c r="D1145" t="s">
        <v>961</v>
      </c>
      <c r="E1145" s="10" t="s">
        <v>2454</v>
      </c>
      <c r="F1145" t="s">
        <v>59</v>
      </c>
      <c r="G1145" t="s">
        <v>33</v>
      </c>
      <c r="H1145" t="s">
        <v>34</v>
      </c>
      <c r="I1145">
        <v>5</v>
      </c>
      <c r="J1145" s="3">
        <v>79.98</v>
      </c>
      <c r="K1145" s="2">
        <v>0.1</v>
      </c>
      <c r="L1145" s="3">
        <v>359.91</v>
      </c>
      <c r="M1145" s="3">
        <v>78.77</v>
      </c>
      <c r="N1145" t="s">
        <v>35</v>
      </c>
      <c r="O1145" s="3"/>
      <c r="P1145" s="3"/>
    </row>
    <row r="1146" spans="1:16" x14ac:dyDescent="0.3">
      <c r="A1146" t="s">
        <v>2455</v>
      </c>
      <c r="B1146" s="9" t="s">
        <v>1254</v>
      </c>
      <c r="C1146" s="20" t="str">
        <f t="shared" si="17"/>
        <v>Dec</v>
      </c>
      <c r="D1146" t="s">
        <v>226</v>
      </c>
      <c r="E1146" s="10" t="s">
        <v>1022</v>
      </c>
      <c r="F1146" t="s">
        <v>32</v>
      </c>
      <c r="G1146" t="s">
        <v>33</v>
      </c>
      <c r="H1146" t="s">
        <v>69</v>
      </c>
      <c r="I1146">
        <v>6</v>
      </c>
      <c r="J1146" s="3">
        <v>125.85</v>
      </c>
      <c r="K1146" s="2">
        <v>0.1</v>
      </c>
      <c r="L1146" s="3">
        <v>679.59</v>
      </c>
      <c r="M1146" s="3">
        <v>106.87</v>
      </c>
      <c r="N1146" t="s">
        <v>35</v>
      </c>
      <c r="O1146" s="3"/>
      <c r="P1146" s="3"/>
    </row>
    <row r="1147" spans="1:16" x14ac:dyDescent="0.3">
      <c r="A1147" t="s">
        <v>2456</v>
      </c>
      <c r="B1147" s="9" t="s">
        <v>489</v>
      </c>
      <c r="C1147" s="20" t="str">
        <f t="shared" si="17"/>
        <v>Mar</v>
      </c>
      <c r="D1147" t="s">
        <v>853</v>
      </c>
      <c r="E1147" s="10" t="s">
        <v>669</v>
      </c>
      <c r="F1147" t="s">
        <v>59</v>
      </c>
      <c r="G1147" t="s">
        <v>89</v>
      </c>
      <c r="H1147" t="s">
        <v>90</v>
      </c>
      <c r="I1147">
        <v>1</v>
      </c>
      <c r="J1147" s="3">
        <v>27.96</v>
      </c>
      <c r="K1147" s="2">
        <v>0.15</v>
      </c>
      <c r="L1147" s="3">
        <v>23.77</v>
      </c>
      <c r="M1147" s="3">
        <v>2.41</v>
      </c>
      <c r="N1147" t="s">
        <v>20</v>
      </c>
      <c r="O1147" s="3"/>
      <c r="P1147" s="3"/>
    </row>
    <row r="1148" spans="1:16" x14ac:dyDescent="0.3">
      <c r="A1148" t="s">
        <v>2457</v>
      </c>
      <c r="B1148" s="9" t="s">
        <v>2458</v>
      </c>
      <c r="C1148" s="20" t="str">
        <f t="shared" si="17"/>
        <v>Jan</v>
      </c>
      <c r="D1148" t="s">
        <v>480</v>
      </c>
      <c r="E1148" s="10" t="s">
        <v>1479</v>
      </c>
      <c r="F1148" t="s">
        <v>17</v>
      </c>
      <c r="G1148" t="s">
        <v>26</v>
      </c>
      <c r="H1148" t="s">
        <v>118</v>
      </c>
      <c r="I1148">
        <v>3</v>
      </c>
      <c r="J1148" s="3">
        <v>200.11</v>
      </c>
      <c r="K1148" s="2">
        <v>0</v>
      </c>
      <c r="L1148" s="3">
        <v>600.33000000000004</v>
      </c>
      <c r="M1148" s="3">
        <v>116.06</v>
      </c>
      <c r="N1148" t="s">
        <v>35</v>
      </c>
      <c r="O1148" s="3"/>
      <c r="P1148" s="3"/>
    </row>
    <row r="1149" spans="1:16" x14ac:dyDescent="0.3">
      <c r="A1149" t="s">
        <v>2459</v>
      </c>
      <c r="B1149" s="9" t="s">
        <v>345</v>
      </c>
      <c r="C1149" s="20" t="str">
        <f t="shared" si="17"/>
        <v>Apr</v>
      </c>
      <c r="D1149" t="s">
        <v>1092</v>
      </c>
      <c r="E1149" s="10" t="s">
        <v>157</v>
      </c>
      <c r="F1149" t="s">
        <v>64</v>
      </c>
      <c r="G1149" t="s">
        <v>26</v>
      </c>
      <c r="H1149" t="s">
        <v>27</v>
      </c>
      <c r="I1149">
        <v>6</v>
      </c>
      <c r="J1149" s="3">
        <v>212.4</v>
      </c>
      <c r="K1149" s="2">
        <v>0.15</v>
      </c>
      <c r="L1149" s="3">
        <v>1083.24</v>
      </c>
      <c r="M1149" s="3">
        <v>247.87</v>
      </c>
      <c r="N1149" t="s">
        <v>40</v>
      </c>
      <c r="O1149" s="3"/>
      <c r="P1149" s="3"/>
    </row>
    <row r="1150" spans="1:16" x14ac:dyDescent="0.3">
      <c r="A1150" t="s">
        <v>2460</v>
      </c>
      <c r="B1150" s="9" t="s">
        <v>523</v>
      </c>
      <c r="C1150" s="20" t="str">
        <f t="shared" si="17"/>
        <v>Dec</v>
      </c>
      <c r="D1150" t="s">
        <v>1974</v>
      </c>
      <c r="E1150" s="10" t="s">
        <v>16</v>
      </c>
      <c r="F1150" t="s">
        <v>64</v>
      </c>
      <c r="G1150" t="s">
        <v>89</v>
      </c>
      <c r="H1150" t="s">
        <v>150</v>
      </c>
      <c r="I1150">
        <v>7</v>
      </c>
      <c r="J1150" s="3">
        <v>79.540000000000006</v>
      </c>
      <c r="K1150" s="2">
        <v>0</v>
      </c>
      <c r="L1150" s="3">
        <v>556.78</v>
      </c>
      <c r="M1150" s="3">
        <v>164</v>
      </c>
      <c r="N1150" t="s">
        <v>20</v>
      </c>
      <c r="O1150" s="3"/>
      <c r="P1150" s="3"/>
    </row>
    <row r="1151" spans="1:16" x14ac:dyDescent="0.3">
      <c r="A1151" t="s">
        <v>2461</v>
      </c>
      <c r="B1151" s="9" t="s">
        <v>86</v>
      </c>
      <c r="C1151" s="20" t="str">
        <f t="shared" si="17"/>
        <v>Feb</v>
      </c>
      <c r="D1151" t="s">
        <v>152</v>
      </c>
      <c r="E1151" s="10" t="s">
        <v>2462</v>
      </c>
      <c r="F1151" t="s">
        <v>17</v>
      </c>
      <c r="G1151" t="s">
        <v>89</v>
      </c>
      <c r="H1151" t="s">
        <v>131</v>
      </c>
      <c r="I1151">
        <v>4</v>
      </c>
      <c r="J1151" s="3">
        <v>222.51</v>
      </c>
      <c r="K1151" s="2">
        <v>0</v>
      </c>
      <c r="L1151" s="3">
        <v>890.04</v>
      </c>
      <c r="M1151" s="3">
        <v>94.92</v>
      </c>
      <c r="N1151" t="s">
        <v>40</v>
      </c>
      <c r="O1151" s="3"/>
      <c r="P1151" s="3"/>
    </row>
    <row r="1152" spans="1:16" x14ac:dyDescent="0.3">
      <c r="A1152" t="s">
        <v>2463</v>
      </c>
      <c r="B1152" s="9" t="s">
        <v>203</v>
      </c>
      <c r="C1152" s="20" t="str">
        <f t="shared" si="17"/>
        <v>Sep</v>
      </c>
      <c r="D1152" t="s">
        <v>1283</v>
      </c>
      <c r="E1152" s="10" t="s">
        <v>2002</v>
      </c>
      <c r="F1152" t="s">
        <v>32</v>
      </c>
      <c r="G1152" t="s">
        <v>33</v>
      </c>
      <c r="H1152" t="s">
        <v>34</v>
      </c>
      <c r="I1152">
        <v>2</v>
      </c>
      <c r="J1152" s="3">
        <v>164.54</v>
      </c>
      <c r="K1152" s="2">
        <v>0.15</v>
      </c>
      <c r="L1152" s="3">
        <v>279.72000000000003</v>
      </c>
      <c r="M1152" s="3">
        <v>81.25</v>
      </c>
      <c r="N1152" t="s">
        <v>35</v>
      </c>
      <c r="O1152" s="3"/>
      <c r="P1152" s="3"/>
    </row>
    <row r="1153" spans="1:16" x14ac:dyDescent="0.3">
      <c r="A1153" t="s">
        <v>2464</v>
      </c>
      <c r="B1153" s="9" t="s">
        <v>203</v>
      </c>
      <c r="C1153" s="20" t="str">
        <f t="shared" si="17"/>
        <v>Sep</v>
      </c>
      <c r="D1153" t="s">
        <v>1646</v>
      </c>
      <c r="E1153" s="10" t="s">
        <v>816</v>
      </c>
      <c r="F1153" t="s">
        <v>59</v>
      </c>
      <c r="G1153" t="s">
        <v>89</v>
      </c>
      <c r="H1153" t="s">
        <v>90</v>
      </c>
      <c r="I1153">
        <v>4</v>
      </c>
      <c r="J1153" s="3">
        <v>155.63</v>
      </c>
      <c r="K1153" s="2">
        <v>0.1</v>
      </c>
      <c r="L1153" s="3">
        <v>560.27</v>
      </c>
      <c r="M1153" s="3">
        <v>53.76</v>
      </c>
      <c r="N1153" t="s">
        <v>35</v>
      </c>
      <c r="O1153" s="3"/>
      <c r="P1153" s="3"/>
    </row>
    <row r="1154" spans="1:16" x14ac:dyDescent="0.3">
      <c r="A1154" t="s">
        <v>2465</v>
      </c>
      <c r="B1154" s="9" t="s">
        <v>510</v>
      </c>
      <c r="C1154" s="20" t="str">
        <f t="shared" ref="C1154:C1217" si="18">TEXT(B:B, "mmm")</f>
        <v>Sep</v>
      </c>
      <c r="D1154" t="s">
        <v>474</v>
      </c>
      <c r="E1154" s="10" t="s">
        <v>944</v>
      </c>
      <c r="F1154" t="s">
        <v>59</v>
      </c>
      <c r="G1154" t="s">
        <v>89</v>
      </c>
      <c r="H1154" t="s">
        <v>150</v>
      </c>
      <c r="I1154">
        <v>8</v>
      </c>
      <c r="J1154" s="3">
        <v>126.56</v>
      </c>
      <c r="K1154" s="2">
        <v>0</v>
      </c>
      <c r="L1154" s="3">
        <v>1012.48</v>
      </c>
      <c r="M1154" s="3">
        <v>245.1</v>
      </c>
      <c r="N1154" t="s">
        <v>35</v>
      </c>
      <c r="O1154" s="3"/>
      <c r="P1154" s="3"/>
    </row>
    <row r="1155" spans="1:16" x14ac:dyDescent="0.3">
      <c r="A1155" t="s">
        <v>2466</v>
      </c>
      <c r="B1155" s="9" t="s">
        <v>1358</v>
      </c>
      <c r="C1155" s="20" t="str">
        <f t="shared" si="18"/>
        <v>Mar</v>
      </c>
      <c r="D1155" t="s">
        <v>1635</v>
      </c>
      <c r="E1155" s="10" t="s">
        <v>699</v>
      </c>
      <c r="F1155" t="s">
        <v>25</v>
      </c>
      <c r="G1155" t="s">
        <v>89</v>
      </c>
      <c r="H1155" t="s">
        <v>90</v>
      </c>
      <c r="I1155">
        <v>3</v>
      </c>
      <c r="J1155" s="3">
        <v>98.59</v>
      </c>
      <c r="K1155" s="2">
        <v>0.15</v>
      </c>
      <c r="L1155" s="3">
        <v>251.4</v>
      </c>
      <c r="M1155" s="3">
        <v>26.95</v>
      </c>
      <c r="N1155" t="s">
        <v>40</v>
      </c>
      <c r="O1155" s="3"/>
      <c r="P1155" s="3"/>
    </row>
    <row r="1156" spans="1:16" x14ac:dyDescent="0.3">
      <c r="A1156" t="s">
        <v>2467</v>
      </c>
      <c r="B1156" s="9" t="s">
        <v>793</v>
      </c>
      <c r="C1156" s="20" t="str">
        <f t="shared" si="18"/>
        <v>Apr</v>
      </c>
      <c r="D1156" t="s">
        <v>2402</v>
      </c>
      <c r="E1156" s="10" t="s">
        <v>674</v>
      </c>
      <c r="F1156" t="s">
        <v>59</v>
      </c>
      <c r="G1156" t="s">
        <v>26</v>
      </c>
      <c r="H1156" t="s">
        <v>84</v>
      </c>
      <c r="I1156">
        <v>7</v>
      </c>
      <c r="J1156" s="3">
        <v>25.14</v>
      </c>
      <c r="K1156" s="2">
        <v>0.05</v>
      </c>
      <c r="L1156" s="3">
        <v>167.18</v>
      </c>
      <c r="M1156" s="3">
        <v>43.07</v>
      </c>
      <c r="N1156" t="s">
        <v>40</v>
      </c>
      <c r="O1156" s="3"/>
      <c r="P1156" s="3"/>
    </row>
    <row r="1157" spans="1:16" x14ac:dyDescent="0.3">
      <c r="A1157" t="s">
        <v>2468</v>
      </c>
      <c r="B1157" s="9" t="s">
        <v>1715</v>
      </c>
      <c r="C1157" s="20" t="str">
        <f t="shared" si="18"/>
        <v>Dec</v>
      </c>
      <c r="D1157" t="s">
        <v>800</v>
      </c>
      <c r="E1157" s="10" t="s">
        <v>1718</v>
      </c>
      <c r="F1157" t="s">
        <v>64</v>
      </c>
      <c r="G1157" t="s">
        <v>89</v>
      </c>
      <c r="H1157" t="s">
        <v>150</v>
      </c>
      <c r="I1157">
        <v>1</v>
      </c>
      <c r="J1157" s="3">
        <v>246.12</v>
      </c>
      <c r="K1157" s="2">
        <v>0.15</v>
      </c>
      <c r="L1157" s="3">
        <v>209.2</v>
      </c>
      <c r="M1157" s="3">
        <v>49.11</v>
      </c>
      <c r="N1157" t="s">
        <v>35</v>
      </c>
      <c r="O1157" s="3"/>
      <c r="P1157" s="3"/>
    </row>
    <row r="1158" spans="1:16" x14ac:dyDescent="0.3">
      <c r="A1158" t="s">
        <v>2469</v>
      </c>
      <c r="B1158" s="9" t="s">
        <v>229</v>
      </c>
      <c r="C1158" s="20" t="str">
        <f t="shared" si="18"/>
        <v>Jul</v>
      </c>
      <c r="D1158" t="s">
        <v>1094</v>
      </c>
      <c r="E1158" s="10" t="s">
        <v>1423</v>
      </c>
      <c r="F1158" t="s">
        <v>25</v>
      </c>
      <c r="G1158" t="s">
        <v>89</v>
      </c>
      <c r="H1158" t="s">
        <v>131</v>
      </c>
      <c r="I1158">
        <v>7</v>
      </c>
      <c r="J1158" s="3">
        <v>41.69</v>
      </c>
      <c r="K1158" s="2">
        <v>0.15</v>
      </c>
      <c r="L1158" s="3">
        <v>248.06</v>
      </c>
      <c r="M1158" s="3">
        <v>33.19</v>
      </c>
      <c r="N1158" t="s">
        <v>20</v>
      </c>
      <c r="O1158" s="3"/>
      <c r="P1158" s="3"/>
    </row>
    <row r="1159" spans="1:16" x14ac:dyDescent="0.3">
      <c r="A1159" t="s">
        <v>2470</v>
      </c>
      <c r="B1159" s="9" t="s">
        <v>1159</v>
      </c>
      <c r="C1159" s="20" t="str">
        <f t="shared" si="18"/>
        <v>Aug</v>
      </c>
      <c r="D1159" t="s">
        <v>1978</v>
      </c>
      <c r="E1159" s="10" t="s">
        <v>373</v>
      </c>
      <c r="F1159" t="s">
        <v>59</v>
      </c>
      <c r="G1159" t="s">
        <v>26</v>
      </c>
      <c r="H1159" t="s">
        <v>27</v>
      </c>
      <c r="I1159">
        <v>8</v>
      </c>
      <c r="J1159" s="3">
        <v>205.56</v>
      </c>
      <c r="K1159" s="2">
        <v>0.05</v>
      </c>
      <c r="L1159" s="3">
        <v>1562.26</v>
      </c>
      <c r="M1159" s="3">
        <v>179.8</v>
      </c>
      <c r="N1159" t="s">
        <v>20</v>
      </c>
      <c r="O1159" s="3"/>
      <c r="P1159" s="3"/>
    </row>
    <row r="1160" spans="1:16" x14ac:dyDescent="0.3">
      <c r="A1160" t="s">
        <v>2471</v>
      </c>
      <c r="B1160" s="9" t="s">
        <v>1536</v>
      </c>
      <c r="C1160" s="20" t="str">
        <f t="shared" si="18"/>
        <v>Oct</v>
      </c>
      <c r="D1160" t="s">
        <v>1971</v>
      </c>
      <c r="E1160" s="10" t="s">
        <v>2085</v>
      </c>
      <c r="F1160" t="s">
        <v>59</v>
      </c>
      <c r="G1160" t="s">
        <v>26</v>
      </c>
      <c r="H1160" t="s">
        <v>27</v>
      </c>
      <c r="I1160">
        <v>4</v>
      </c>
      <c r="J1160" s="3">
        <v>167.32</v>
      </c>
      <c r="K1160" s="2">
        <v>0.05</v>
      </c>
      <c r="L1160" s="3">
        <v>635.82000000000005</v>
      </c>
      <c r="M1160" s="3">
        <v>153.31</v>
      </c>
      <c r="N1160" t="s">
        <v>20</v>
      </c>
      <c r="O1160" s="3"/>
      <c r="P1160" s="3"/>
    </row>
    <row r="1161" spans="1:16" x14ac:dyDescent="0.3">
      <c r="A1161" t="s">
        <v>2472</v>
      </c>
      <c r="B1161" s="9" t="s">
        <v>1358</v>
      </c>
      <c r="C1161" s="20" t="str">
        <f t="shared" si="18"/>
        <v>Mar</v>
      </c>
      <c r="D1161" t="s">
        <v>2473</v>
      </c>
      <c r="E1161" s="10" t="s">
        <v>1481</v>
      </c>
      <c r="F1161" t="s">
        <v>32</v>
      </c>
      <c r="G1161" t="s">
        <v>18</v>
      </c>
      <c r="H1161" t="s">
        <v>19</v>
      </c>
      <c r="I1161">
        <v>8</v>
      </c>
      <c r="J1161" s="3">
        <v>237.84</v>
      </c>
      <c r="K1161" s="2">
        <v>0</v>
      </c>
      <c r="L1161" s="3">
        <v>1902.72</v>
      </c>
      <c r="M1161" s="3">
        <v>419.69</v>
      </c>
      <c r="N1161" t="s">
        <v>20</v>
      </c>
      <c r="O1161" s="3"/>
      <c r="P1161" s="3"/>
    </row>
    <row r="1162" spans="1:16" x14ac:dyDescent="0.3">
      <c r="A1162" t="s">
        <v>2474</v>
      </c>
      <c r="B1162" s="9" t="s">
        <v>167</v>
      </c>
      <c r="C1162" s="20" t="str">
        <f t="shared" si="18"/>
        <v>Apr</v>
      </c>
      <c r="D1162" t="s">
        <v>1003</v>
      </c>
      <c r="E1162" s="10" t="s">
        <v>113</v>
      </c>
      <c r="F1162" t="s">
        <v>59</v>
      </c>
      <c r="G1162" t="s">
        <v>89</v>
      </c>
      <c r="H1162" t="s">
        <v>150</v>
      </c>
      <c r="I1162">
        <v>8</v>
      </c>
      <c r="J1162" s="3">
        <v>198.98</v>
      </c>
      <c r="K1162" s="2">
        <v>0.1</v>
      </c>
      <c r="L1162" s="3">
        <v>1432.66</v>
      </c>
      <c r="M1162" s="3">
        <v>121.59</v>
      </c>
      <c r="N1162" t="s">
        <v>35</v>
      </c>
      <c r="O1162" s="3"/>
      <c r="P1162" s="3"/>
    </row>
    <row r="1163" spans="1:16" x14ac:dyDescent="0.3">
      <c r="A1163" t="s">
        <v>2475</v>
      </c>
      <c r="B1163" s="9" t="s">
        <v>432</v>
      </c>
      <c r="C1163" s="20" t="str">
        <f t="shared" si="18"/>
        <v>Jul</v>
      </c>
      <c r="D1163" t="s">
        <v>2000</v>
      </c>
      <c r="E1163" s="10" t="s">
        <v>588</v>
      </c>
      <c r="F1163" t="s">
        <v>64</v>
      </c>
      <c r="G1163" t="s">
        <v>26</v>
      </c>
      <c r="H1163" t="s">
        <v>27</v>
      </c>
      <c r="I1163">
        <v>3</v>
      </c>
      <c r="J1163" s="3">
        <v>111.04</v>
      </c>
      <c r="K1163" s="2">
        <v>0.05</v>
      </c>
      <c r="L1163" s="3">
        <v>316.45999999999998</v>
      </c>
      <c r="M1163" s="3">
        <v>58.12</v>
      </c>
      <c r="N1163" t="s">
        <v>20</v>
      </c>
      <c r="O1163" s="3"/>
      <c r="P1163" s="3"/>
    </row>
    <row r="1164" spans="1:16" x14ac:dyDescent="0.3">
      <c r="A1164" t="s">
        <v>2476</v>
      </c>
      <c r="B1164" s="9" t="s">
        <v>701</v>
      </c>
      <c r="C1164" s="20" t="str">
        <f t="shared" si="18"/>
        <v>Nov</v>
      </c>
      <c r="D1164" t="s">
        <v>2026</v>
      </c>
      <c r="E1164" s="10" t="s">
        <v>985</v>
      </c>
      <c r="F1164" t="s">
        <v>64</v>
      </c>
      <c r="G1164" t="s">
        <v>18</v>
      </c>
      <c r="H1164" t="s">
        <v>19</v>
      </c>
      <c r="I1164">
        <v>1</v>
      </c>
      <c r="J1164" s="3">
        <v>234.55</v>
      </c>
      <c r="K1164" s="2">
        <v>0.05</v>
      </c>
      <c r="L1164" s="3">
        <v>222.82</v>
      </c>
      <c r="M1164" s="3">
        <v>35.72</v>
      </c>
      <c r="N1164" t="s">
        <v>35</v>
      </c>
      <c r="O1164" s="3"/>
      <c r="P1164" s="3"/>
    </row>
    <row r="1165" spans="1:16" x14ac:dyDescent="0.3">
      <c r="A1165" t="s">
        <v>2477</v>
      </c>
      <c r="B1165" s="9" t="s">
        <v>2478</v>
      </c>
      <c r="C1165" s="20" t="str">
        <f t="shared" si="18"/>
        <v>Apr</v>
      </c>
      <c r="D1165" t="s">
        <v>535</v>
      </c>
      <c r="E1165" s="10" t="s">
        <v>1553</v>
      </c>
      <c r="F1165" t="s">
        <v>64</v>
      </c>
      <c r="G1165" t="s">
        <v>26</v>
      </c>
      <c r="H1165" t="s">
        <v>84</v>
      </c>
      <c r="I1165">
        <v>4</v>
      </c>
      <c r="J1165" s="3">
        <v>140.04</v>
      </c>
      <c r="K1165" s="2">
        <v>0.15</v>
      </c>
      <c r="L1165" s="3">
        <v>476.14</v>
      </c>
      <c r="M1165" s="3">
        <v>106.34</v>
      </c>
      <c r="N1165" t="s">
        <v>35</v>
      </c>
      <c r="O1165" s="3"/>
      <c r="P1165" s="3"/>
    </row>
    <row r="1166" spans="1:16" x14ac:dyDescent="0.3">
      <c r="A1166" t="s">
        <v>2479</v>
      </c>
      <c r="B1166" s="9" t="s">
        <v>1418</v>
      </c>
      <c r="C1166" s="20" t="str">
        <f t="shared" si="18"/>
        <v>Sep</v>
      </c>
      <c r="D1166" t="s">
        <v>1213</v>
      </c>
      <c r="E1166" s="10" t="s">
        <v>1067</v>
      </c>
      <c r="F1166" t="s">
        <v>32</v>
      </c>
      <c r="G1166" t="s">
        <v>18</v>
      </c>
      <c r="H1166" t="s">
        <v>45</v>
      </c>
      <c r="I1166">
        <v>3</v>
      </c>
      <c r="J1166" s="3">
        <v>47.78</v>
      </c>
      <c r="K1166" s="2">
        <v>0.1</v>
      </c>
      <c r="L1166" s="3">
        <v>129.01</v>
      </c>
      <c r="M1166" s="3">
        <v>32.83</v>
      </c>
      <c r="N1166" t="s">
        <v>35</v>
      </c>
      <c r="O1166" s="3"/>
      <c r="P1166" s="3"/>
    </row>
    <row r="1167" spans="1:16" x14ac:dyDescent="0.3">
      <c r="A1167" t="s">
        <v>2480</v>
      </c>
      <c r="B1167" s="9" t="s">
        <v>1956</v>
      </c>
      <c r="C1167" s="20" t="str">
        <f t="shared" si="18"/>
        <v>Jun</v>
      </c>
      <c r="D1167" t="s">
        <v>863</v>
      </c>
      <c r="E1167" s="10" t="s">
        <v>1701</v>
      </c>
      <c r="F1167" t="s">
        <v>32</v>
      </c>
      <c r="G1167" t="s">
        <v>18</v>
      </c>
      <c r="H1167" t="s">
        <v>19</v>
      </c>
      <c r="I1167">
        <v>4</v>
      </c>
      <c r="J1167" s="3">
        <v>178.08</v>
      </c>
      <c r="K1167" s="2">
        <v>0.15</v>
      </c>
      <c r="L1167" s="3">
        <v>605.47</v>
      </c>
      <c r="M1167" s="3">
        <v>145.03</v>
      </c>
      <c r="N1167" t="s">
        <v>35</v>
      </c>
      <c r="O1167" s="3"/>
      <c r="P1167" s="3"/>
    </row>
    <row r="1168" spans="1:16" x14ac:dyDescent="0.3">
      <c r="A1168" t="s">
        <v>2481</v>
      </c>
      <c r="B1168" s="9" t="s">
        <v>1846</v>
      </c>
      <c r="C1168" s="20" t="str">
        <f t="shared" si="18"/>
        <v>Jul</v>
      </c>
      <c r="D1168" t="s">
        <v>2482</v>
      </c>
      <c r="E1168" s="10" t="s">
        <v>1084</v>
      </c>
      <c r="F1168" t="s">
        <v>32</v>
      </c>
      <c r="G1168" t="s">
        <v>33</v>
      </c>
      <c r="H1168" t="s">
        <v>50</v>
      </c>
      <c r="I1168">
        <v>2</v>
      </c>
      <c r="J1168" s="3">
        <v>66.08</v>
      </c>
      <c r="K1168" s="2">
        <v>0.15</v>
      </c>
      <c r="L1168" s="3">
        <v>112.34</v>
      </c>
      <c r="M1168" s="3">
        <v>25.44</v>
      </c>
      <c r="N1168" t="s">
        <v>35</v>
      </c>
      <c r="O1168" s="3"/>
      <c r="P1168" s="3"/>
    </row>
    <row r="1169" spans="1:16" x14ac:dyDescent="0.3">
      <c r="A1169" t="s">
        <v>2483</v>
      </c>
      <c r="B1169" s="9" t="s">
        <v>1025</v>
      </c>
      <c r="C1169" s="20" t="str">
        <f t="shared" si="18"/>
        <v>Aug</v>
      </c>
      <c r="D1169" t="s">
        <v>105</v>
      </c>
      <c r="E1169" s="10" t="s">
        <v>227</v>
      </c>
      <c r="F1169" t="s">
        <v>59</v>
      </c>
      <c r="G1169" t="s">
        <v>26</v>
      </c>
      <c r="H1169" t="s">
        <v>84</v>
      </c>
      <c r="I1169">
        <v>6</v>
      </c>
      <c r="J1169" s="3">
        <v>134.43</v>
      </c>
      <c r="K1169" s="2">
        <v>0.15</v>
      </c>
      <c r="L1169" s="3">
        <v>685.59</v>
      </c>
      <c r="M1169" s="3">
        <v>143.16999999999999</v>
      </c>
      <c r="N1169" t="s">
        <v>35</v>
      </c>
      <c r="O1169" s="3"/>
      <c r="P1169" s="3"/>
    </row>
    <row r="1170" spans="1:16" x14ac:dyDescent="0.3">
      <c r="A1170" t="s">
        <v>2484</v>
      </c>
      <c r="B1170" s="9" t="s">
        <v>1108</v>
      </c>
      <c r="C1170" s="20" t="str">
        <f t="shared" si="18"/>
        <v>Dec</v>
      </c>
      <c r="D1170" t="s">
        <v>1305</v>
      </c>
      <c r="E1170" s="10" t="s">
        <v>1725</v>
      </c>
      <c r="F1170" t="s">
        <v>25</v>
      </c>
      <c r="G1170" t="s">
        <v>26</v>
      </c>
      <c r="H1170" t="s">
        <v>84</v>
      </c>
      <c r="I1170">
        <v>6</v>
      </c>
      <c r="J1170" s="3">
        <v>69.95</v>
      </c>
      <c r="K1170" s="2">
        <v>0.15</v>
      </c>
      <c r="L1170" s="3">
        <v>356.75</v>
      </c>
      <c r="M1170" s="3">
        <v>35.299999999999997</v>
      </c>
      <c r="N1170" t="s">
        <v>40</v>
      </c>
      <c r="O1170" s="3"/>
      <c r="P1170" s="3"/>
    </row>
    <row r="1171" spans="1:16" x14ac:dyDescent="0.3">
      <c r="A1171" t="s">
        <v>2485</v>
      </c>
      <c r="B1171" s="9" t="s">
        <v>1276</v>
      </c>
      <c r="C1171" s="20" t="str">
        <f t="shared" si="18"/>
        <v>Jul</v>
      </c>
      <c r="D1171" t="s">
        <v>1411</v>
      </c>
      <c r="E1171" s="10" t="s">
        <v>927</v>
      </c>
      <c r="F1171" t="s">
        <v>17</v>
      </c>
      <c r="G1171" t="s">
        <v>89</v>
      </c>
      <c r="H1171" t="s">
        <v>131</v>
      </c>
      <c r="I1171">
        <v>2</v>
      </c>
      <c r="J1171" s="3">
        <v>98.26</v>
      </c>
      <c r="K1171" s="2">
        <v>0.05</v>
      </c>
      <c r="L1171" s="3">
        <v>186.69</v>
      </c>
      <c r="M1171" s="3">
        <v>28.04</v>
      </c>
      <c r="N1171" t="s">
        <v>20</v>
      </c>
      <c r="O1171" s="3"/>
      <c r="P1171" s="3"/>
    </row>
    <row r="1172" spans="1:16" x14ac:dyDescent="0.3">
      <c r="A1172" t="s">
        <v>2486</v>
      </c>
      <c r="B1172" s="9" t="s">
        <v>1124</v>
      </c>
      <c r="C1172" s="20" t="str">
        <f t="shared" si="18"/>
        <v>Dec</v>
      </c>
      <c r="D1172" t="s">
        <v>838</v>
      </c>
      <c r="E1172" s="10" t="s">
        <v>1959</v>
      </c>
      <c r="F1172" t="s">
        <v>64</v>
      </c>
      <c r="G1172" t="s">
        <v>89</v>
      </c>
      <c r="H1172" t="s">
        <v>131</v>
      </c>
      <c r="I1172">
        <v>7</v>
      </c>
      <c r="J1172" s="3">
        <v>206.11</v>
      </c>
      <c r="K1172" s="2">
        <v>0</v>
      </c>
      <c r="L1172" s="3">
        <v>1442.77</v>
      </c>
      <c r="M1172" s="3">
        <v>365.07</v>
      </c>
      <c r="N1172" t="s">
        <v>35</v>
      </c>
      <c r="O1172" s="3"/>
      <c r="P1172" s="3"/>
    </row>
    <row r="1173" spans="1:16" x14ac:dyDescent="0.3">
      <c r="A1173" t="s">
        <v>2487</v>
      </c>
      <c r="B1173" s="9" t="s">
        <v>404</v>
      </c>
      <c r="C1173" s="20" t="str">
        <f t="shared" si="18"/>
        <v>Feb</v>
      </c>
      <c r="D1173" t="s">
        <v>1523</v>
      </c>
      <c r="E1173" s="10" t="s">
        <v>2100</v>
      </c>
      <c r="F1173" t="s">
        <v>32</v>
      </c>
      <c r="G1173" t="s">
        <v>26</v>
      </c>
      <c r="H1173" t="s">
        <v>118</v>
      </c>
      <c r="I1173">
        <v>5</v>
      </c>
      <c r="J1173" s="3">
        <v>19.02</v>
      </c>
      <c r="K1173" s="2">
        <v>0.15</v>
      </c>
      <c r="L1173" s="3">
        <v>80.83</v>
      </c>
      <c r="M1173" s="3">
        <v>14.23</v>
      </c>
      <c r="N1173" t="s">
        <v>20</v>
      </c>
      <c r="O1173" s="3"/>
      <c r="P1173" s="3"/>
    </row>
    <row r="1174" spans="1:16" x14ac:dyDescent="0.3">
      <c r="A1174" t="s">
        <v>2488</v>
      </c>
      <c r="B1174" s="9" t="s">
        <v>810</v>
      </c>
      <c r="C1174" s="20" t="str">
        <f t="shared" si="18"/>
        <v>Feb</v>
      </c>
      <c r="D1174" t="s">
        <v>831</v>
      </c>
      <c r="E1174" s="10" t="s">
        <v>68</v>
      </c>
      <c r="F1174" t="s">
        <v>17</v>
      </c>
      <c r="G1174" t="s">
        <v>26</v>
      </c>
      <c r="H1174" t="s">
        <v>84</v>
      </c>
      <c r="I1174">
        <v>7</v>
      </c>
      <c r="J1174" s="3">
        <v>79.52</v>
      </c>
      <c r="K1174" s="2">
        <v>0.1</v>
      </c>
      <c r="L1174" s="3">
        <v>500.98</v>
      </c>
      <c r="M1174" s="3">
        <v>139.88</v>
      </c>
      <c r="N1174" t="s">
        <v>20</v>
      </c>
      <c r="O1174" s="3"/>
      <c r="P1174" s="3"/>
    </row>
    <row r="1175" spans="1:16" x14ac:dyDescent="0.3">
      <c r="A1175" t="s">
        <v>2489</v>
      </c>
      <c r="B1175" s="9" t="s">
        <v>2490</v>
      </c>
      <c r="C1175" s="20" t="str">
        <f t="shared" si="18"/>
        <v>Sep</v>
      </c>
      <c r="D1175" t="s">
        <v>224</v>
      </c>
      <c r="E1175" s="10" t="s">
        <v>2491</v>
      </c>
      <c r="F1175" t="s">
        <v>25</v>
      </c>
      <c r="G1175" t="s">
        <v>18</v>
      </c>
      <c r="H1175" t="s">
        <v>19</v>
      </c>
      <c r="I1175">
        <v>3</v>
      </c>
      <c r="J1175" s="3">
        <v>134.01</v>
      </c>
      <c r="K1175" s="2">
        <v>0.1</v>
      </c>
      <c r="L1175" s="3">
        <v>361.83</v>
      </c>
      <c r="M1175" s="3">
        <v>76.819999999999993</v>
      </c>
      <c r="N1175" t="s">
        <v>20</v>
      </c>
      <c r="O1175" s="3"/>
      <c r="P1175" s="3"/>
    </row>
    <row r="1176" spans="1:16" x14ac:dyDescent="0.3">
      <c r="A1176" t="s">
        <v>2492</v>
      </c>
      <c r="B1176" s="9" t="s">
        <v>915</v>
      </c>
      <c r="C1176" s="20" t="str">
        <f t="shared" si="18"/>
        <v>Mar</v>
      </c>
      <c r="D1176" t="s">
        <v>160</v>
      </c>
      <c r="E1176" s="10" t="s">
        <v>1687</v>
      </c>
      <c r="F1176" t="s">
        <v>59</v>
      </c>
      <c r="G1176" t="s">
        <v>18</v>
      </c>
      <c r="H1176" t="s">
        <v>19</v>
      </c>
      <c r="I1176">
        <v>5</v>
      </c>
      <c r="J1176" s="3">
        <v>69.209999999999994</v>
      </c>
      <c r="K1176" s="2">
        <v>0</v>
      </c>
      <c r="L1176" s="3">
        <v>346.05</v>
      </c>
      <c r="M1176" s="3">
        <v>98.29</v>
      </c>
      <c r="N1176" t="s">
        <v>20</v>
      </c>
      <c r="O1176" s="3"/>
      <c r="P1176" s="3"/>
    </row>
    <row r="1177" spans="1:16" x14ac:dyDescent="0.3">
      <c r="A1177" t="s">
        <v>2493</v>
      </c>
      <c r="B1177" s="9" t="s">
        <v>1144</v>
      </c>
      <c r="C1177" s="20" t="str">
        <f t="shared" si="18"/>
        <v>May</v>
      </c>
      <c r="D1177" t="s">
        <v>67</v>
      </c>
      <c r="E1177" s="10" t="s">
        <v>398</v>
      </c>
      <c r="F1177" t="s">
        <v>17</v>
      </c>
      <c r="G1177" t="s">
        <v>89</v>
      </c>
      <c r="H1177" t="s">
        <v>90</v>
      </c>
      <c r="I1177">
        <v>8</v>
      </c>
      <c r="J1177" s="3">
        <v>184.84</v>
      </c>
      <c r="K1177" s="2">
        <v>0.1</v>
      </c>
      <c r="L1177" s="3">
        <v>1330.85</v>
      </c>
      <c r="M1177" s="3">
        <v>398.67</v>
      </c>
      <c r="N1177" t="s">
        <v>40</v>
      </c>
      <c r="O1177" s="3"/>
      <c r="P1177" s="3"/>
    </row>
    <row r="1178" spans="1:16" x14ac:dyDescent="0.3">
      <c r="A1178" t="s">
        <v>2494</v>
      </c>
      <c r="B1178" s="9" t="s">
        <v>1657</v>
      </c>
      <c r="C1178" s="20" t="str">
        <f t="shared" si="18"/>
        <v>May</v>
      </c>
      <c r="D1178" t="s">
        <v>1836</v>
      </c>
      <c r="E1178" s="10" t="s">
        <v>1053</v>
      </c>
      <c r="F1178" t="s">
        <v>25</v>
      </c>
      <c r="G1178" t="s">
        <v>33</v>
      </c>
      <c r="H1178" t="s">
        <v>34</v>
      </c>
      <c r="I1178">
        <v>5</v>
      </c>
      <c r="J1178" s="3">
        <v>148.81</v>
      </c>
      <c r="K1178" s="2">
        <v>0</v>
      </c>
      <c r="L1178" s="3">
        <v>744.05</v>
      </c>
      <c r="M1178" s="3">
        <v>216.1</v>
      </c>
      <c r="N1178" t="s">
        <v>35</v>
      </c>
      <c r="O1178" s="3"/>
      <c r="P1178" s="3"/>
    </row>
    <row r="1179" spans="1:16" x14ac:dyDescent="0.3">
      <c r="A1179" t="s">
        <v>2495</v>
      </c>
      <c r="B1179" s="9" t="s">
        <v>1267</v>
      </c>
      <c r="C1179" s="20" t="str">
        <f t="shared" si="18"/>
        <v>Aug</v>
      </c>
      <c r="D1179" t="s">
        <v>1087</v>
      </c>
      <c r="E1179" s="10" t="s">
        <v>661</v>
      </c>
      <c r="F1179" t="s">
        <v>59</v>
      </c>
      <c r="G1179" t="s">
        <v>26</v>
      </c>
      <c r="H1179" t="s">
        <v>84</v>
      </c>
      <c r="I1179">
        <v>5</v>
      </c>
      <c r="J1179" s="3">
        <v>48.08</v>
      </c>
      <c r="K1179" s="2">
        <v>0.1</v>
      </c>
      <c r="L1179" s="3">
        <v>216.36</v>
      </c>
      <c r="M1179" s="3">
        <v>59.58</v>
      </c>
      <c r="N1179" t="s">
        <v>20</v>
      </c>
      <c r="O1179" s="3"/>
      <c r="P1179" s="3"/>
    </row>
    <row r="1180" spans="1:16" x14ac:dyDescent="0.3">
      <c r="A1180" t="s">
        <v>2496</v>
      </c>
      <c r="B1180" s="9" t="s">
        <v>523</v>
      </c>
      <c r="C1180" s="20" t="str">
        <f t="shared" si="18"/>
        <v>Dec</v>
      </c>
      <c r="D1180" t="s">
        <v>1069</v>
      </c>
      <c r="E1180" s="10" t="s">
        <v>2068</v>
      </c>
      <c r="F1180" t="s">
        <v>32</v>
      </c>
      <c r="G1180" t="s">
        <v>18</v>
      </c>
      <c r="H1180" t="s">
        <v>19</v>
      </c>
      <c r="I1180">
        <v>3</v>
      </c>
      <c r="J1180" s="3">
        <v>184.56</v>
      </c>
      <c r="K1180" s="2">
        <v>0</v>
      </c>
      <c r="L1180" s="3">
        <v>553.67999999999995</v>
      </c>
      <c r="M1180" s="3">
        <v>111.43</v>
      </c>
      <c r="N1180" t="s">
        <v>40</v>
      </c>
      <c r="O1180" s="3"/>
      <c r="P1180" s="3"/>
    </row>
    <row r="1181" spans="1:16" x14ac:dyDescent="0.3">
      <c r="A1181" t="s">
        <v>2497</v>
      </c>
      <c r="B1181" s="9" t="s">
        <v>798</v>
      </c>
      <c r="C1181" s="20" t="str">
        <f t="shared" si="18"/>
        <v>Jul</v>
      </c>
      <c r="D1181" t="s">
        <v>2498</v>
      </c>
      <c r="E1181" s="10" t="s">
        <v>292</v>
      </c>
      <c r="F1181" t="s">
        <v>17</v>
      </c>
      <c r="G1181" t="s">
        <v>89</v>
      </c>
      <c r="H1181" t="s">
        <v>90</v>
      </c>
      <c r="I1181">
        <v>1</v>
      </c>
      <c r="J1181" s="3">
        <v>178.04</v>
      </c>
      <c r="K1181" s="2">
        <v>0.05</v>
      </c>
      <c r="L1181" s="3">
        <v>169.14</v>
      </c>
      <c r="M1181" s="3">
        <v>27.42</v>
      </c>
      <c r="N1181" t="s">
        <v>40</v>
      </c>
      <c r="O1181" s="3"/>
      <c r="P1181" s="3"/>
    </row>
    <row r="1182" spans="1:16" x14ac:dyDescent="0.3">
      <c r="A1182" t="s">
        <v>2499</v>
      </c>
      <c r="B1182" s="9" t="s">
        <v>2500</v>
      </c>
      <c r="C1182" s="20" t="str">
        <f t="shared" si="18"/>
        <v>Feb</v>
      </c>
      <c r="D1182" t="s">
        <v>853</v>
      </c>
      <c r="E1182" s="10" t="s">
        <v>78</v>
      </c>
      <c r="F1182" t="s">
        <v>17</v>
      </c>
      <c r="G1182" t="s">
        <v>26</v>
      </c>
      <c r="H1182" t="s">
        <v>84</v>
      </c>
      <c r="I1182">
        <v>8</v>
      </c>
      <c r="J1182" s="3">
        <v>143.59</v>
      </c>
      <c r="K1182" s="2">
        <v>0.1</v>
      </c>
      <c r="L1182" s="3">
        <v>1033.8499999999999</v>
      </c>
      <c r="M1182" s="3">
        <v>213.58</v>
      </c>
      <c r="N1182" t="s">
        <v>20</v>
      </c>
      <c r="O1182" s="3"/>
      <c r="P1182" s="3"/>
    </row>
    <row r="1183" spans="1:16" x14ac:dyDescent="0.3">
      <c r="A1183" t="s">
        <v>2501</v>
      </c>
      <c r="B1183" s="9" t="s">
        <v>1720</v>
      </c>
      <c r="C1183" s="20" t="str">
        <f t="shared" si="18"/>
        <v>Nov</v>
      </c>
      <c r="D1183" t="s">
        <v>1532</v>
      </c>
      <c r="E1183" s="10" t="s">
        <v>2502</v>
      </c>
      <c r="F1183" t="s">
        <v>64</v>
      </c>
      <c r="G1183" t="s">
        <v>33</v>
      </c>
      <c r="H1183" t="s">
        <v>69</v>
      </c>
      <c r="I1183">
        <v>4</v>
      </c>
      <c r="J1183" s="3">
        <v>129.18</v>
      </c>
      <c r="K1183" s="2">
        <v>0.05</v>
      </c>
      <c r="L1183" s="3">
        <v>490.88</v>
      </c>
      <c r="M1183" s="3">
        <v>146.11000000000001</v>
      </c>
      <c r="N1183" t="s">
        <v>20</v>
      </c>
      <c r="O1183" s="3"/>
      <c r="P1183" s="3"/>
    </row>
    <row r="1184" spans="1:16" x14ac:dyDescent="0.3">
      <c r="A1184" t="s">
        <v>2503</v>
      </c>
      <c r="B1184" s="9" t="s">
        <v>2504</v>
      </c>
      <c r="C1184" s="20" t="str">
        <f t="shared" si="18"/>
        <v>Oct</v>
      </c>
      <c r="D1184" t="s">
        <v>221</v>
      </c>
      <c r="E1184" s="10" t="s">
        <v>2271</v>
      </c>
      <c r="F1184" t="s">
        <v>64</v>
      </c>
      <c r="G1184" t="s">
        <v>26</v>
      </c>
      <c r="H1184" t="s">
        <v>27</v>
      </c>
      <c r="I1184">
        <v>8</v>
      </c>
      <c r="J1184" s="3">
        <v>247.42</v>
      </c>
      <c r="K1184" s="2">
        <v>0.05</v>
      </c>
      <c r="L1184" s="3">
        <v>1880.39</v>
      </c>
      <c r="M1184" s="3">
        <v>229.75</v>
      </c>
      <c r="N1184" t="s">
        <v>20</v>
      </c>
      <c r="O1184" s="3"/>
      <c r="P1184" s="3"/>
    </row>
    <row r="1185" spans="1:16" x14ac:dyDescent="0.3">
      <c r="A1185" t="s">
        <v>2505</v>
      </c>
      <c r="B1185" s="9" t="s">
        <v>1037</v>
      </c>
      <c r="C1185" s="20" t="str">
        <f t="shared" si="18"/>
        <v>Oct</v>
      </c>
      <c r="D1185" t="s">
        <v>339</v>
      </c>
      <c r="E1185" s="10" t="s">
        <v>212</v>
      </c>
      <c r="F1185" t="s">
        <v>25</v>
      </c>
      <c r="G1185" t="s">
        <v>33</v>
      </c>
      <c r="H1185" t="s">
        <v>74</v>
      </c>
      <c r="I1185">
        <v>3</v>
      </c>
      <c r="J1185" s="3">
        <v>224.51</v>
      </c>
      <c r="K1185" s="2">
        <v>0.05</v>
      </c>
      <c r="L1185" s="3">
        <v>639.85</v>
      </c>
      <c r="M1185" s="3">
        <v>181.35</v>
      </c>
      <c r="N1185" t="s">
        <v>35</v>
      </c>
      <c r="O1185" s="3"/>
      <c r="P1185" s="3"/>
    </row>
    <row r="1186" spans="1:16" x14ac:dyDescent="0.3">
      <c r="A1186" t="s">
        <v>2506</v>
      </c>
      <c r="B1186" s="9" t="s">
        <v>749</v>
      </c>
      <c r="C1186" s="20" t="str">
        <f t="shared" si="18"/>
        <v>Mar</v>
      </c>
      <c r="D1186" t="s">
        <v>930</v>
      </c>
      <c r="E1186" s="10" t="s">
        <v>1047</v>
      </c>
      <c r="F1186" t="s">
        <v>32</v>
      </c>
      <c r="G1186" t="s">
        <v>18</v>
      </c>
      <c r="H1186" t="s">
        <v>79</v>
      </c>
      <c r="I1186">
        <v>1</v>
      </c>
      <c r="J1186" s="3">
        <v>222.26</v>
      </c>
      <c r="K1186" s="2">
        <v>0.05</v>
      </c>
      <c r="L1186" s="3">
        <v>211.15</v>
      </c>
      <c r="M1186" s="3">
        <v>29.93</v>
      </c>
      <c r="N1186" t="s">
        <v>20</v>
      </c>
      <c r="O1186" s="3"/>
      <c r="P1186" s="3"/>
    </row>
    <row r="1187" spans="1:16" x14ac:dyDescent="0.3">
      <c r="A1187" t="s">
        <v>2507</v>
      </c>
      <c r="B1187" s="9" t="s">
        <v>96</v>
      </c>
      <c r="C1187" s="20" t="str">
        <f t="shared" si="18"/>
        <v>Aug</v>
      </c>
      <c r="D1187" t="s">
        <v>921</v>
      </c>
      <c r="E1187" s="10" t="s">
        <v>1056</v>
      </c>
      <c r="F1187" t="s">
        <v>64</v>
      </c>
      <c r="G1187" t="s">
        <v>89</v>
      </c>
      <c r="H1187" t="s">
        <v>150</v>
      </c>
      <c r="I1187">
        <v>8</v>
      </c>
      <c r="J1187" s="3">
        <v>30.37</v>
      </c>
      <c r="K1187" s="2">
        <v>0.1</v>
      </c>
      <c r="L1187" s="3">
        <v>218.66</v>
      </c>
      <c r="M1187" s="3">
        <v>25.9</v>
      </c>
      <c r="N1187" t="s">
        <v>40</v>
      </c>
      <c r="O1187" s="3"/>
      <c r="P1187" s="3"/>
    </row>
    <row r="1188" spans="1:16" x14ac:dyDescent="0.3">
      <c r="A1188" t="s">
        <v>2508</v>
      </c>
      <c r="B1188" s="9" t="s">
        <v>191</v>
      </c>
      <c r="C1188" s="20" t="str">
        <f t="shared" si="18"/>
        <v>Apr</v>
      </c>
      <c r="D1188" t="s">
        <v>807</v>
      </c>
      <c r="E1188" s="10" t="s">
        <v>498</v>
      </c>
      <c r="F1188" t="s">
        <v>64</v>
      </c>
      <c r="G1188" t="s">
        <v>26</v>
      </c>
      <c r="H1188" t="s">
        <v>118</v>
      </c>
      <c r="I1188">
        <v>2</v>
      </c>
      <c r="J1188" s="3">
        <v>201.56</v>
      </c>
      <c r="K1188" s="2">
        <v>0.05</v>
      </c>
      <c r="L1188" s="3">
        <v>382.96</v>
      </c>
      <c r="M1188" s="3">
        <v>66.45</v>
      </c>
      <c r="N1188" t="s">
        <v>20</v>
      </c>
      <c r="O1188" s="3"/>
      <c r="P1188" s="3"/>
    </row>
    <row r="1189" spans="1:16" x14ac:dyDescent="0.3">
      <c r="A1189" t="s">
        <v>2509</v>
      </c>
      <c r="B1189" s="9" t="s">
        <v>1557</v>
      </c>
      <c r="C1189" s="20" t="str">
        <f t="shared" si="18"/>
        <v>Jun</v>
      </c>
      <c r="D1189" t="s">
        <v>1090</v>
      </c>
      <c r="E1189" s="10" t="s">
        <v>1103</v>
      </c>
      <c r="F1189" t="s">
        <v>59</v>
      </c>
      <c r="G1189" t="s">
        <v>33</v>
      </c>
      <c r="H1189" t="s">
        <v>50</v>
      </c>
      <c r="I1189">
        <v>6</v>
      </c>
      <c r="J1189" s="3">
        <v>214.31</v>
      </c>
      <c r="K1189" s="2">
        <v>0.1</v>
      </c>
      <c r="L1189" s="3">
        <v>1157.27</v>
      </c>
      <c r="M1189" s="3">
        <v>267.76</v>
      </c>
      <c r="N1189" t="s">
        <v>35</v>
      </c>
      <c r="O1189" s="3"/>
      <c r="P1189" s="3"/>
    </row>
    <row r="1190" spans="1:16" x14ac:dyDescent="0.3">
      <c r="A1190" t="s">
        <v>2510</v>
      </c>
      <c r="B1190" s="9" t="s">
        <v>1101</v>
      </c>
      <c r="C1190" s="20" t="str">
        <f t="shared" si="18"/>
        <v>Jul</v>
      </c>
      <c r="D1190" t="s">
        <v>1166</v>
      </c>
      <c r="E1190" s="10" t="s">
        <v>2020</v>
      </c>
      <c r="F1190" t="s">
        <v>59</v>
      </c>
      <c r="G1190" t="s">
        <v>33</v>
      </c>
      <c r="H1190" t="s">
        <v>74</v>
      </c>
      <c r="I1190">
        <v>5</v>
      </c>
      <c r="J1190" s="3">
        <v>22.14</v>
      </c>
      <c r="K1190" s="2">
        <v>0</v>
      </c>
      <c r="L1190" s="3">
        <v>110.7</v>
      </c>
      <c r="M1190" s="3">
        <v>9.23</v>
      </c>
      <c r="N1190" t="s">
        <v>40</v>
      </c>
      <c r="O1190" s="3"/>
      <c r="P1190" s="3"/>
    </row>
    <row r="1191" spans="1:16" x14ac:dyDescent="0.3">
      <c r="A1191" t="s">
        <v>2511</v>
      </c>
      <c r="B1191" s="9" t="s">
        <v>2512</v>
      </c>
      <c r="C1191" s="20" t="str">
        <f t="shared" si="18"/>
        <v>Aug</v>
      </c>
      <c r="D1191" t="s">
        <v>2513</v>
      </c>
      <c r="E1191" s="10" t="s">
        <v>1295</v>
      </c>
      <c r="F1191" t="s">
        <v>32</v>
      </c>
      <c r="G1191" t="s">
        <v>33</v>
      </c>
      <c r="H1191" t="s">
        <v>50</v>
      </c>
      <c r="I1191">
        <v>7</v>
      </c>
      <c r="J1191" s="3">
        <v>133.69999999999999</v>
      </c>
      <c r="K1191" s="2">
        <v>0</v>
      </c>
      <c r="L1191" s="3">
        <v>935.9</v>
      </c>
      <c r="M1191" s="3">
        <v>184.14</v>
      </c>
      <c r="N1191" t="s">
        <v>35</v>
      </c>
      <c r="O1191" s="3"/>
      <c r="P1191" s="3"/>
    </row>
    <row r="1192" spans="1:16" x14ac:dyDescent="0.3">
      <c r="A1192" t="s">
        <v>2516</v>
      </c>
      <c r="B1192" s="9" t="s">
        <v>500</v>
      </c>
      <c r="C1192" s="20" t="str">
        <f t="shared" si="18"/>
        <v>Nov</v>
      </c>
      <c r="D1192" t="s">
        <v>1178</v>
      </c>
      <c r="E1192" s="10" t="s">
        <v>240</v>
      </c>
      <c r="F1192" t="s">
        <v>32</v>
      </c>
      <c r="G1192" t="s">
        <v>18</v>
      </c>
      <c r="H1192" t="s">
        <v>79</v>
      </c>
      <c r="I1192">
        <v>3</v>
      </c>
      <c r="J1192" s="3">
        <v>94.52</v>
      </c>
      <c r="K1192" s="2">
        <v>0</v>
      </c>
      <c r="L1192" s="3">
        <v>283.56</v>
      </c>
      <c r="M1192" s="3">
        <v>64.13</v>
      </c>
      <c r="N1192" t="s">
        <v>35</v>
      </c>
      <c r="O1192" s="3"/>
      <c r="P1192" s="3"/>
    </row>
    <row r="1193" spans="1:16" x14ac:dyDescent="0.3">
      <c r="A1193" t="s">
        <v>2517</v>
      </c>
      <c r="B1193" s="9" t="s">
        <v>626</v>
      </c>
      <c r="C1193" s="20" t="str">
        <f t="shared" si="18"/>
        <v>Nov</v>
      </c>
      <c r="D1193" t="s">
        <v>444</v>
      </c>
      <c r="E1193" s="10" t="s">
        <v>634</v>
      </c>
      <c r="F1193" t="s">
        <v>32</v>
      </c>
      <c r="G1193" t="s">
        <v>33</v>
      </c>
      <c r="H1193" t="s">
        <v>34</v>
      </c>
      <c r="I1193">
        <v>4</v>
      </c>
      <c r="J1193" s="3">
        <v>31.86</v>
      </c>
      <c r="K1193" s="2">
        <v>0.1</v>
      </c>
      <c r="L1193" s="3">
        <v>114.7</v>
      </c>
      <c r="M1193" s="3">
        <v>21.98</v>
      </c>
      <c r="N1193" t="s">
        <v>20</v>
      </c>
      <c r="O1193" s="3"/>
      <c r="P1193" s="3"/>
    </row>
    <row r="1194" spans="1:16" x14ac:dyDescent="0.3">
      <c r="A1194" t="s">
        <v>2518</v>
      </c>
      <c r="B1194" s="9" t="s">
        <v>1581</v>
      </c>
      <c r="C1194" s="20" t="str">
        <f t="shared" si="18"/>
        <v>May</v>
      </c>
      <c r="D1194" t="s">
        <v>43</v>
      </c>
      <c r="E1194" s="10" t="s">
        <v>784</v>
      </c>
      <c r="F1194" t="s">
        <v>17</v>
      </c>
      <c r="G1194" t="s">
        <v>89</v>
      </c>
      <c r="H1194" t="s">
        <v>150</v>
      </c>
      <c r="I1194">
        <v>5</v>
      </c>
      <c r="J1194" s="3">
        <v>83.7</v>
      </c>
      <c r="K1194" s="2">
        <v>0.15</v>
      </c>
      <c r="L1194" s="3">
        <v>355.72</v>
      </c>
      <c r="M1194" s="3">
        <v>58.49</v>
      </c>
      <c r="N1194" t="s">
        <v>20</v>
      </c>
      <c r="O1194" s="3"/>
      <c r="P1194" s="3"/>
    </row>
    <row r="1195" spans="1:16" x14ac:dyDescent="0.3">
      <c r="A1195" t="s">
        <v>2519</v>
      </c>
      <c r="B1195" s="9" t="s">
        <v>1703</v>
      </c>
      <c r="C1195" s="20" t="str">
        <f t="shared" si="18"/>
        <v>Jan</v>
      </c>
      <c r="D1195" t="s">
        <v>1092</v>
      </c>
      <c r="E1195" s="10" t="s">
        <v>1463</v>
      </c>
      <c r="F1195" t="s">
        <v>17</v>
      </c>
      <c r="G1195" t="s">
        <v>26</v>
      </c>
      <c r="H1195" t="s">
        <v>118</v>
      </c>
      <c r="I1195">
        <v>8</v>
      </c>
      <c r="J1195" s="3">
        <v>97.32</v>
      </c>
      <c r="K1195" s="2">
        <v>0.1</v>
      </c>
      <c r="L1195" s="3">
        <v>700.7</v>
      </c>
      <c r="M1195" s="3">
        <v>135.26</v>
      </c>
      <c r="N1195" t="s">
        <v>20</v>
      </c>
      <c r="O1195" s="3"/>
      <c r="P1195" s="3"/>
    </row>
    <row r="1196" spans="1:16" x14ac:dyDescent="0.3">
      <c r="A1196" t="s">
        <v>2520</v>
      </c>
      <c r="B1196" s="9" t="s">
        <v>22</v>
      </c>
      <c r="C1196" s="20" t="str">
        <f t="shared" si="18"/>
        <v>Sep</v>
      </c>
      <c r="D1196" t="s">
        <v>192</v>
      </c>
      <c r="E1196" s="10" t="s">
        <v>466</v>
      </c>
      <c r="F1196" t="s">
        <v>59</v>
      </c>
      <c r="G1196" t="s">
        <v>33</v>
      </c>
      <c r="H1196" t="s">
        <v>50</v>
      </c>
      <c r="I1196">
        <v>5</v>
      </c>
      <c r="J1196" s="3">
        <v>37.83</v>
      </c>
      <c r="K1196" s="2">
        <v>0.1</v>
      </c>
      <c r="L1196" s="3">
        <v>170.23</v>
      </c>
      <c r="M1196" s="3">
        <v>42.96</v>
      </c>
      <c r="N1196" t="s">
        <v>20</v>
      </c>
      <c r="O1196" s="3"/>
      <c r="P1196" s="3"/>
    </row>
    <row r="1197" spans="1:16" x14ac:dyDescent="0.3">
      <c r="A1197" t="s">
        <v>2521</v>
      </c>
      <c r="B1197" s="9" t="s">
        <v>1049</v>
      </c>
      <c r="C1197" s="20" t="str">
        <f t="shared" si="18"/>
        <v>Aug</v>
      </c>
      <c r="D1197" t="s">
        <v>2522</v>
      </c>
      <c r="E1197" s="10" t="s">
        <v>2413</v>
      </c>
      <c r="F1197" t="s">
        <v>64</v>
      </c>
      <c r="G1197" t="s">
        <v>33</v>
      </c>
      <c r="H1197" t="s">
        <v>50</v>
      </c>
      <c r="I1197">
        <v>8</v>
      </c>
      <c r="J1197" s="3">
        <v>139.15</v>
      </c>
      <c r="K1197" s="2">
        <v>0.15</v>
      </c>
      <c r="L1197" s="3">
        <v>946.22</v>
      </c>
      <c r="M1197" s="3">
        <v>90.47</v>
      </c>
      <c r="N1197" t="s">
        <v>35</v>
      </c>
      <c r="O1197" s="3"/>
      <c r="P1197" s="3"/>
    </row>
    <row r="1198" spans="1:16" x14ac:dyDescent="0.3">
      <c r="A1198" t="s">
        <v>2523</v>
      </c>
      <c r="B1198" s="9" t="s">
        <v>1025</v>
      </c>
      <c r="C1198" s="20" t="str">
        <f t="shared" si="18"/>
        <v>Aug</v>
      </c>
      <c r="D1198" t="s">
        <v>555</v>
      </c>
      <c r="E1198" s="10" t="s">
        <v>1149</v>
      </c>
      <c r="F1198" t="s">
        <v>64</v>
      </c>
      <c r="G1198" t="s">
        <v>26</v>
      </c>
      <c r="H1198" t="s">
        <v>84</v>
      </c>
      <c r="I1198">
        <v>1</v>
      </c>
      <c r="J1198" s="3">
        <v>46.11</v>
      </c>
      <c r="K1198" s="2">
        <v>0.15</v>
      </c>
      <c r="L1198" s="3">
        <v>39.19</v>
      </c>
      <c r="M1198" s="3">
        <v>5.25</v>
      </c>
      <c r="N1198" t="s">
        <v>35</v>
      </c>
      <c r="O1198" s="3"/>
      <c r="P1198" s="3"/>
    </row>
    <row r="1199" spans="1:16" x14ac:dyDescent="0.3">
      <c r="A1199" t="s">
        <v>2524</v>
      </c>
      <c r="B1199" s="9" t="s">
        <v>686</v>
      </c>
      <c r="C1199" s="20" t="str">
        <f t="shared" si="18"/>
        <v>Aug</v>
      </c>
      <c r="D1199" t="s">
        <v>1558</v>
      </c>
      <c r="E1199" s="10" t="s">
        <v>695</v>
      </c>
      <c r="F1199" t="s">
        <v>59</v>
      </c>
      <c r="G1199" t="s">
        <v>26</v>
      </c>
      <c r="H1199" t="s">
        <v>27</v>
      </c>
      <c r="I1199">
        <v>4</v>
      </c>
      <c r="J1199" s="3">
        <v>136.82</v>
      </c>
      <c r="K1199" s="2">
        <v>0</v>
      </c>
      <c r="L1199" s="3">
        <v>547.28</v>
      </c>
      <c r="M1199" s="3">
        <v>68.89</v>
      </c>
      <c r="N1199" t="s">
        <v>40</v>
      </c>
      <c r="O1199" s="3"/>
      <c r="P1199" s="3"/>
    </row>
    <row r="1200" spans="1:16" x14ac:dyDescent="0.3">
      <c r="A1200" t="s">
        <v>2525</v>
      </c>
      <c r="B1200" s="9" t="s">
        <v>100</v>
      </c>
      <c r="C1200" s="20" t="str">
        <f t="shared" si="18"/>
        <v>Jul</v>
      </c>
      <c r="D1200" t="s">
        <v>1230</v>
      </c>
      <c r="E1200" s="10" t="s">
        <v>2078</v>
      </c>
      <c r="F1200" t="s">
        <v>59</v>
      </c>
      <c r="G1200" t="s">
        <v>26</v>
      </c>
      <c r="H1200" t="s">
        <v>27</v>
      </c>
      <c r="I1200">
        <v>5</v>
      </c>
      <c r="J1200" s="3">
        <v>101.46</v>
      </c>
      <c r="K1200" s="2">
        <v>0.05</v>
      </c>
      <c r="L1200" s="3">
        <v>481.93</v>
      </c>
      <c r="M1200" s="3">
        <v>89.58</v>
      </c>
      <c r="N1200" t="s">
        <v>40</v>
      </c>
      <c r="O1200" s="3"/>
      <c r="P1200" s="3"/>
    </row>
    <row r="1201" spans="1:16" x14ac:dyDescent="0.3">
      <c r="A1201" t="s">
        <v>2526</v>
      </c>
      <c r="B1201" s="9" t="s">
        <v>616</v>
      </c>
      <c r="C1201" s="20" t="str">
        <f t="shared" si="18"/>
        <v>Aug</v>
      </c>
      <c r="D1201" t="s">
        <v>2120</v>
      </c>
      <c r="E1201" s="10" t="s">
        <v>612</v>
      </c>
      <c r="F1201" t="s">
        <v>25</v>
      </c>
      <c r="G1201" t="s">
        <v>89</v>
      </c>
      <c r="H1201" t="s">
        <v>131</v>
      </c>
      <c r="I1201">
        <v>3</v>
      </c>
      <c r="J1201" s="3">
        <v>168.1</v>
      </c>
      <c r="K1201" s="2">
        <v>0</v>
      </c>
      <c r="L1201" s="3">
        <v>504.3</v>
      </c>
      <c r="M1201" s="3">
        <v>94.03</v>
      </c>
      <c r="N1201" t="s">
        <v>40</v>
      </c>
      <c r="O1201" s="3"/>
      <c r="P1201" s="3"/>
    </row>
    <row r="1202" spans="1:16" x14ac:dyDescent="0.3">
      <c r="A1202" t="s">
        <v>2527</v>
      </c>
      <c r="B1202" s="9" t="s">
        <v>1124</v>
      </c>
      <c r="C1202" s="20" t="str">
        <f t="shared" si="18"/>
        <v>Dec</v>
      </c>
      <c r="D1202" t="s">
        <v>1195</v>
      </c>
      <c r="E1202" s="10" t="s">
        <v>1182</v>
      </c>
      <c r="F1202" t="s">
        <v>64</v>
      </c>
      <c r="G1202" t="s">
        <v>26</v>
      </c>
      <c r="H1202" t="s">
        <v>84</v>
      </c>
      <c r="I1202">
        <v>3</v>
      </c>
      <c r="J1202" s="3">
        <v>181.68</v>
      </c>
      <c r="K1202" s="2">
        <v>0.15</v>
      </c>
      <c r="L1202" s="3">
        <v>463.28</v>
      </c>
      <c r="M1202" s="3">
        <v>119.34</v>
      </c>
      <c r="N1202" t="s">
        <v>40</v>
      </c>
      <c r="O1202" s="3"/>
      <c r="P1202" s="3"/>
    </row>
    <row r="1203" spans="1:16" x14ac:dyDescent="0.3">
      <c r="A1203" t="s">
        <v>2528</v>
      </c>
      <c r="B1203" s="9" t="s">
        <v>749</v>
      </c>
      <c r="C1203" s="20" t="str">
        <f t="shared" si="18"/>
        <v>Mar</v>
      </c>
      <c r="D1203" t="s">
        <v>834</v>
      </c>
      <c r="E1203" s="10" t="s">
        <v>254</v>
      </c>
      <c r="F1203" t="s">
        <v>17</v>
      </c>
      <c r="G1203" t="s">
        <v>33</v>
      </c>
      <c r="H1203" t="s">
        <v>74</v>
      </c>
      <c r="I1203">
        <v>1</v>
      </c>
      <c r="J1203" s="3">
        <v>120.8</v>
      </c>
      <c r="K1203" s="2">
        <v>0</v>
      </c>
      <c r="L1203" s="3">
        <v>120.8</v>
      </c>
      <c r="M1203" s="3">
        <v>22.93</v>
      </c>
      <c r="N1203" t="s">
        <v>40</v>
      </c>
      <c r="O1203" s="3"/>
      <c r="P1203" s="3"/>
    </row>
    <row r="1204" spans="1:16" x14ac:dyDescent="0.3">
      <c r="A1204" t="s">
        <v>2529</v>
      </c>
      <c r="B1204" s="9" t="s">
        <v>1609</v>
      </c>
      <c r="C1204" s="20" t="str">
        <f t="shared" si="18"/>
        <v>May</v>
      </c>
      <c r="D1204" t="s">
        <v>1978</v>
      </c>
      <c r="E1204" s="10" t="s">
        <v>63</v>
      </c>
      <c r="F1204" t="s">
        <v>17</v>
      </c>
      <c r="G1204" t="s">
        <v>89</v>
      </c>
      <c r="H1204" t="s">
        <v>131</v>
      </c>
      <c r="I1204">
        <v>8</v>
      </c>
      <c r="J1204" s="3">
        <v>55.29</v>
      </c>
      <c r="K1204" s="2">
        <v>0.1</v>
      </c>
      <c r="L1204" s="3">
        <v>398.09</v>
      </c>
      <c r="M1204" s="3">
        <v>48.21</v>
      </c>
      <c r="N1204" t="s">
        <v>40</v>
      </c>
      <c r="O1204" s="3"/>
      <c r="P1204" s="3"/>
    </row>
    <row r="1205" spans="1:16" x14ac:dyDescent="0.3">
      <c r="A1205" t="s">
        <v>2530</v>
      </c>
      <c r="B1205" s="9" t="s">
        <v>1037</v>
      </c>
      <c r="C1205" s="20" t="str">
        <f t="shared" si="18"/>
        <v>Oct</v>
      </c>
      <c r="D1205" t="s">
        <v>1181</v>
      </c>
      <c r="E1205" s="10" t="s">
        <v>135</v>
      </c>
      <c r="F1205" t="s">
        <v>32</v>
      </c>
      <c r="G1205" t="s">
        <v>33</v>
      </c>
      <c r="H1205" t="s">
        <v>34</v>
      </c>
      <c r="I1205">
        <v>2</v>
      </c>
      <c r="J1205" s="3">
        <v>184.2</v>
      </c>
      <c r="K1205" s="2">
        <v>0.05</v>
      </c>
      <c r="L1205" s="3">
        <v>349.98</v>
      </c>
      <c r="M1205" s="3">
        <v>99.28</v>
      </c>
      <c r="N1205" t="s">
        <v>20</v>
      </c>
      <c r="O1205" s="3"/>
      <c r="P1205" s="3"/>
    </row>
    <row r="1206" spans="1:16" x14ac:dyDescent="0.3">
      <c r="A1206" t="s">
        <v>2531</v>
      </c>
      <c r="B1206" s="9" t="s">
        <v>1226</v>
      </c>
      <c r="C1206" s="20" t="str">
        <f t="shared" si="18"/>
        <v>Nov</v>
      </c>
      <c r="D1206" t="s">
        <v>863</v>
      </c>
      <c r="E1206" s="10" t="s">
        <v>1323</v>
      </c>
      <c r="F1206" t="s">
        <v>17</v>
      </c>
      <c r="G1206" t="s">
        <v>33</v>
      </c>
      <c r="H1206" t="s">
        <v>69</v>
      </c>
      <c r="I1206">
        <v>3</v>
      </c>
      <c r="J1206" s="3">
        <v>248.12</v>
      </c>
      <c r="K1206" s="2">
        <v>0.15</v>
      </c>
      <c r="L1206" s="3">
        <v>632.71</v>
      </c>
      <c r="M1206" s="3">
        <v>152.63999999999999</v>
      </c>
      <c r="N1206" t="s">
        <v>35</v>
      </c>
      <c r="O1206" s="3"/>
      <c r="P1206" s="3"/>
    </row>
    <row r="1207" spans="1:16" x14ac:dyDescent="0.3">
      <c r="A1207" t="s">
        <v>2532</v>
      </c>
      <c r="B1207" s="9" t="s">
        <v>882</v>
      </c>
      <c r="C1207" s="20" t="str">
        <f t="shared" si="18"/>
        <v>Feb</v>
      </c>
      <c r="D1207" t="s">
        <v>1888</v>
      </c>
      <c r="E1207" s="10" t="s">
        <v>1295</v>
      </c>
      <c r="F1207" t="s">
        <v>25</v>
      </c>
      <c r="G1207" t="s">
        <v>89</v>
      </c>
      <c r="H1207" t="s">
        <v>90</v>
      </c>
      <c r="I1207">
        <v>7</v>
      </c>
      <c r="J1207" s="3">
        <v>110.01</v>
      </c>
      <c r="K1207" s="2">
        <v>0.1</v>
      </c>
      <c r="L1207" s="3">
        <v>693.06</v>
      </c>
      <c r="M1207" s="3">
        <v>58.24</v>
      </c>
      <c r="N1207" t="s">
        <v>35</v>
      </c>
      <c r="O1207" s="3"/>
      <c r="P1207" s="3"/>
    </row>
    <row r="1208" spans="1:16" x14ac:dyDescent="0.3">
      <c r="A1208" t="s">
        <v>2533</v>
      </c>
      <c r="B1208" s="9" t="s">
        <v>1352</v>
      </c>
      <c r="C1208" s="20" t="str">
        <f t="shared" si="18"/>
        <v>Apr</v>
      </c>
      <c r="D1208" t="s">
        <v>1090</v>
      </c>
      <c r="E1208" s="10" t="s">
        <v>1455</v>
      </c>
      <c r="F1208" t="s">
        <v>59</v>
      </c>
      <c r="G1208" t="s">
        <v>33</v>
      </c>
      <c r="H1208" t="s">
        <v>34</v>
      </c>
      <c r="I1208">
        <v>7</v>
      </c>
      <c r="J1208" s="3">
        <v>142.21</v>
      </c>
      <c r="K1208" s="2">
        <v>0.15</v>
      </c>
      <c r="L1208" s="3">
        <v>846.15</v>
      </c>
      <c r="M1208" s="3">
        <v>159.44</v>
      </c>
      <c r="N1208" t="s">
        <v>40</v>
      </c>
      <c r="O1208" s="3"/>
      <c r="P1208" s="3"/>
    </row>
    <row r="1209" spans="1:16" x14ac:dyDescent="0.3">
      <c r="A1209" t="s">
        <v>2534</v>
      </c>
      <c r="B1209" s="9" t="s">
        <v>1696</v>
      </c>
      <c r="C1209" s="20" t="str">
        <f t="shared" si="18"/>
        <v>Jun</v>
      </c>
      <c r="D1209" t="s">
        <v>1141</v>
      </c>
      <c r="E1209" s="10" t="s">
        <v>498</v>
      </c>
      <c r="F1209" t="s">
        <v>32</v>
      </c>
      <c r="G1209" t="s">
        <v>26</v>
      </c>
      <c r="H1209" t="s">
        <v>84</v>
      </c>
      <c r="I1209">
        <v>6</v>
      </c>
      <c r="J1209" s="3">
        <v>60.8</v>
      </c>
      <c r="K1209" s="2">
        <v>0</v>
      </c>
      <c r="L1209" s="3">
        <v>364.8</v>
      </c>
      <c r="M1209" s="3">
        <v>64.16</v>
      </c>
      <c r="N1209" t="s">
        <v>35</v>
      </c>
      <c r="O1209" s="3"/>
      <c r="P1209" s="3"/>
    </row>
    <row r="1210" spans="1:16" x14ac:dyDescent="0.3">
      <c r="A1210" t="s">
        <v>2535</v>
      </c>
      <c r="B1210" s="9" t="s">
        <v>140</v>
      </c>
      <c r="C1210" s="20" t="str">
        <f t="shared" si="18"/>
        <v>May</v>
      </c>
      <c r="D1210" t="s">
        <v>144</v>
      </c>
      <c r="E1210" s="10" t="s">
        <v>848</v>
      </c>
      <c r="F1210" t="s">
        <v>64</v>
      </c>
      <c r="G1210" t="s">
        <v>18</v>
      </c>
      <c r="H1210" t="s">
        <v>45</v>
      </c>
      <c r="I1210">
        <v>8</v>
      </c>
      <c r="J1210" s="3">
        <v>71.64</v>
      </c>
      <c r="K1210" s="2">
        <v>0.15</v>
      </c>
      <c r="L1210" s="3">
        <v>487.15</v>
      </c>
      <c r="M1210" s="3">
        <v>125.5</v>
      </c>
      <c r="N1210" t="s">
        <v>20</v>
      </c>
      <c r="O1210" s="3"/>
      <c r="P1210" s="3"/>
    </row>
    <row r="1211" spans="1:16" x14ac:dyDescent="0.3">
      <c r="A1211" t="s">
        <v>2536</v>
      </c>
      <c r="B1211" s="9" t="s">
        <v>1280</v>
      </c>
      <c r="C1211" s="20" t="str">
        <f t="shared" si="18"/>
        <v>Apr</v>
      </c>
      <c r="D1211" t="s">
        <v>2537</v>
      </c>
      <c r="E1211" s="10" t="s">
        <v>532</v>
      </c>
      <c r="F1211" t="s">
        <v>17</v>
      </c>
      <c r="G1211" t="s">
        <v>26</v>
      </c>
      <c r="H1211" t="s">
        <v>27</v>
      </c>
      <c r="I1211">
        <v>6</v>
      </c>
      <c r="J1211" s="3">
        <v>156.58000000000001</v>
      </c>
      <c r="K1211" s="2">
        <v>0.05</v>
      </c>
      <c r="L1211" s="3">
        <v>892.51</v>
      </c>
      <c r="M1211" s="3">
        <v>162.41</v>
      </c>
      <c r="N1211" t="s">
        <v>35</v>
      </c>
      <c r="O1211" s="3"/>
      <c r="P1211" s="3"/>
    </row>
    <row r="1212" spans="1:16" x14ac:dyDescent="0.3">
      <c r="A1212" t="s">
        <v>2538</v>
      </c>
      <c r="B1212" s="9" t="s">
        <v>349</v>
      </c>
      <c r="C1212" s="20" t="str">
        <f t="shared" si="18"/>
        <v>May</v>
      </c>
      <c r="D1212" t="s">
        <v>912</v>
      </c>
      <c r="E1212" s="10" t="s">
        <v>1632</v>
      </c>
      <c r="F1212" t="s">
        <v>32</v>
      </c>
      <c r="G1212" t="s">
        <v>26</v>
      </c>
      <c r="H1212" t="s">
        <v>118</v>
      </c>
      <c r="I1212">
        <v>6</v>
      </c>
      <c r="J1212" s="3">
        <v>13.23</v>
      </c>
      <c r="K1212" s="2">
        <v>0.1</v>
      </c>
      <c r="L1212" s="3">
        <v>71.44</v>
      </c>
      <c r="M1212" s="3">
        <v>20.399999999999999</v>
      </c>
      <c r="N1212" t="s">
        <v>20</v>
      </c>
      <c r="O1212" s="3"/>
      <c r="P1212" s="3"/>
    </row>
    <row r="1213" spans="1:16" x14ac:dyDescent="0.3">
      <c r="A1213" t="s">
        <v>2539</v>
      </c>
      <c r="B1213" s="9" t="s">
        <v>282</v>
      </c>
      <c r="C1213" s="20" t="str">
        <f t="shared" si="18"/>
        <v>Mar</v>
      </c>
      <c r="D1213" t="s">
        <v>691</v>
      </c>
      <c r="E1213" s="10" t="s">
        <v>153</v>
      </c>
      <c r="F1213" t="s">
        <v>64</v>
      </c>
      <c r="G1213" t="s">
        <v>33</v>
      </c>
      <c r="H1213" t="s">
        <v>34</v>
      </c>
      <c r="I1213">
        <v>7</v>
      </c>
      <c r="J1213" s="3">
        <v>97.9</v>
      </c>
      <c r="K1213" s="2">
        <v>0.1</v>
      </c>
      <c r="L1213" s="3">
        <v>616.77</v>
      </c>
      <c r="M1213" s="3">
        <v>79.290000000000006</v>
      </c>
      <c r="N1213" t="s">
        <v>40</v>
      </c>
      <c r="O1213" s="3"/>
      <c r="P1213" s="3"/>
    </row>
    <row r="1214" spans="1:16" x14ac:dyDescent="0.3">
      <c r="A1214" t="s">
        <v>2540</v>
      </c>
      <c r="B1214" s="9" t="s">
        <v>1013</v>
      </c>
      <c r="C1214" s="20" t="str">
        <f t="shared" si="18"/>
        <v>Dec</v>
      </c>
      <c r="D1214" t="s">
        <v>2541</v>
      </c>
      <c r="E1214" s="10" t="s">
        <v>2234</v>
      </c>
      <c r="F1214" t="s">
        <v>17</v>
      </c>
      <c r="G1214" t="s">
        <v>89</v>
      </c>
      <c r="H1214" t="s">
        <v>150</v>
      </c>
      <c r="I1214">
        <v>5</v>
      </c>
      <c r="J1214" s="3">
        <v>110.29</v>
      </c>
      <c r="K1214" s="2">
        <v>0.1</v>
      </c>
      <c r="L1214" s="3">
        <v>496.31</v>
      </c>
      <c r="M1214" s="3">
        <v>76.209999999999994</v>
      </c>
      <c r="N1214" t="s">
        <v>40</v>
      </c>
      <c r="O1214" s="3"/>
      <c r="P1214" s="3"/>
    </row>
    <row r="1215" spans="1:16" x14ac:dyDescent="0.3">
      <c r="A1215" t="s">
        <v>2542</v>
      </c>
      <c r="B1215" s="9" t="s">
        <v>663</v>
      </c>
      <c r="C1215" s="20" t="str">
        <f t="shared" si="18"/>
        <v>Oct</v>
      </c>
      <c r="D1215" t="s">
        <v>640</v>
      </c>
      <c r="E1215" s="10" t="s">
        <v>761</v>
      </c>
      <c r="F1215" t="s">
        <v>17</v>
      </c>
      <c r="G1215" t="s">
        <v>89</v>
      </c>
      <c r="H1215" t="s">
        <v>150</v>
      </c>
      <c r="I1215">
        <v>1</v>
      </c>
      <c r="J1215" s="3">
        <v>145.28</v>
      </c>
      <c r="K1215" s="2">
        <v>0.15</v>
      </c>
      <c r="L1215" s="3">
        <v>123.49</v>
      </c>
      <c r="M1215" s="3">
        <v>16.829999999999998</v>
      </c>
      <c r="N1215" t="s">
        <v>35</v>
      </c>
      <c r="O1215" s="3"/>
      <c r="P1215" s="3"/>
    </row>
    <row r="1216" spans="1:16" x14ac:dyDescent="0.3">
      <c r="A1216" t="s">
        <v>2543</v>
      </c>
      <c r="B1216" s="9" t="s">
        <v>246</v>
      </c>
      <c r="C1216" s="20" t="str">
        <f t="shared" si="18"/>
        <v>Aug</v>
      </c>
      <c r="D1216" t="s">
        <v>1391</v>
      </c>
      <c r="E1216" s="10" t="s">
        <v>2544</v>
      </c>
      <c r="F1216" t="s">
        <v>17</v>
      </c>
      <c r="G1216" t="s">
        <v>26</v>
      </c>
      <c r="H1216" t="s">
        <v>84</v>
      </c>
      <c r="I1216">
        <v>3</v>
      </c>
      <c r="J1216" s="3">
        <v>241.64</v>
      </c>
      <c r="K1216" s="2">
        <v>0.1</v>
      </c>
      <c r="L1216" s="3">
        <v>652.42999999999995</v>
      </c>
      <c r="M1216" s="3">
        <v>100.83</v>
      </c>
      <c r="N1216" t="s">
        <v>35</v>
      </c>
      <c r="O1216" s="3"/>
      <c r="P1216" s="3"/>
    </row>
    <row r="1217" spans="1:16" x14ac:dyDescent="0.3">
      <c r="A1217" t="s">
        <v>2545</v>
      </c>
      <c r="B1217" s="9" t="s">
        <v>439</v>
      </c>
      <c r="C1217" s="20" t="str">
        <f t="shared" si="18"/>
        <v>May</v>
      </c>
      <c r="D1217" t="s">
        <v>2181</v>
      </c>
      <c r="E1217" s="10" t="s">
        <v>495</v>
      </c>
      <c r="F1217" t="s">
        <v>17</v>
      </c>
      <c r="G1217" t="s">
        <v>18</v>
      </c>
      <c r="H1217" t="s">
        <v>45</v>
      </c>
      <c r="I1217">
        <v>6</v>
      </c>
      <c r="J1217" s="3">
        <v>123.1</v>
      </c>
      <c r="K1217" s="2">
        <v>0.05</v>
      </c>
      <c r="L1217" s="3">
        <v>701.67</v>
      </c>
      <c r="M1217" s="3">
        <v>75.31</v>
      </c>
      <c r="N1217" t="s">
        <v>20</v>
      </c>
      <c r="O1217" s="3"/>
      <c r="P1217" s="3"/>
    </row>
    <row r="1218" spans="1:16" x14ac:dyDescent="0.3">
      <c r="A1218" t="s">
        <v>2546</v>
      </c>
      <c r="B1218" s="9" t="s">
        <v>81</v>
      </c>
      <c r="C1218" s="20" t="str">
        <f t="shared" ref="C1218:C1281" si="19">TEXT(B:B, "mmm")</f>
        <v>Feb</v>
      </c>
      <c r="D1218" t="s">
        <v>870</v>
      </c>
      <c r="E1218" s="10" t="s">
        <v>1439</v>
      </c>
      <c r="F1218" t="s">
        <v>59</v>
      </c>
      <c r="G1218" t="s">
        <v>89</v>
      </c>
      <c r="H1218" t="s">
        <v>90</v>
      </c>
      <c r="I1218">
        <v>6</v>
      </c>
      <c r="J1218" s="3">
        <v>37.83</v>
      </c>
      <c r="K1218" s="2">
        <v>0.15</v>
      </c>
      <c r="L1218" s="3">
        <v>192.93</v>
      </c>
      <c r="M1218" s="3">
        <v>22.38</v>
      </c>
      <c r="N1218" t="s">
        <v>20</v>
      </c>
      <c r="O1218" s="3"/>
      <c r="P1218" s="3"/>
    </row>
    <row r="1219" spans="1:16" x14ac:dyDescent="0.3">
      <c r="A1219" t="s">
        <v>2547</v>
      </c>
      <c r="B1219" s="9" t="s">
        <v>306</v>
      </c>
      <c r="C1219" s="20" t="str">
        <f t="shared" si="19"/>
        <v>Jul</v>
      </c>
      <c r="D1219" t="s">
        <v>230</v>
      </c>
      <c r="E1219" s="10" t="s">
        <v>556</v>
      </c>
      <c r="F1219" t="s">
        <v>64</v>
      </c>
      <c r="G1219" t="s">
        <v>89</v>
      </c>
      <c r="H1219" t="s">
        <v>131</v>
      </c>
      <c r="I1219">
        <v>6</v>
      </c>
      <c r="J1219" s="3">
        <v>202.74</v>
      </c>
      <c r="K1219" s="2">
        <v>0.15</v>
      </c>
      <c r="L1219" s="3">
        <v>1033.97</v>
      </c>
      <c r="M1219" s="3">
        <v>219.24</v>
      </c>
      <c r="N1219" t="s">
        <v>35</v>
      </c>
      <c r="O1219" s="3"/>
      <c r="P1219" s="3"/>
    </row>
    <row r="1220" spans="1:16" x14ac:dyDescent="0.3">
      <c r="A1220" t="s">
        <v>2548</v>
      </c>
      <c r="B1220" s="9" t="s">
        <v>731</v>
      </c>
      <c r="C1220" s="20" t="str">
        <f t="shared" si="19"/>
        <v>Oct</v>
      </c>
      <c r="D1220" t="s">
        <v>1789</v>
      </c>
      <c r="E1220" s="10" t="s">
        <v>466</v>
      </c>
      <c r="F1220" t="s">
        <v>25</v>
      </c>
      <c r="G1220" t="s">
        <v>33</v>
      </c>
      <c r="H1220" t="s">
        <v>34</v>
      </c>
      <c r="I1220">
        <v>3</v>
      </c>
      <c r="J1220" s="3">
        <v>75.02</v>
      </c>
      <c r="K1220" s="2">
        <v>0</v>
      </c>
      <c r="L1220" s="3">
        <v>225.06</v>
      </c>
      <c r="M1220" s="3">
        <v>22.8</v>
      </c>
      <c r="N1220" t="s">
        <v>40</v>
      </c>
      <c r="O1220" s="3"/>
      <c r="P1220" s="3"/>
    </row>
    <row r="1221" spans="1:16" x14ac:dyDescent="0.3">
      <c r="A1221" t="s">
        <v>2549</v>
      </c>
      <c r="B1221" s="9" t="s">
        <v>2393</v>
      </c>
      <c r="C1221" s="20" t="str">
        <f t="shared" si="19"/>
        <v>Aug</v>
      </c>
      <c r="D1221" t="s">
        <v>1858</v>
      </c>
      <c r="E1221" s="10" t="s">
        <v>1056</v>
      </c>
      <c r="F1221" t="s">
        <v>32</v>
      </c>
      <c r="G1221" t="s">
        <v>26</v>
      </c>
      <c r="H1221" t="s">
        <v>27</v>
      </c>
      <c r="I1221">
        <v>2</v>
      </c>
      <c r="J1221" s="3">
        <v>21.64</v>
      </c>
      <c r="K1221" s="2">
        <v>0.15</v>
      </c>
      <c r="L1221" s="3">
        <v>36.79</v>
      </c>
      <c r="M1221" s="3">
        <v>8.5399999999999991</v>
      </c>
      <c r="N1221" t="s">
        <v>20</v>
      </c>
      <c r="O1221" s="3"/>
      <c r="P1221" s="3"/>
    </row>
    <row r="1222" spans="1:16" x14ac:dyDescent="0.3">
      <c r="A1222" t="s">
        <v>2550</v>
      </c>
      <c r="B1222" s="9" t="s">
        <v>1192</v>
      </c>
      <c r="C1222" s="20" t="str">
        <f t="shared" si="19"/>
        <v>Jun</v>
      </c>
      <c r="D1222" t="s">
        <v>1132</v>
      </c>
      <c r="E1222" s="10" t="s">
        <v>1675</v>
      </c>
      <c r="F1222" t="s">
        <v>59</v>
      </c>
      <c r="G1222" t="s">
        <v>18</v>
      </c>
      <c r="H1222" t="s">
        <v>19</v>
      </c>
      <c r="I1222">
        <v>4</v>
      </c>
      <c r="J1222" s="3">
        <v>209.53</v>
      </c>
      <c r="K1222" s="2">
        <v>0</v>
      </c>
      <c r="L1222" s="3">
        <v>838.12</v>
      </c>
      <c r="M1222" s="3">
        <v>232.35</v>
      </c>
      <c r="N1222" t="s">
        <v>20</v>
      </c>
      <c r="O1222" s="3"/>
      <c r="P1222" s="3"/>
    </row>
    <row r="1223" spans="1:16" x14ac:dyDescent="0.3">
      <c r="A1223" t="s">
        <v>2551</v>
      </c>
      <c r="B1223" s="9" t="s">
        <v>728</v>
      </c>
      <c r="C1223" s="20" t="str">
        <f t="shared" si="19"/>
        <v>Jun</v>
      </c>
      <c r="D1223" t="s">
        <v>1178</v>
      </c>
      <c r="E1223" s="10" t="s">
        <v>1362</v>
      </c>
      <c r="F1223" t="s">
        <v>17</v>
      </c>
      <c r="G1223" t="s">
        <v>33</v>
      </c>
      <c r="H1223" t="s">
        <v>69</v>
      </c>
      <c r="I1223">
        <v>5</v>
      </c>
      <c r="J1223" s="3">
        <v>79.09</v>
      </c>
      <c r="K1223" s="2">
        <v>0.05</v>
      </c>
      <c r="L1223" s="3">
        <v>375.68</v>
      </c>
      <c r="M1223" s="3">
        <v>86.47</v>
      </c>
      <c r="N1223" t="s">
        <v>20</v>
      </c>
      <c r="O1223" s="3"/>
      <c r="P1223" s="3"/>
    </row>
    <row r="1224" spans="1:16" x14ac:dyDescent="0.3">
      <c r="A1224" t="s">
        <v>2552</v>
      </c>
      <c r="B1224" s="9" t="s">
        <v>731</v>
      </c>
      <c r="C1224" s="20" t="str">
        <f t="shared" si="19"/>
        <v>Oct</v>
      </c>
      <c r="D1224" t="s">
        <v>853</v>
      </c>
      <c r="E1224" s="10" t="s">
        <v>161</v>
      </c>
      <c r="F1224" t="s">
        <v>32</v>
      </c>
      <c r="G1224" t="s">
        <v>33</v>
      </c>
      <c r="H1224" t="s">
        <v>34</v>
      </c>
      <c r="I1224">
        <v>2</v>
      </c>
      <c r="J1224" s="3">
        <v>233.52</v>
      </c>
      <c r="K1224" s="2">
        <v>0.15</v>
      </c>
      <c r="L1224" s="3">
        <v>396.98</v>
      </c>
      <c r="M1224" s="3">
        <v>89.33</v>
      </c>
      <c r="N1224" t="s">
        <v>20</v>
      </c>
      <c r="O1224" s="3"/>
      <c r="P1224" s="3"/>
    </row>
    <row r="1225" spans="1:16" x14ac:dyDescent="0.3">
      <c r="A1225" t="s">
        <v>2553</v>
      </c>
      <c r="B1225" s="9" t="s">
        <v>29</v>
      </c>
      <c r="C1225" s="20" t="str">
        <f t="shared" si="19"/>
        <v>Jun</v>
      </c>
      <c r="D1225" t="s">
        <v>468</v>
      </c>
      <c r="E1225" s="10" t="s">
        <v>669</v>
      </c>
      <c r="F1225" t="s">
        <v>59</v>
      </c>
      <c r="G1225" t="s">
        <v>18</v>
      </c>
      <c r="H1225" t="s">
        <v>19</v>
      </c>
      <c r="I1225">
        <v>5</v>
      </c>
      <c r="J1225" s="3">
        <v>170.57</v>
      </c>
      <c r="K1225" s="2">
        <v>0</v>
      </c>
      <c r="L1225" s="3">
        <v>852.85</v>
      </c>
      <c r="M1225" s="3">
        <v>140.59</v>
      </c>
      <c r="N1225" t="s">
        <v>40</v>
      </c>
      <c r="O1225" s="3"/>
      <c r="P1225" s="3"/>
    </row>
    <row r="1226" spans="1:16" x14ac:dyDescent="0.3">
      <c r="A1226" t="s">
        <v>2554</v>
      </c>
      <c r="B1226" s="9" t="s">
        <v>1620</v>
      </c>
      <c r="C1226" s="20" t="str">
        <f t="shared" si="19"/>
        <v>Oct</v>
      </c>
      <c r="D1226" t="s">
        <v>101</v>
      </c>
      <c r="E1226" s="10" t="s">
        <v>621</v>
      </c>
      <c r="F1226" t="s">
        <v>25</v>
      </c>
      <c r="G1226" t="s">
        <v>89</v>
      </c>
      <c r="H1226" t="s">
        <v>150</v>
      </c>
      <c r="I1226">
        <v>5</v>
      </c>
      <c r="J1226" s="3">
        <v>164.79</v>
      </c>
      <c r="K1226" s="2">
        <v>0.05</v>
      </c>
      <c r="L1226" s="3">
        <v>782.75</v>
      </c>
      <c r="M1226" s="3">
        <v>151.75</v>
      </c>
      <c r="N1226" t="s">
        <v>35</v>
      </c>
      <c r="O1226" s="3"/>
      <c r="P1226" s="3"/>
    </row>
    <row r="1227" spans="1:16" x14ac:dyDescent="0.3">
      <c r="A1227" t="s">
        <v>2555</v>
      </c>
      <c r="B1227" s="9" t="s">
        <v>752</v>
      </c>
      <c r="C1227" s="20" t="str">
        <f t="shared" si="19"/>
        <v>Dec</v>
      </c>
      <c r="D1227" t="s">
        <v>494</v>
      </c>
      <c r="E1227" s="10" t="s">
        <v>2239</v>
      </c>
      <c r="F1227" t="s">
        <v>32</v>
      </c>
      <c r="G1227" t="s">
        <v>89</v>
      </c>
      <c r="H1227" t="s">
        <v>90</v>
      </c>
      <c r="I1227">
        <v>3</v>
      </c>
      <c r="J1227" s="3">
        <v>135.81</v>
      </c>
      <c r="K1227" s="2">
        <v>0.15</v>
      </c>
      <c r="L1227" s="3">
        <v>346.32</v>
      </c>
      <c r="M1227" s="3">
        <v>67.430000000000007</v>
      </c>
      <c r="N1227" t="s">
        <v>20</v>
      </c>
      <c r="O1227" s="3"/>
      <c r="P1227" s="3"/>
    </row>
    <row r="1228" spans="1:16" x14ac:dyDescent="0.3">
      <c r="A1228" t="s">
        <v>2556</v>
      </c>
      <c r="B1228" s="9" t="s">
        <v>368</v>
      </c>
      <c r="C1228" s="20" t="str">
        <f t="shared" si="19"/>
        <v>Jul</v>
      </c>
      <c r="D1228" t="s">
        <v>409</v>
      </c>
      <c r="E1228" s="10" t="s">
        <v>1228</v>
      </c>
      <c r="F1228" t="s">
        <v>32</v>
      </c>
      <c r="G1228" t="s">
        <v>33</v>
      </c>
      <c r="H1228" t="s">
        <v>34</v>
      </c>
      <c r="I1228">
        <v>7</v>
      </c>
      <c r="J1228" s="3">
        <v>156.31</v>
      </c>
      <c r="K1228" s="2">
        <v>0.1</v>
      </c>
      <c r="L1228" s="3">
        <v>984.75</v>
      </c>
      <c r="M1228" s="3">
        <v>99.09</v>
      </c>
      <c r="N1228" t="s">
        <v>20</v>
      </c>
      <c r="O1228" s="3"/>
      <c r="P1228" s="3"/>
    </row>
    <row r="1229" spans="1:16" x14ac:dyDescent="0.3">
      <c r="A1229" t="s">
        <v>2557</v>
      </c>
      <c r="B1229" s="9" t="s">
        <v>701</v>
      </c>
      <c r="C1229" s="20" t="str">
        <f t="shared" si="19"/>
        <v>Nov</v>
      </c>
      <c r="D1229" t="s">
        <v>1092</v>
      </c>
      <c r="E1229" s="10" t="s">
        <v>1627</v>
      </c>
      <c r="F1229" t="s">
        <v>64</v>
      </c>
      <c r="G1229" t="s">
        <v>89</v>
      </c>
      <c r="H1229" t="s">
        <v>90</v>
      </c>
      <c r="I1229">
        <v>6</v>
      </c>
      <c r="J1229" s="3">
        <v>128.09</v>
      </c>
      <c r="K1229" s="2">
        <v>0.1</v>
      </c>
      <c r="L1229" s="3">
        <v>691.69</v>
      </c>
      <c r="M1229" s="3">
        <v>196.27</v>
      </c>
      <c r="N1229" t="s">
        <v>40</v>
      </c>
      <c r="O1229" s="3"/>
      <c r="P1229" s="3"/>
    </row>
    <row r="1230" spans="1:16" x14ac:dyDescent="0.3">
      <c r="A1230" t="s">
        <v>2558</v>
      </c>
      <c r="B1230" s="9" t="s">
        <v>1381</v>
      </c>
      <c r="C1230" s="20" t="str">
        <f t="shared" si="19"/>
        <v>May</v>
      </c>
      <c r="D1230" t="s">
        <v>1782</v>
      </c>
      <c r="E1230" s="10" t="s">
        <v>563</v>
      </c>
      <c r="F1230" t="s">
        <v>32</v>
      </c>
      <c r="G1230" t="s">
        <v>89</v>
      </c>
      <c r="H1230" t="s">
        <v>131</v>
      </c>
      <c r="I1230">
        <v>8</v>
      </c>
      <c r="J1230" s="3">
        <v>151.36000000000001</v>
      </c>
      <c r="K1230" s="2">
        <v>0.05</v>
      </c>
      <c r="L1230" s="3">
        <v>1150.3399999999999</v>
      </c>
      <c r="M1230" s="3">
        <v>130.47999999999999</v>
      </c>
      <c r="N1230" t="s">
        <v>20</v>
      </c>
      <c r="O1230" s="3"/>
      <c r="P1230" s="3"/>
    </row>
    <row r="1231" spans="1:16" x14ac:dyDescent="0.3">
      <c r="A1231" t="s">
        <v>2559</v>
      </c>
      <c r="B1231" s="9" t="s">
        <v>188</v>
      </c>
      <c r="C1231" s="20" t="str">
        <f t="shared" si="19"/>
        <v>Feb</v>
      </c>
      <c r="D1231" t="s">
        <v>2146</v>
      </c>
      <c r="E1231" s="10" t="s">
        <v>258</v>
      </c>
      <c r="F1231" t="s">
        <v>32</v>
      </c>
      <c r="G1231" t="s">
        <v>18</v>
      </c>
      <c r="H1231" t="s">
        <v>19</v>
      </c>
      <c r="I1231">
        <v>6</v>
      </c>
      <c r="J1231" s="3">
        <v>123.32</v>
      </c>
      <c r="K1231" s="2">
        <v>0.1</v>
      </c>
      <c r="L1231" s="3">
        <v>665.93</v>
      </c>
      <c r="M1231" s="3">
        <v>83.79</v>
      </c>
      <c r="N1231" t="s">
        <v>40</v>
      </c>
      <c r="O1231" s="3"/>
      <c r="P1231" s="3"/>
    </row>
    <row r="1232" spans="1:16" x14ac:dyDescent="0.3">
      <c r="A1232" t="s">
        <v>2560</v>
      </c>
      <c r="B1232" s="9" t="s">
        <v>500</v>
      </c>
      <c r="C1232" s="20" t="str">
        <f t="shared" si="19"/>
        <v>Nov</v>
      </c>
      <c r="D1232" t="s">
        <v>1920</v>
      </c>
      <c r="E1232" s="10" t="s">
        <v>844</v>
      </c>
      <c r="F1232" t="s">
        <v>32</v>
      </c>
      <c r="G1232" t="s">
        <v>26</v>
      </c>
      <c r="H1232" t="s">
        <v>27</v>
      </c>
      <c r="I1232">
        <v>1</v>
      </c>
      <c r="J1232" s="3">
        <v>63.15</v>
      </c>
      <c r="K1232" s="2">
        <v>0.15</v>
      </c>
      <c r="L1232" s="3">
        <v>53.68</v>
      </c>
      <c r="M1232" s="3">
        <v>7.02</v>
      </c>
      <c r="N1232" t="s">
        <v>20</v>
      </c>
      <c r="O1232" s="3"/>
      <c r="P1232" s="3"/>
    </row>
    <row r="1233" spans="1:16" x14ac:dyDescent="0.3">
      <c r="A1233" t="s">
        <v>2561</v>
      </c>
      <c r="B1233" s="9" t="s">
        <v>104</v>
      </c>
      <c r="C1233" s="20" t="str">
        <f t="shared" si="19"/>
        <v>May</v>
      </c>
      <c r="D1233" t="s">
        <v>1181</v>
      </c>
      <c r="E1233" s="10" t="s">
        <v>1969</v>
      </c>
      <c r="F1233" t="s">
        <v>59</v>
      </c>
      <c r="G1233" t="s">
        <v>33</v>
      </c>
      <c r="H1233" t="s">
        <v>69</v>
      </c>
      <c r="I1233">
        <v>3</v>
      </c>
      <c r="J1233" s="3">
        <v>232.67</v>
      </c>
      <c r="K1233" s="2">
        <v>0</v>
      </c>
      <c r="L1233" s="3">
        <v>698.01</v>
      </c>
      <c r="M1233" s="3">
        <v>66.13</v>
      </c>
      <c r="N1233" t="s">
        <v>20</v>
      </c>
      <c r="O1233" s="3"/>
      <c r="P1233" s="3"/>
    </row>
    <row r="1234" spans="1:16" x14ac:dyDescent="0.3">
      <c r="A1234" t="s">
        <v>2562</v>
      </c>
      <c r="B1234" s="9" t="s">
        <v>210</v>
      </c>
      <c r="C1234" s="20" t="str">
        <f t="shared" si="19"/>
        <v>Mar</v>
      </c>
      <c r="D1234" t="s">
        <v>2563</v>
      </c>
      <c r="E1234" s="10" t="s">
        <v>1525</v>
      </c>
      <c r="F1234" t="s">
        <v>25</v>
      </c>
      <c r="G1234" t="s">
        <v>18</v>
      </c>
      <c r="H1234" t="s">
        <v>45</v>
      </c>
      <c r="I1234">
        <v>3</v>
      </c>
      <c r="J1234" s="3">
        <v>56.16</v>
      </c>
      <c r="K1234" s="2">
        <v>0.05</v>
      </c>
      <c r="L1234" s="3">
        <v>160.06</v>
      </c>
      <c r="M1234" s="3">
        <v>24.3</v>
      </c>
      <c r="N1234" t="s">
        <v>40</v>
      </c>
      <c r="O1234" s="3"/>
      <c r="P1234" s="3"/>
    </row>
    <row r="1235" spans="1:16" x14ac:dyDescent="0.3">
      <c r="A1235" t="s">
        <v>2564</v>
      </c>
      <c r="B1235" s="9" t="s">
        <v>324</v>
      </c>
      <c r="C1235" s="20" t="str">
        <f t="shared" si="19"/>
        <v>Jan</v>
      </c>
      <c r="D1235" t="s">
        <v>458</v>
      </c>
      <c r="E1235" s="10" t="s">
        <v>157</v>
      </c>
      <c r="F1235" t="s">
        <v>17</v>
      </c>
      <c r="G1235" t="s">
        <v>89</v>
      </c>
      <c r="H1235" t="s">
        <v>150</v>
      </c>
      <c r="I1235">
        <v>7</v>
      </c>
      <c r="J1235" s="3">
        <v>143.29</v>
      </c>
      <c r="K1235" s="2">
        <v>0.05</v>
      </c>
      <c r="L1235" s="3">
        <v>952.88</v>
      </c>
      <c r="M1235" s="3">
        <v>205.08</v>
      </c>
      <c r="N1235" t="s">
        <v>35</v>
      </c>
      <c r="O1235" s="3"/>
      <c r="P1235" s="3"/>
    </row>
    <row r="1236" spans="1:16" x14ac:dyDescent="0.3">
      <c r="A1236" t="s">
        <v>2565</v>
      </c>
      <c r="B1236" s="9" t="s">
        <v>768</v>
      </c>
      <c r="C1236" s="20" t="str">
        <f t="shared" si="19"/>
        <v>Jun</v>
      </c>
      <c r="D1236" t="s">
        <v>121</v>
      </c>
      <c r="E1236" s="10" t="s">
        <v>280</v>
      </c>
      <c r="F1236" t="s">
        <v>32</v>
      </c>
      <c r="G1236" t="s">
        <v>26</v>
      </c>
      <c r="H1236" t="s">
        <v>118</v>
      </c>
      <c r="I1236">
        <v>8</v>
      </c>
      <c r="J1236" s="3">
        <v>20.12</v>
      </c>
      <c r="K1236" s="2">
        <v>0.1</v>
      </c>
      <c r="L1236" s="3">
        <v>144.86000000000001</v>
      </c>
      <c r="M1236" s="3">
        <v>22.46</v>
      </c>
      <c r="N1236" t="s">
        <v>40</v>
      </c>
      <c r="O1236" s="3"/>
      <c r="P1236" s="3"/>
    </row>
    <row r="1237" spans="1:16" x14ac:dyDescent="0.3">
      <c r="A1237" t="s">
        <v>2566</v>
      </c>
      <c r="B1237" s="9" t="s">
        <v>1715</v>
      </c>
      <c r="C1237" s="20" t="str">
        <f t="shared" si="19"/>
        <v>Dec</v>
      </c>
      <c r="D1237" t="s">
        <v>283</v>
      </c>
      <c r="E1237" s="10" t="s">
        <v>839</v>
      </c>
      <c r="F1237" t="s">
        <v>64</v>
      </c>
      <c r="G1237" t="s">
        <v>26</v>
      </c>
      <c r="H1237" t="s">
        <v>118</v>
      </c>
      <c r="I1237">
        <v>5</v>
      </c>
      <c r="J1237" s="3">
        <v>249.12</v>
      </c>
      <c r="K1237" s="2">
        <v>0.1</v>
      </c>
      <c r="L1237" s="3">
        <v>1121.04</v>
      </c>
      <c r="M1237" s="3">
        <v>272.70999999999998</v>
      </c>
      <c r="N1237" t="s">
        <v>35</v>
      </c>
      <c r="O1237" s="3"/>
      <c r="P1237" s="3"/>
    </row>
    <row r="1238" spans="1:16" x14ac:dyDescent="0.3">
      <c r="A1238" t="s">
        <v>2567</v>
      </c>
      <c r="B1238" s="9" t="s">
        <v>1650</v>
      </c>
      <c r="C1238" s="20" t="str">
        <f t="shared" si="19"/>
        <v>Sep</v>
      </c>
      <c r="D1238" t="s">
        <v>236</v>
      </c>
      <c r="E1238" s="10" t="s">
        <v>1323</v>
      </c>
      <c r="F1238" t="s">
        <v>25</v>
      </c>
      <c r="G1238" t="s">
        <v>89</v>
      </c>
      <c r="H1238" t="s">
        <v>150</v>
      </c>
      <c r="I1238">
        <v>4</v>
      </c>
      <c r="J1238" s="3">
        <v>13.11</v>
      </c>
      <c r="K1238" s="2">
        <v>0.05</v>
      </c>
      <c r="L1238" s="3">
        <v>49.82</v>
      </c>
      <c r="M1238" s="3">
        <v>12.78</v>
      </c>
      <c r="N1238" t="s">
        <v>35</v>
      </c>
      <c r="O1238" s="3"/>
      <c r="P1238" s="3"/>
    </row>
    <row r="1239" spans="1:16" x14ac:dyDescent="0.3">
      <c r="A1239" t="s">
        <v>2568</v>
      </c>
      <c r="B1239" s="9" t="s">
        <v>974</v>
      </c>
      <c r="C1239" s="20" t="str">
        <f t="shared" si="19"/>
        <v>May</v>
      </c>
      <c r="D1239" t="s">
        <v>984</v>
      </c>
      <c r="E1239" s="10" t="s">
        <v>2096</v>
      </c>
      <c r="F1239" t="s">
        <v>59</v>
      </c>
      <c r="G1239" t="s">
        <v>33</v>
      </c>
      <c r="H1239" t="s">
        <v>69</v>
      </c>
      <c r="I1239">
        <v>3</v>
      </c>
      <c r="J1239" s="3">
        <v>106</v>
      </c>
      <c r="K1239" s="2">
        <v>0.15</v>
      </c>
      <c r="L1239" s="3">
        <v>270.3</v>
      </c>
      <c r="M1239" s="3">
        <v>71.55</v>
      </c>
      <c r="N1239" t="s">
        <v>35</v>
      </c>
      <c r="O1239" s="3"/>
      <c r="P1239" s="3"/>
    </row>
    <row r="1240" spans="1:16" x14ac:dyDescent="0.3">
      <c r="A1240" t="s">
        <v>2569</v>
      </c>
      <c r="B1240" s="9" t="s">
        <v>338</v>
      </c>
      <c r="C1240" s="20" t="str">
        <f t="shared" si="19"/>
        <v>Dec</v>
      </c>
      <c r="D1240" t="s">
        <v>2537</v>
      </c>
      <c r="E1240" s="10" t="s">
        <v>1426</v>
      </c>
      <c r="F1240" t="s">
        <v>25</v>
      </c>
      <c r="G1240" t="s">
        <v>18</v>
      </c>
      <c r="H1240" t="s">
        <v>45</v>
      </c>
      <c r="I1240">
        <v>2</v>
      </c>
      <c r="J1240" s="3">
        <v>228.59</v>
      </c>
      <c r="K1240" s="2">
        <v>0.15</v>
      </c>
      <c r="L1240" s="3">
        <v>388.6</v>
      </c>
      <c r="M1240" s="3">
        <v>98.73</v>
      </c>
      <c r="N1240" t="s">
        <v>40</v>
      </c>
      <c r="O1240" s="3"/>
      <c r="P1240" s="3"/>
    </row>
    <row r="1241" spans="1:16" x14ac:dyDescent="0.3">
      <c r="A1241" t="s">
        <v>2570</v>
      </c>
      <c r="B1241" s="9" t="s">
        <v>42</v>
      </c>
      <c r="C1241" s="20" t="str">
        <f t="shared" si="19"/>
        <v>Jul</v>
      </c>
      <c r="D1241" t="s">
        <v>1825</v>
      </c>
      <c r="E1241" s="10" t="s">
        <v>528</v>
      </c>
      <c r="F1241" t="s">
        <v>64</v>
      </c>
      <c r="G1241" t="s">
        <v>89</v>
      </c>
      <c r="H1241" t="s">
        <v>90</v>
      </c>
      <c r="I1241">
        <v>7</v>
      </c>
      <c r="J1241" s="3">
        <v>124.37</v>
      </c>
      <c r="K1241" s="2">
        <v>0.15</v>
      </c>
      <c r="L1241" s="3">
        <v>740</v>
      </c>
      <c r="M1241" s="3">
        <v>212.49</v>
      </c>
      <c r="N1241" t="s">
        <v>35</v>
      </c>
      <c r="O1241" s="3"/>
      <c r="P1241" s="3"/>
    </row>
    <row r="1242" spans="1:16" x14ac:dyDescent="0.3">
      <c r="A1242" t="s">
        <v>2571</v>
      </c>
      <c r="B1242" s="9" t="s">
        <v>2572</v>
      </c>
      <c r="C1242" s="20" t="str">
        <f t="shared" si="19"/>
        <v>Sep</v>
      </c>
      <c r="D1242" t="s">
        <v>2537</v>
      </c>
      <c r="E1242" s="10" t="s">
        <v>919</v>
      </c>
      <c r="F1242" t="s">
        <v>25</v>
      </c>
      <c r="G1242" t="s">
        <v>18</v>
      </c>
      <c r="H1242" t="s">
        <v>19</v>
      </c>
      <c r="I1242">
        <v>4</v>
      </c>
      <c r="J1242" s="3">
        <v>132.62</v>
      </c>
      <c r="K1242" s="2">
        <v>0.05</v>
      </c>
      <c r="L1242" s="3">
        <v>503.96</v>
      </c>
      <c r="M1242" s="3">
        <v>122.76</v>
      </c>
      <c r="N1242" t="s">
        <v>35</v>
      </c>
      <c r="O1242" s="3"/>
      <c r="P1242" s="3"/>
    </row>
    <row r="1243" spans="1:16" x14ac:dyDescent="0.3">
      <c r="A1243" t="s">
        <v>2573</v>
      </c>
      <c r="B1243" s="9" t="s">
        <v>252</v>
      </c>
      <c r="C1243" s="20" t="str">
        <f t="shared" si="19"/>
        <v>Mar</v>
      </c>
      <c r="D1243" t="s">
        <v>2574</v>
      </c>
      <c r="E1243" s="10" t="s">
        <v>2408</v>
      </c>
      <c r="F1243" t="s">
        <v>64</v>
      </c>
      <c r="G1243" t="s">
        <v>26</v>
      </c>
      <c r="H1243" t="s">
        <v>84</v>
      </c>
      <c r="I1243">
        <v>1</v>
      </c>
      <c r="J1243" s="3">
        <v>27.33</v>
      </c>
      <c r="K1243" s="2">
        <v>0.05</v>
      </c>
      <c r="L1243" s="3">
        <v>25.96</v>
      </c>
      <c r="M1243" s="3">
        <v>5.5</v>
      </c>
      <c r="N1243" t="s">
        <v>40</v>
      </c>
      <c r="O1243" s="3"/>
      <c r="P1243" s="3"/>
    </row>
    <row r="1244" spans="1:16" x14ac:dyDescent="0.3">
      <c r="A1244" t="s">
        <v>2575</v>
      </c>
      <c r="B1244" s="9" t="s">
        <v>338</v>
      </c>
      <c r="C1244" s="20" t="str">
        <f t="shared" si="19"/>
        <v>Dec</v>
      </c>
      <c r="D1244" t="s">
        <v>1147</v>
      </c>
      <c r="E1244" s="10" t="s">
        <v>1218</v>
      </c>
      <c r="F1244" t="s">
        <v>17</v>
      </c>
      <c r="G1244" t="s">
        <v>33</v>
      </c>
      <c r="H1244" t="s">
        <v>69</v>
      </c>
      <c r="I1244">
        <v>4</v>
      </c>
      <c r="J1244" s="3">
        <v>53.05</v>
      </c>
      <c r="K1244" s="2">
        <v>0.1</v>
      </c>
      <c r="L1244" s="3">
        <v>190.98</v>
      </c>
      <c r="M1244" s="3">
        <v>18.04</v>
      </c>
      <c r="N1244" t="s">
        <v>35</v>
      </c>
      <c r="O1244" s="3"/>
      <c r="P1244" s="3"/>
    </row>
    <row r="1245" spans="1:16" x14ac:dyDescent="0.3">
      <c r="A1245" t="s">
        <v>2576</v>
      </c>
      <c r="B1245" s="9" t="s">
        <v>1626</v>
      </c>
      <c r="C1245" s="20" t="str">
        <f t="shared" si="19"/>
        <v>Oct</v>
      </c>
      <c r="D1245" t="s">
        <v>831</v>
      </c>
      <c r="E1245" s="10" t="s">
        <v>2577</v>
      </c>
      <c r="F1245" t="s">
        <v>25</v>
      </c>
      <c r="G1245" t="s">
        <v>26</v>
      </c>
      <c r="H1245" t="s">
        <v>27</v>
      </c>
      <c r="I1245">
        <v>6</v>
      </c>
      <c r="J1245" s="3">
        <v>122.29</v>
      </c>
      <c r="K1245" s="2">
        <v>0.05</v>
      </c>
      <c r="L1245" s="3">
        <v>697.05</v>
      </c>
      <c r="M1245" s="3">
        <v>198.6</v>
      </c>
      <c r="N1245" t="s">
        <v>35</v>
      </c>
      <c r="O1245" s="3"/>
      <c r="P1245" s="3"/>
    </row>
    <row r="1246" spans="1:16" x14ac:dyDescent="0.3">
      <c r="A1246" t="s">
        <v>2578</v>
      </c>
      <c r="B1246" s="9" t="s">
        <v>327</v>
      </c>
      <c r="C1246" s="20" t="str">
        <f t="shared" si="19"/>
        <v>Sep</v>
      </c>
      <c r="D1246" t="s">
        <v>480</v>
      </c>
      <c r="E1246" s="10" t="s">
        <v>906</v>
      </c>
      <c r="F1246" t="s">
        <v>59</v>
      </c>
      <c r="G1246" t="s">
        <v>33</v>
      </c>
      <c r="H1246" t="s">
        <v>34</v>
      </c>
      <c r="I1246">
        <v>3</v>
      </c>
      <c r="J1246" s="3">
        <v>17.47</v>
      </c>
      <c r="K1246" s="2">
        <v>0.05</v>
      </c>
      <c r="L1246" s="3">
        <v>49.79</v>
      </c>
      <c r="M1246" s="3">
        <v>11.81</v>
      </c>
      <c r="N1246" t="s">
        <v>20</v>
      </c>
      <c r="O1246" s="3"/>
      <c r="P1246" s="3"/>
    </row>
    <row r="1247" spans="1:16" x14ac:dyDescent="0.3">
      <c r="A1247" t="s">
        <v>2579</v>
      </c>
      <c r="B1247" s="9" t="s">
        <v>1159</v>
      </c>
      <c r="C1247" s="20" t="str">
        <f t="shared" si="19"/>
        <v>Aug</v>
      </c>
      <c r="D1247" t="s">
        <v>2580</v>
      </c>
      <c r="E1247" s="10" t="s">
        <v>2020</v>
      </c>
      <c r="F1247" t="s">
        <v>32</v>
      </c>
      <c r="G1247" t="s">
        <v>18</v>
      </c>
      <c r="H1247" t="s">
        <v>19</v>
      </c>
      <c r="I1247">
        <v>7</v>
      </c>
      <c r="J1247" s="3">
        <v>246.31</v>
      </c>
      <c r="K1247" s="2">
        <v>0.15</v>
      </c>
      <c r="L1247" s="3">
        <v>1465.54</v>
      </c>
      <c r="M1247" s="3">
        <v>271.31</v>
      </c>
      <c r="N1247" t="s">
        <v>20</v>
      </c>
      <c r="O1247" s="3"/>
      <c r="P1247" s="3"/>
    </row>
    <row r="1248" spans="1:16" x14ac:dyDescent="0.3">
      <c r="A1248" t="s">
        <v>2581</v>
      </c>
      <c r="B1248" s="9" t="s">
        <v>915</v>
      </c>
      <c r="C1248" s="20" t="str">
        <f t="shared" si="19"/>
        <v>Mar</v>
      </c>
      <c r="D1248" t="s">
        <v>1998</v>
      </c>
      <c r="E1248" s="10" t="s">
        <v>1423</v>
      </c>
      <c r="F1248" t="s">
        <v>17</v>
      </c>
      <c r="G1248" t="s">
        <v>18</v>
      </c>
      <c r="H1248" t="s">
        <v>79</v>
      </c>
      <c r="I1248">
        <v>5</v>
      </c>
      <c r="J1248" s="3">
        <v>227.4</v>
      </c>
      <c r="K1248" s="2">
        <v>0.05</v>
      </c>
      <c r="L1248" s="3">
        <v>1080.1500000000001</v>
      </c>
      <c r="M1248" s="3">
        <v>137.03</v>
      </c>
      <c r="N1248" t="s">
        <v>35</v>
      </c>
      <c r="O1248" s="3"/>
      <c r="P1248" s="3"/>
    </row>
    <row r="1249" spans="1:16" x14ac:dyDescent="0.3">
      <c r="A1249" t="s">
        <v>2582</v>
      </c>
      <c r="B1249" s="9" t="s">
        <v>764</v>
      </c>
      <c r="C1249" s="20" t="str">
        <f t="shared" si="19"/>
        <v>Nov</v>
      </c>
      <c r="D1249" t="s">
        <v>1302</v>
      </c>
      <c r="E1249" s="10" t="s">
        <v>546</v>
      </c>
      <c r="F1249" t="s">
        <v>17</v>
      </c>
      <c r="G1249" t="s">
        <v>26</v>
      </c>
      <c r="H1249" t="s">
        <v>84</v>
      </c>
      <c r="I1249">
        <v>6</v>
      </c>
      <c r="J1249" s="3">
        <v>103.99</v>
      </c>
      <c r="K1249" s="2">
        <v>0.05</v>
      </c>
      <c r="L1249" s="3">
        <v>592.74</v>
      </c>
      <c r="M1249" s="3">
        <v>88.44</v>
      </c>
      <c r="N1249" t="s">
        <v>20</v>
      </c>
      <c r="O1249" s="3"/>
      <c r="P1249" s="3"/>
    </row>
    <row r="1250" spans="1:16" x14ac:dyDescent="0.3">
      <c r="A1250" t="s">
        <v>2583</v>
      </c>
      <c r="B1250" s="9" t="s">
        <v>1384</v>
      </c>
      <c r="C1250" s="20" t="str">
        <f t="shared" si="19"/>
        <v>Jun</v>
      </c>
      <c r="D1250" t="s">
        <v>1922</v>
      </c>
      <c r="E1250" s="10" t="s">
        <v>73</v>
      </c>
      <c r="F1250" t="s">
        <v>17</v>
      </c>
      <c r="G1250" t="s">
        <v>18</v>
      </c>
      <c r="H1250" t="s">
        <v>19</v>
      </c>
      <c r="I1250">
        <v>6</v>
      </c>
      <c r="J1250" s="3">
        <v>224.71</v>
      </c>
      <c r="K1250" s="2">
        <v>0.15</v>
      </c>
      <c r="L1250" s="3">
        <v>1146.02</v>
      </c>
      <c r="M1250" s="3">
        <v>183</v>
      </c>
      <c r="N1250" t="s">
        <v>35</v>
      </c>
      <c r="O1250" s="3"/>
      <c r="P1250" s="3"/>
    </row>
    <row r="1251" spans="1:16" x14ac:dyDescent="0.3">
      <c r="A1251" t="s">
        <v>2584</v>
      </c>
      <c r="B1251" s="9" t="s">
        <v>368</v>
      </c>
      <c r="C1251" s="20" t="str">
        <f t="shared" si="19"/>
        <v>Jul</v>
      </c>
      <c r="D1251" t="s">
        <v>2394</v>
      </c>
      <c r="E1251" s="10" t="s">
        <v>380</v>
      </c>
      <c r="F1251" t="s">
        <v>17</v>
      </c>
      <c r="G1251" t="s">
        <v>26</v>
      </c>
      <c r="H1251" t="s">
        <v>27</v>
      </c>
      <c r="I1251">
        <v>3</v>
      </c>
      <c r="J1251" s="3">
        <v>67.88</v>
      </c>
      <c r="K1251" s="2">
        <v>0.1</v>
      </c>
      <c r="L1251" s="3">
        <v>183.28</v>
      </c>
      <c r="M1251" s="3">
        <v>41.09</v>
      </c>
      <c r="N1251" t="s">
        <v>35</v>
      </c>
      <c r="O1251" s="3"/>
      <c r="P1251" s="3"/>
    </row>
    <row r="1252" spans="1:16" x14ac:dyDescent="0.3">
      <c r="A1252" t="s">
        <v>2585</v>
      </c>
      <c r="B1252" s="9" t="s">
        <v>964</v>
      </c>
      <c r="C1252" s="20" t="str">
        <f t="shared" si="19"/>
        <v>Oct</v>
      </c>
      <c r="D1252" t="s">
        <v>824</v>
      </c>
      <c r="E1252" s="10" t="s">
        <v>874</v>
      </c>
      <c r="F1252" t="s">
        <v>59</v>
      </c>
      <c r="G1252" t="s">
        <v>33</v>
      </c>
      <c r="H1252" t="s">
        <v>69</v>
      </c>
      <c r="I1252">
        <v>8</v>
      </c>
      <c r="J1252" s="3">
        <v>146.15</v>
      </c>
      <c r="K1252" s="2">
        <v>0.1</v>
      </c>
      <c r="L1252" s="3">
        <v>1052.28</v>
      </c>
      <c r="M1252" s="3">
        <v>248.7</v>
      </c>
      <c r="N1252" t="s">
        <v>35</v>
      </c>
      <c r="O1252" s="3"/>
      <c r="P1252" s="3"/>
    </row>
    <row r="1253" spans="1:16" x14ac:dyDescent="0.3">
      <c r="A1253" t="s">
        <v>2586</v>
      </c>
      <c r="B1253" s="9" t="s">
        <v>365</v>
      </c>
      <c r="C1253" s="20" t="str">
        <f t="shared" si="19"/>
        <v>Nov</v>
      </c>
      <c r="D1253" t="s">
        <v>834</v>
      </c>
      <c r="E1253" s="10" t="s">
        <v>1142</v>
      </c>
      <c r="F1253" t="s">
        <v>25</v>
      </c>
      <c r="G1253" t="s">
        <v>26</v>
      </c>
      <c r="H1253" t="s">
        <v>84</v>
      </c>
      <c r="I1253">
        <v>1</v>
      </c>
      <c r="J1253" s="3">
        <v>236.95</v>
      </c>
      <c r="K1253" s="2">
        <v>0</v>
      </c>
      <c r="L1253" s="3">
        <v>236.95</v>
      </c>
      <c r="M1253" s="3">
        <v>57</v>
      </c>
      <c r="N1253" t="s">
        <v>20</v>
      </c>
      <c r="O1253" s="3"/>
      <c r="P1253" s="3"/>
    </row>
    <row r="1254" spans="1:16" x14ac:dyDescent="0.3">
      <c r="A1254" t="s">
        <v>2587</v>
      </c>
      <c r="B1254" s="9" t="s">
        <v>2588</v>
      </c>
      <c r="C1254" s="20" t="str">
        <f t="shared" si="19"/>
        <v>May</v>
      </c>
      <c r="D1254" t="s">
        <v>991</v>
      </c>
      <c r="E1254" s="10" t="s">
        <v>1077</v>
      </c>
      <c r="F1254" t="s">
        <v>25</v>
      </c>
      <c r="G1254" t="s">
        <v>33</v>
      </c>
      <c r="H1254" t="s">
        <v>74</v>
      </c>
      <c r="I1254">
        <v>2</v>
      </c>
      <c r="J1254" s="3">
        <v>213.59</v>
      </c>
      <c r="K1254" s="2">
        <v>0.05</v>
      </c>
      <c r="L1254" s="3">
        <v>405.82</v>
      </c>
      <c r="M1254" s="3">
        <v>117.41</v>
      </c>
      <c r="N1254" t="s">
        <v>20</v>
      </c>
      <c r="O1254" s="3"/>
      <c r="P1254" s="3"/>
    </row>
    <row r="1255" spans="1:16" x14ac:dyDescent="0.3">
      <c r="A1255" t="s">
        <v>2589</v>
      </c>
      <c r="B1255" s="9" t="s">
        <v>2590</v>
      </c>
      <c r="C1255" s="20" t="str">
        <f t="shared" si="19"/>
        <v>Feb</v>
      </c>
      <c r="D1255" t="s">
        <v>691</v>
      </c>
      <c r="E1255" s="10" t="s">
        <v>273</v>
      </c>
      <c r="F1255" t="s">
        <v>17</v>
      </c>
      <c r="G1255" t="s">
        <v>89</v>
      </c>
      <c r="H1255" t="s">
        <v>90</v>
      </c>
      <c r="I1255">
        <v>1</v>
      </c>
      <c r="J1255" s="3">
        <v>61.54</v>
      </c>
      <c r="K1255" s="2">
        <v>0.05</v>
      </c>
      <c r="L1255" s="3">
        <v>58.46</v>
      </c>
      <c r="M1255" s="3">
        <v>11.84</v>
      </c>
      <c r="N1255" t="s">
        <v>35</v>
      </c>
      <c r="O1255" s="3"/>
      <c r="P1255" s="3"/>
    </row>
    <row r="1256" spans="1:16" x14ac:dyDescent="0.3">
      <c r="A1256" t="s">
        <v>2591</v>
      </c>
      <c r="B1256" s="9" t="s">
        <v>493</v>
      </c>
      <c r="C1256" s="20" t="str">
        <f t="shared" si="19"/>
        <v>Jan</v>
      </c>
      <c r="D1256" t="s">
        <v>328</v>
      </c>
      <c r="E1256" s="10" t="s">
        <v>634</v>
      </c>
      <c r="F1256" t="s">
        <v>59</v>
      </c>
      <c r="G1256" t="s">
        <v>26</v>
      </c>
      <c r="H1256" t="s">
        <v>118</v>
      </c>
      <c r="I1256">
        <v>5</v>
      </c>
      <c r="J1256" s="3">
        <v>20.170000000000002</v>
      </c>
      <c r="K1256" s="2">
        <v>0.05</v>
      </c>
      <c r="L1256" s="3">
        <v>95.81</v>
      </c>
      <c r="M1256" s="3">
        <v>25.49</v>
      </c>
      <c r="N1256" t="s">
        <v>35</v>
      </c>
      <c r="O1256" s="3"/>
      <c r="P1256" s="3"/>
    </row>
    <row r="1257" spans="1:16" x14ac:dyDescent="0.3">
      <c r="A1257" t="s">
        <v>2592</v>
      </c>
      <c r="B1257" s="9" t="s">
        <v>570</v>
      </c>
      <c r="C1257" s="20" t="str">
        <f t="shared" si="19"/>
        <v>Nov</v>
      </c>
      <c r="D1257" t="s">
        <v>504</v>
      </c>
      <c r="E1257" s="10" t="s">
        <v>811</v>
      </c>
      <c r="F1257" t="s">
        <v>59</v>
      </c>
      <c r="G1257" t="s">
        <v>26</v>
      </c>
      <c r="H1257" t="s">
        <v>118</v>
      </c>
      <c r="I1257">
        <v>1</v>
      </c>
      <c r="J1257" s="3">
        <v>169.98</v>
      </c>
      <c r="K1257" s="2">
        <v>0.1</v>
      </c>
      <c r="L1257" s="3">
        <v>152.97999999999999</v>
      </c>
      <c r="M1257" s="3">
        <v>13.47</v>
      </c>
      <c r="N1257" t="s">
        <v>40</v>
      </c>
      <c r="O1257" s="3"/>
      <c r="P1257" s="3"/>
    </row>
    <row r="1258" spans="1:16" x14ac:dyDescent="0.3">
      <c r="A1258" t="s">
        <v>2593</v>
      </c>
      <c r="B1258" s="9" t="s">
        <v>1081</v>
      </c>
      <c r="C1258" s="20" t="str">
        <f t="shared" si="19"/>
        <v>Sep</v>
      </c>
      <c r="D1258" t="s">
        <v>2070</v>
      </c>
      <c r="E1258" s="10" t="s">
        <v>898</v>
      </c>
      <c r="F1258" t="s">
        <v>59</v>
      </c>
      <c r="G1258" t="s">
        <v>26</v>
      </c>
      <c r="H1258" t="s">
        <v>27</v>
      </c>
      <c r="I1258">
        <v>4</v>
      </c>
      <c r="J1258" s="3">
        <v>125.86</v>
      </c>
      <c r="K1258" s="2">
        <v>0.1</v>
      </c>
      <c r="L1258" s="3">
        <v>453.1</v>
      </c>
      <c r="M1258" s="3">
        <v>122.29</v>
      </c>
      <c r="N1258" t="s">
        <v>40</v>
      </c>
      <c r="O1258" s="3"/>
      <c r="P1258" s="3"/>
    </row>
    <row r="1259" spans="1:16" x14ac:dyDescent="0.3">
      <c r="A1259" t="s">
        <v>2594</v>
      </c>
      <c r="B1259" s="9" t="s">
        <v>2590</v>
      </c>
      <c r="C1259" s="20" t="str">
        <f t="shared" si="19"/>
        <v>Feb</v>
      </c>
      <c r="D1259" t="s">
        <v>545</v>
      </c>
      <c r="E1259" s="10" t="s">
        <v>475</v>
      </c>
      <c r="F1259" t="s">
        <v>25</v>
      </c>
      <c r="G1259" t="s">
        <v>18</v>
      </c>
      <c r="H1259" t="s">
        <v>79</v>
      </c>
      <c r="I1259">
        <v>7</v>
      </c>
      <c r="J1259" s="3">
        <v>89.76</v>
      </c>
      <c r="K1259" s="2">
        <v>0.15</v>
      </c>
      <c r="L1259" s="3">
        <v>534.07000000000005</v>
      </c>
      <c r="M1259" s="3">
        <v>132.05000000000001</v>
      </c>
      <c r="N1259" t="s">
        <v>35</v>
      </c>
      <c r="O1259" s="3"/>
      <c r="P1259" s="3"/>
    </row>
    <row r="1260" spans="1:16" x14ac:dyDescent="0.3">
      <c r="A1260" t="s">
        <v>2595</v>
      </c>
      <c r="B1260" s="9" t="s">
        <v>246</v>
      </c>
      <c r="C1260" s="20" t="str">
        <f t="shared" si="19"/>
        <v>Aug</v>
      </c>
      <c r="D1260" t="s">
        <v>1974</v>
      </c>
      <c r="E1260" s="10" t="s">
        <v>641</v>
      </c>
      <c r="F1260" t="s">
        <v>25</v>
      </c>
      <c r="G1260" t="s">
        <v>89</v>
      </c>
      <c r="H1260" t="s">
        <v>131</v>
      </c>
      <c r="I1260">
        <v>6</v>
      </c>
      <c r="J1260" s="3">
        <v>96.47</v>
      </c>
      <c r="K1260" s="2">
        <v>0.15</v>
      </c>
      <c r="L1260" s="3">
        <v>492</v>
      </c>
      <c r="M1260" s="3">
        <v>142.46</v>
      </c>
      <c r="N1260" t="s">
        <v>40</v>
      </c>
      <c r="O1260" s="3"/>
      <c r="P1260" s="3"/>
    </row>
    <row r="1261" spans="1:16" x14ac:dyDescent="0.3">
      <c r="A1261" t="s">
        <v>2598</v>
      </c>
      <c r="B1261" s="9" t="s">
        <v>893</v>
      </c>
      <c r="C1261" s="20" t="str">
        <f t="shared" si="19"/>
        <v>Aug</v>
      </c>
      <c r="D1261" t="s">
        <v>57</v>
      </c>
      <c r="E1261" s="10" t="s">
        <v>1675</v>
      </c>
      <c r="F1261" t="s">
        <v>59</v>
      </c>
      <c r="G1261" t="s">
        <v>26</v>
      </c>
      <c r="H1261" t="s">
        <v>27</v>
      </c>
      <c r="I1261">
        <v>4</v>
      </c>
      <c r="J1261" s="3">
        <v>106.33</v>
      </c>
      <c r="K1261" s="2">
        <v>0</v>
      </c>
      <c r="L1261" s="3">
        <v>425.32</v>
      </c>
      <c r="M1261" s="3">
        <v>66.16</v>
      </c>
      <c r="N1261" t="s">
        <v>20</v>
      </c>
      <c r="O1261" s="3"/>
      <c r="P1261" s="3"/>
    </row>
    <row r="1262" spans="1:16" x14ac:dyDescent="0.3">
      <c r="A1262" t="s">
        <v>2599</v>
      </c>
      <c r="B1262" s="9" t="s">
        <v>2223</v>
      </c>
      <c r="C1262" s="20" t="str">
        <f t="shared" si="19"/>
        <v>Dec</v>
      </c>
      <c r="D1262" t="s">
        <v>1461</v>
      </c>
      <c r="E1262" s="10" t="s">
        <v>2600</v>
      </c>
      <c r="F1262" t="s">
        <v>64</v>
      </c>
      <c r="G1262" t="s">
        <v>18</v>
      </c>
      <c r="H1262" t="s">
        <v>19</v>
      </c>
      <c r="I1262">
        <v>6</v>
      </c>
      <c r="J1262" s="3">
        <v>103.09</v>
      </c>
      <c r="K1262" s="2">
        <v>0.05</v>
      </c>
      <c r="L1262" s="3">
        <v>587.61</v>
      </c>
      <c r="M1262" s="3">
        <v>133.54</v>
      </c>
      <c r="N1262" t="s">
        <v>20</v>
      </c>
      <c r="O1262" s="3"/>
      <c r="P1262" s="3"/>
    </row>
    <row r="1263" spans="1:16" x14ac:dyDescent="0.3">
      <c r="A1263" t="s">
        <v>2601</v>
      </c>
      <c r="B1263" s="9" t="s">
        <v>561</v>
      </c>
      <c r="C1263" s="20" t="str">
        <f t="shared" si="19"/>
        <v>Sep</v>
      </c>
      <c r="D1263" t="s">
        <v>1185</v>
      </c>
      <c r="E1263" s="10" t="s">
        <v>726</v>
      </c>
      <c r="F1263" t="s">
        <v>59</v>
      </c>
      <c r="G1263" t="s">
        <v>18</v>
      </c>
      <c r="H1263" t="s">
        <v>45</v>
      </c>
      <c r="I1263">
        <v>2</v>
      </c>
      <c r="J1263" s="3">
        <v>231.67</v>
      </c>
      <c r="K1263" s="2">
        <v>0.15</v>
      </c>
      <c r="L1263" s="3">
        <v>393.84</v>
      </c>
      <c r="M1263" s="3">
        <v>65.290000000000006</v>
      </c>
      <c r="N1263" t="s">
        <v>40</v>
      </c>
      <c r="O1263" s="3"/>
      <c r="P1263" s="3"/>
    </row>
    <row r="1264" spans="1:16" x14ac:dyDescent="0.3">
      <c r="A1264" t="s">
        <v>2602</v>
      </c>
      <c r="B1264" s="9" t="s">
        <v>815</v>
      </c>
      <c r="C1264" s="20" t="str">
        <f t="shared" si="19"/>
        <v>Jan</v>
      </c>
      <c r="D1264" t="s">
        <v>30</v>
      </c>
      <c r="E1264" s="10" t="s">
        <v>1904</v>
      </c>
      <c r="F1264" t="s">
        <v>64</v>
      </c>
      <c r="G1264" t="s">
        <v>26</v>
      </c>
      <c r="H1264" t="s">
        <v>118</v>
      </c>
      <c r="I1264">
        <v>2</v>
      </c>
      <c r="J1264" s="3">
        <v>175.85</v>
      </c>
      <c r="K1264" s="2">
        <v>0.05</v>
      </c>
      <c r="L1264" s="3">
        <v>334.11</v>
      </c>
      <c r="M1264" s="3">
        <v>92.93</v>
      </c>
      <c r="N1264" t="s">
        <v>35</v>
      </c>
      <c r="O1264" s="3"/>
      <c r="P1264" s="3"/>
    </row>
    <row r="1265" spans="1:16" x14ac:dyDescent="0.3">
      <c r="A1265" t="s">
        <v>2603</v>
      </c>
      <c r="B1265" s="9" t="s">
        <v>1367</v>
      </c>
      <c r="C1265" s="20" t="str">
        <f t="shared" si="19"/>
        <v>Jan</v>
      </c>
      <c r="D1265" t="s">
        <v>853</v>
      </c>
      <c r="E1265" s="10" t="s">
        <v>73</v>
      </c>
      <c r="F1265" t="s">
        <v>17</v>
      </c>
      <c r="G1265" t="s">
        <v>18</v>
      </c>
      <c r="H1265" t="s">
        <v>19</v>
      </c>
      <c r="I1265">
        <v>3</v>
      </c>
      <c r="J1265" s="3">
        <v>39.700000000000003</v>
      </c>
      <c r="K1265" s="2">
        <v>0</v>
      </c>
      <c r="L1265" s="3">
        <v>119.1</v>
      </c>
      <c r="M1265" s="3">
        <v>15.53</v>
      </c>
      <c r="N1265" t="s">
        <v>20</v>
      </c>
      <c r="O1265" s="3"/>
      <c r="P1265" s="3"/>
    </row>
    <row r="1266" spans="1:16" x14ac:dyDescent="0.3">
      <c r="A1266" t="s">
        <v>2604</v>
      </c>
      <c r="B1266" s="9" t="s">
        <v>1144</v>
      </c>
      <c r="C1266" s="20" t="str">
        <f t="shared" si="19"/>
        <v>May</v>
      </c>
      <c r="D1266" t="s">
        <v>668</v>
      </c>
      <c r="E1266" s="10" t="s">
        <v>357</v>
      </c>
      <c r="F1266" t="s">
        <v>25</v>
      </c>
      <c r="G1266" t="s">
        <v>89</v>
      </c>
      <c r="H1266" t="s">
        <v>90</v>
      </c>
      <c r="I1266">
        <v>3</v>
      </c>
      <c r="J1266" s="3">
        <v>220.97</v>
      </c>
      <c r="K1266" s="2">
        <v>0.1</v>
      </c>
      <c r="L1266" s="3">
        <v>596.62</v>
      </c>
      <c r="M1266" s="3">
        <v>129.78</v>
      </c>
      <c r="N1266" t="s">
        <v>35</v>
      </c>
      <c r="O1266" s="3"/>
      <c r="P1266" s="3"/>
    </row>
    <row r="1267" spans="1:16" x14ac:dyDescent="0.3">
      <c r="A1267" t="s">
        <v>2605</v>
      </c>
      <c r="B1267" s="9" t="s">
        <v>1242</v>
      </c>
      <c r="C1267" s="20" t="str">
        <f t="shared" si="19"/>
        <v>Jun</v>
      </c>
      <c r="D1267" t="s">
        <v>1277</v>
      </c>
      <c r="E1267" s="10" t="s">
        <v>284</v>
      </c>
      <c r="F1267" t="s">
        <v>59</v>
      </c>
      <c r="G1267" t="s">
        <v>26</v>
      </c>
      <c r="H1267" t="s">
        <v>84</v>
      </c>
      <c r="I1267">
        <v>8</v>
      </c>
      <c r="J1267" s="3">
        <v>107.92</v>
      </c>
      <c r="K1267" s="2">
        <v>0.1</v>
      </c>
      <c r="L1267" s="3">
        <v>777.02</v>
      </c>
      <c r="M1267" s="3">
        <v>110.5</v>
      </c>
      <c r="N1267" t="s">
        <v>40</v>
      </c>
      <c r="O1267" s="3"/>
      <c r="P1267" s="3"/>
    </row>
    <row r="1268" spans="1:16" x14ac:dyDescent="0.3">
      <c r="A1268" t="s">
        <v>2606</v>
      </c>
      <c r="B1268" s="9" t="s">
        <v>2425</v>
      </c>
      <c r="C1268" s="20" t="str">
        <f t="shared" si="19"/>
        <v>Nov</v>
      </c>
      <c r="D1268" t="s">
        <v>1692</v>
      </c>
      <c r="E1268" s="10" t="s">
        <v>357</v>
      </c>
      <c r="F1268" t="s">
        <v>64</v>
      </c>
      <c r="G1268" t="s">
        <v>89</v>
      </c>
      <c r="H1268" t="s">
        <v>131</v>
      </c>
      <c r="I1268">
        <v>1</v>
      </c>
      <c r="J1268" s="3">
        <v>98.32</v>
      </c>
      <c r="K1268" s="2">
        <v>0.15</v>
      </c>
      <c r="L1268" s="3">
        <v>83.57</v>
      </c>
      <c r="M1268" s="3">
        <v>21.1</v>
      </c>
      <c r="N1268" t="s">
        <v>40</v>
      </c>
      <c r="O1268" s="3"/>
      <c r="P1268" s="3"/>
    </row>
    <row r="1269" spans="1:16" x14ac:dyDescent="0.3">
      <c r="A1269" t="s">
        <v>2607</v>
      </c>
      <c r="B1269" s="9" t="s">
        <v>626</v>
      </c>
      <c r="C1269" s="20" t="str">
        <f t="shared" si="19"/>
        <v>Nov</v>
      </c>
      <c r="D1269" t="s">
        <v>1971</v>
      </c>
      <c r="E1269" s="10" t="s">
        <v>410</v>
      </c>
      <c r="F1269" t="s">
        <v>25</v>
      </c>
      <c r="G1269" t="s">
        <v>26</v>
      </c>
      <c r="H1269" t="s">
        <v>118</v>
      </c>
      <c r="I1269">
        <v>1</v>
      </c>
      <c r="J1269" s="3">
        <v>194.32</v>
      </c>
      <c r="K1269" s="2">
        <v>0</v>
      </c>
      <c r="L1269" s="3">
        <v>194.32</v>
      </c>
      <c r="M1269" s="3">
        <v>35.46</v>
      </c>
      <c r="N1269" t="s">
        <v>20</v>
      </c>
      <c r="O1269" s="3"/>
      <c r="P1269" s="3"/>
    </row>
    <row r="1270" spans="1:16" x14ac:dyDescent="0.3">
      <c r="A1270" t="s">
        <v>2608</v>
      </c>
      <c r="B1270" s="9" t="s">
        <v>999</v>
      </c>
      <c r="C1270" s="20" t="str">
        <f t="shared" si="19"/>
        <v>Jan</v>
      </c>
      <c r="D1270" t="s">
        <v>1271</v>
      </c>
      <c r="E1270" s="10" t="s">
        <v>1794</v>
      </c>
      <c r="F1270" t="s">
        <v>25</v>
      </c>
      <c r="G1270" t="s">
        <v>26</v>
      </c>
      <c r="H1270" t="s">
        <v>84</v>
      </c>
      <c r="I1270">
        <v>5</v>
      </c>
      <c r="J1270" s="3">
        <v>220.51</v>
      </c>
      <c r="K1270" s="2">
        <v>0.1</v>
      </c>
      <c r="L1270" s="3">
        <v>992.29</v>
      </c>
      <c r="M1270" s="3">
        <v>251.73</v>
      </c>
      <c r="N1270" t="s">
        <v>20</v>
      </c>
      <c r="O1270" s="3"/>
      <c r="P1270" s="3"/>
    </row>
    <row r="1271" spans="1:16" x14ac:dyDescent="0.3">
      <c r="A1271" t="s">
        <v>2609</v>
      </c>
      <c r="B1271" s="9" t="s">
        <v>450</v>
      </c>
      <c r="C1271" s="20" t="str">
        <f t="shared" si="19"/>
        <v>Sep</v>
      </c>
      <c r="D1271" t="s">
        <v>1848</v>
      </c>
      <c r="E1271" s="10" t="s">
        <v>315</v>
      </c>
      <c r="F1271" t="s">
        <v>25</v>
      </c>
      <c r="G1271" t="s">
        <v>33</v>
      </c>
      <c r="H1271" t="s">
        <v>74</v>
      </c>
      <c r="I1271">
        <v>7</v>
      </c>
      <c r="J1271" s="3">
        <v>97.69</v>
      </c>
      <c r="K1271" s="2">
        <v>0</v>
      </c>
      <c r="L1271" s="3">
        <v>683.83</v>
      </c>
      <c r="M1271" s="3">
        <v>151.47999999999999</v>
      </c>
      <c r="N1271" t="s">
        <v>35</v>
      </c>
      <c r="O1271" s="3"/>
      <c r="P1271" s="3"/>
    </row>
    <row r="1272" spans="1:16" x14ac:dyDescent="0.3">
      <c r="A1272" t="s">
        <v>2612</v>
      </c>
      <c r="B1272" s="9" t="s">
        <v>793</v>
      </c>
      <c r="C1272" s="20" t="str">
        <f t="shared" si="19"/>
        <v>Apr</v>
      </c>
      <c r="D1272" t="s">
        <v>30</v>
      </c>
      <c r="E1272" s="10" t="s">
        <v>1315</v>
      </c>
      <c r="F1272" t="s">
        <v>17</v>
      </c>
      <c r="G1272" t="s">
        <v>33</v>
      </c>
      <c r="H1272" t="s">
        <v>74</v>
      </c>
      <c r="I1272">
        <v>2</v>
      </c>
      <c r="J1272" s="3">
        <v>54.91</v>
      </c>
      <c r="K1272" s="2">
        <v>0.1</v>
      </c>
      <c r="L1272" s="3">
        <v>98.84</v>
      </c>
      <c r="M1272" s="3">
        <v>7.92</v>
      </c>
      <c r="N1272" t="s">
        <v>40</v>
      </c>
      <c r="O1272" s="3"/>
      <c r="P1272" s="3"/>
    </row>
    <row r="1273" spans="1:16" x14ac:dyDescent="0.3">
      <c r="A1273" t="s">
        <v>2613</v>
      </c>
      <c r="B1273" s="9" t="s">
        <v>313</v>
      </c>
      <c r="C1273" s="20" t="str">
        <f t="shared" si="19"/>
        <v>Aug</v>
      </c>
      <c r="D1273" t="s">
        <v>397</v>
      </c>
      <c r="E1273" s="10" t="s">
        <v>1053</v>
      </c>
      <c r="F1273" t="s">
        <v>64</v>
      </c>
      <c r="G1273" t="s">
        <v>18</v>
      </c>
      <c r="H1273" t="s">
        <v>79</v>
      </c>
      <c r="I1273">
        <v>1</v>
      </c>
      <c r="J1273" s="3">
        <v>55.58</v>
      </c>
      <c r="K1273" s="2">
        <v>0.1</v>
      </c>
      <c r="L1273" s="3">
        <v>50.02</v>
      </c>
      <c r="M1273" s="3">
        <v>6.43</v>
      </c>
      <c r="N1273" t="s">
        <v>40</v>
      </c>
      <c r="O1273" s="3"/>
      <c r="P1273" s="3"/>
    </row>
    <row r="1274" spans="1:16" x14ac:dyDescent="0.3">
      <c r="A1274" t="s">
        <v>2614</v>
      </c>
      <c r="B1274" s="9" t="s">
        <v>2615</v>
      </c>
      <c r="C1274" s="20" t="str">
        <f t="shared" si="19"/>
        <v>Apr</v>
      </c>
      <c r="D1274" t="s">
        <v>2445</v>
      </c>
      <c r="E1274" s="10" t="s">
        <v>394</v>
      </c>
      <c r="F1274" t="s">
        <v>32</v>
      </c>
      <c r="G1274" t="s">
        <v>26</v>
      </c>
      <c r="H1274" t="s">
        <v>118</v>
      </c>
      <c r="I1274">
        <v>5</v>
      </c>
      <c r="J1274" s="3">
        <v>49.05</v>
      </c>
      <c r="K1274" s="2">
        <v>0.05</v>
      </c>
      <c r="L1274" s="3">
        <v>232.99</v>
      </c>
      <c r="M1274" s="3">
        <v>44.1</v>
      </c>
      <c r="N1274" t="s">
        <v>40</v>
      </c>
      <c r="O1274" s="3"/>
      <c r="P1274" s="3"/>
    </row>
    <row r="1275" spans="1:16" x14ac:dyDescent="0.3">
      <c r="A1275" t="s">
        <v>2616</v>
      </c>
      <c r="B1275" s="9" t="s">
        <v>756</v>
      </c>
      <c r="C1275" s="20" t="str">
        <f t="shared" si="19"/>
        <v>Nov</v>
      </c>
      <c r="D1275" t="s">
        <v>440</v>
      </c>
      <c r="E1275" s="10" t="s">
        <v>552</v>
      </c>
      <c r="F1275" t="s">
        <v>59</v>
      </c>
      <c r="G1275" t="s">
        <v>89</v>
      </c>
      <c r="H1275" t="s">
        <v>90</v>
      </c>
      <c r="I1275">
        <v>8</v>
      </c>
      <c r="J1275" s="3">
        <v>126.41</v>
      </c>
      <c r="K1275" s="2">
        <v>0.05</v>
      </c>
      <c r="L1275" s="3">
        <v>960.72</v>
      </c>
      <c r="M1275" s="3">
        <v>203.2</v>
      </c>
      <c r="N1275" t="s">
        <v>20</v>
      </c>
      <c r="O1275" s="3"/>
      <c r="P1275" s="3"/>
    </row>
    <row r="1276" spans="1:16" x14ac:dyDescent="0.3">
      <c r="A1276" t="s">
        <v>2617</v>
      </c>
      <c r="B1276" s="9" t="s">
        <v>286</v>
      </c>
      <c r="C1276" s="20" t="str">
        <f t="shared" si="19"/>
        <v>Mar</v>
      </c>
      <c r="D1276" t="s">
        <v>2618</v>
      </c>
      <c r="E1276" s="10" t="s">
        <v>2619</v>
      </c>
      <c r="F1276" t="s">
        <v>64</v>
      </c>
      <c r="G1276" t="s">
        <v>18</v>
      </c>
      <c r="H1276" t="s">
        <v>79</v>
      </c>
      <c r="I1276">
        <v>8</v>
      </c>
      <c r="J1276" s="3">
        <v>244.94</v>
      </c>
      <c r="K1276" s="2">
        <v>0.1</v>
      </c>
      <c r="L1276" s="3">
        <v>1763.57</v>
      </c>
      <c r="M1276" s="3">
        <v>500.44</v>
      </c>
      <c r="N1276" t="s">
        <v>40</v>
      </c>
      <c r="O1276" s="3"/>
      <c r="P1276" s="3"/>
    </row>
    <row r="1277" spans="1:16" x14ac:dyDescent="0.3">
      <c r="A1277" t="s">
        <v>2620</v>
      </c>
      <c r="B1277" s="9" t="s">
        <v>1992</v>
      </c>
      <c r="C1277" s="20" t="str">
        <f t="shared" si="19"/>
        <v>Jul</v>
      </c>
      <c r="D1277" t="s">
        <v>1361</v>
      </c>
      <c r="E1277" s="10" t="s">
        <v>669</v>
      </c>
      <c r="F1277" t="s">
        <v>64</v>
      </c>
      <c r="G1277" t="s">
        <v>33</v>
      </c>
      <c r="H1277" t="s">
        <v>50</v>
      </c>
      <c r="I1277">
        <v>7</v>
      </c>
      <c r="J1277" s="3">
        <v>113.67</v>
      </c>
      <c r="K1277" s="2">
        <v>0.1</v>
      </c>
      <c r="L1277" s="3">
        <v>716.12</v>
      </c>
      <c r="M1277" s="3">
        <v>201.25</v>
      </c>
      <c r="N1277" t="s">
        <v>40</v>
      </c>
      <c r="O1277" s="3"/>
      <c r="P1277" s="3"/>
    </row>
    <row r="1278" spans="1:16" x14ac:dyDescent="0.3">
      <c r="A1278" t="s">
        <v>2621</v>
      </c>
      <c r="B1278" s="9" t="s">
        <v>1629</v>
      </c>
      <c r="C1278" s="20" t="str">
        <f t="shared" si="19"/>
        <v>Oct</v>
      </c>
      <c r="D1278" t="s">
        <v>647</v>
      </c>
      <c r="E1278" s="10" t="s">
        <v>761</v>
      </c>
      <c r="F1278" t="s">
        <v>25</v>
      </c>
      <c r="G1278" t="s">
        <v>89</v>
      </c>
      <c r="H1278" t="s">
        <v>131</v>
      </c>
      <c r="I1278">
        <v>4</v>
      </c>
      <c r="J1278" s="3">
        <v>227.97</v>
      </c>
      <c r="K1278" s="2">
        <v>0</v>
      </c>
      <c r="L1278" s="3">
        <v>911.88</v>
      </c>
      <c r="M1278" s="3">
        <v>215.09</v>
      </c>
      <c r="N1278" t="s">
        <v>20</v>
      </c>
      <c r="O1278" s="3"/>
      <c r="P1278" s="3"/>
    </row>
    <row r="1279" spans="1:16" x14ac:dyDescent="0.3">
      <c r="A1279" t="s">
        <v>2622</v>
      </c>
      <c r="B1279" s="9" t="s">
        <v>1358</v>
      </c>
      <c r="C1279" s="20" t="str">
        <f t="shared" si="19"/>
        <v>Mar</v>
      </c>
      <c r="D1279" t="s">
        <v>67</v>
      </c>
      <c r="E1279" s="10" t="s">
        <v>1286</v>
      </c>
      <c r="F1279" t="s">
        <v>59</v>
      </c>
      <c r="G1279" t="s">
        <v>33</v>
      </c>
      <c r="H1279" t="s">
        <v>50</v>
      </c>
      <c r="I1279">
        <v>1</v>
      </c>
      <c r="J1279" s="3">
        <v>169.79</v>
      </c>
      <c r="K1279" s="2">
        <v>0.15</v>
      </c>
      <c r="L1279" s="3">
        <v>144.32</v>
      </c>
      <c r="M1279" s="3">
        <v>33.32</v>
      </c>
      <c r="N1279" t="s">
        <v>20</v>
      </c>
      <c r="O1279" s="3"/>
      <c r="P1279" s="3"/>
    </row>
    <row r="1280" spans="1:16" x14ac:dyDescent="0.3">
      <c r="A1280" t="s">
        <v>2623</v>
      </c>
      <c r="B1280" s="9" t="s">
        <v>2219</v>
      </c>
      <c r="C1280" s="20" t="str">
        <f t="shared" si="19"/>
        <v>Jan</v>
      </c>
      <c r="D1280" t="s">
        <v>2618</v>
      </c>
      <c r="E1280" s="10" t="s">
        <v>1139</v>
      </c>
      <c r="F1280" t="s">
        <v>64</v>
      </c>
      <c r="G1280" t="s">
        <v>18</v>
      </c>
      <c r="H1280" t="s">
        <v>79</v>
      </c>
      <c r="I1280">
        <v>8</v>
      </c>
      <c r="J1280" s="3">
        <v>72.11</v>
      </c>
      <c r="K1280" s="2">
        <v>0.15</v>
      </c>
      <c r="L1280" s="3">
        <v>490.35</v>
      </c>
      <c r="M1280" s="3">
        <v>111.47</v>
      </c>
      <c r="N1280" t="s">
        <v>35</v>
      </c>
      <c r="O1280" s="3"/>
      <c r="P1280" s="3"/>
    </row>
    <row r="1281" spans="1:16" x14ac:dyDescent="0.3">
      <c r="A1281" t="s">
        <v>2624</v>
      </c>
      <c r="B1281" s="9" t="s">
        <v>1703</v>
      </c>
      <c r="C1281" s="20" t="str">
        <f t="shared" si="19"/>
        <v>Jan</v>
      </c>
      <c r="D1281" t="s">
        <v>1836</v>
      </c>
      <c r="E1281" s="10" t="s">
        <v>2625</v>
      </c>
      <c r="F1281" t="s">
        <v>17</v>
      </c>
      <c r="G1281" t="s">
        <v>33</v>
      </c>
      <c r="H1281" t="s">
        <v>34</v>
      </c>
      <c r="I1281">
        <v>2</v>
      </c>
      <c r="J1281" s="3">
        <v>101.84</v>
      </c>
      <c r="K1281" s="2">
        <v>0.1</v>
      </c>
      <c r="L1281" s="3">
        <v>183.31</v>
      </c>
      <c r="M1281" s="3">
        <v>37.21</v>
      </c>
      <c r="N1281" t="s">
        <v>40</v>
      </c>
      <c r="O1281" s="3"/>
      <c r="P1281" s="3"/>
    </row>
    <row r="1282" spans="1:16" x14ac:dyDescent="0.3">
      <c r="A1282" t="s">
        <v>2626</v>
      </c>
      <c r="B1282" s="9" t="s">
        <v>2627</v>
      </c>
      <c r="C1282" s="20" t="str">
        <f t="shared" ref="C1282:C1345" si="20">TEXT(B:B, "mmm")</f>
        <v>Apr</v>
      </c>
      <c r="D1282" t="s">
        <v>1353</v>
      </c>
      <c r="E1282" s="10" t="s">
        <v>2413</v>
      </c>
      <c r="F1282" t="s">
        <v>32</v>
      </c>
      <c r="G1282" t="s">
        <v>26</v>
      </c>
      <c r="H1282" t="s">
        <v>84</v>
      </c>
      <c r="I1282">
        <v>6</v>
      </c>
      <c r="J1282" s="3">
        <v>142.41999999999999</v>
      </c>
      <c r="K1282" s="2">
        <v>0.15</v>
      </c>
      <c r="L1282" s="3">
        <v>726.34</v>
      </c>
      <c r="M1282" s="3">
        <v>207.6</v>
      </c>
      <c r="N1282" t="s">
        <v>35</v>
      </c>
      <c r="O1282" s="3"/>
      <c r="P1282" s="3"/>
    </row>
    <row r="1283" spans="1:16" x14ac:dyDescent="0.3">
      <c r="A1283" t="s">
        <v>2628</v>
      </c>
      <c r="B1283" s="9" t="s">
        <v>2629</v>
      </c>
      <c r="C1283" s="20" t="str">
        <f t="shared" si="20"/>
        <v>Feb</v>
      </c>
      <c r="D1283" t="s">
        <v>1046</v>
      </c>
      <c r="E1283" s="10" t="s">
        <v>273</v>
      </c>
      <c r="F1283" t="s">
        <v>17</v>
      </c>
      <c r="G1283" t="s">
        <v>33</v>
      </c>
      <c r="H1283" t="s">
        <v>50</v>
      </c>
      <c r="I1283">
        <v>6</v>
      </c>
      <c r="J1283" s="3">
        <v>50.17</v>
      </c>
      <c r="K1283" s="2">
        <v>0.15</v>
      </c>
      <c r="L1283" s="3">
        <v>255.87</v>
      </c>
      <c r="M1283" s="3">
        <v>76.540000000000006</v>
      </c>
      <c r="N1283" t="s">
        <v>20</v>
      </c>
      <c r="O1283" s="3"/>
      <c r="P1283" s="3"/>
    </row>
    <row r="1284" spans="1:16" x14ac:dyDescent="0.3">
      <c r="A1284" t="s">
        <v>2632</v>
      </c>
      <c r="B1284" s="9" t="s">
        <v>782</v>
      </c>
      <c r="C1284" s="20" t="str">
        <f t="shared" si="20"/>
        <v>Jan</v>
      </c>
      <c r="D1284" t="s">
        <v>2473</v>
      </c>
      <c r="E1284" s="10" t="s">
        <v>1666</v>
      </c>
      <c r="F1284" t="s">
        <v>59</v>
      </c>
      <c r="G1284" t="s">
        <v>26</v>
      </c>
      <c r="H1284" t="s">
        <v>84</v>
      </c>
      <c r="I1284">
        <v>7</v>
      </c>
      <c r="J1284" s="3">
        <v>207.33</v>
      </c>
      <c r="K1284" s="2">
        <v>0.05</v>
      </c>
      <c r="L1284" s="3">
        <v>1378.74</v>
      </c>
      <c r="M1284" s="3">
        <v>198.67</v>
      </c>
      <c r="N1284" t="s">
        <v>20</v>
      </c>
      <c r="O1284" s="3"/>
      <c r="P1284" s="3"/>
    </row>
    <row r="1285" spans="1:16" x14ac:dyDescent="0.3">
      <c r="A1285" t="s">
        <v>2633</v>
      </c>
      <c r="B1285" s="9" t="s">
        <v>665</v>
      </c>
      <c r="C1285" s="20" t="str">
        <f t="shared" si="20"/>
        <v>Aug</v>
      </c>
      <c r="D1285" t="s">
        <v>1257</v>
      </c>
      <c r="E1285" s="10" t="s">
        <v>2319</v>
      </c>
      <c r="F1285" t="s">
        <v>64</v>
      </c>
      <c r="G1285" t="s">
        <v>26</v>
      </c>
      <c r="H1285" t="s">
        <v>27</v>
      </c>
      <c r="I1285">
        <v>2</v>
      </c>
      <c r="J1285" s="3">
        <v>241.98</v>
      </c>
      <c r="K1285" s="2">
        <v>0.15</v>
      </c>
      <c r="L1285" s="3">
        <v>411.37</v>
      </c>
      <c r="M1285" s="3">
        <v>115.71</v>
      </c>
      <c r="N1285" t="s">
        <v>20</v>
      </c>
      <c r="O1285" s="3"/>
      <c r="P1285" s="3"/>
    </row>
    <row r="1286" spans="1:16" x14ac:dyDescent="0.3">
      <c r="A1286" t="s">
        <v>2634</v>
      </c>
      <c r="B1286" s="9" t="s">
        <v>1415</v>
      </c>
      <c r="C1286" s="20" t="str">
        <f t="shared" si="20"/>
        <v>Sep</v>
      </c>
      <c r="D1286" t="s">
        <v>1329</v>
      </c>
      <c r="E1286" s="10" t="s">
        <v>175</v>
      </c>
      <c r="F1286" t="s">
        <v>64</v>
      </c>
      <c r="G1286" t="s">
        <v>26</v>
      </c>
      <c r="H1286" t="s">
        <v>118</v>
      </c>
      <c r="I1286">
        <v>6</v>
      </c>
      <c r="J1286" s="3">
        <v>62.03</v>
      </c>
      <c r="K1286" s="2">
        <v>0</v>
      </c>
      <c r="L1286" s="3">
        <v>372.18</v>
      </c>
      <c r="M1286" s="3">
        <v>100.78</v>
      </c>
      <c r="N1286" t="s">
        <v>35</v>
      </c>
      <c r="O1286" s="3"/>
      <c r="P1286" s="3"/>
    </row>
    <row r="1287" spans="1:16" x14ac:dyDescent="0.3">
      <c r="A1287" t="s">
        <v>2635</v>
      </c>
      <c r="B1287" s="9" t="s">
        <v>1657</v>
      </c>
      <c r="C1287" s="20" t="str">
        <f t="shared" si="20"/>
        <v>May</v>
      </c>
      <c r="D1287" t="s">
        <v>647</v>
      </c>
      <c r="E1287" s="10" t="s">
        <v>871</v>
      </c>
      <c r="F1287" t="s">
        <v>17</v>
      </c>
      <c r="G1287" t="s">
        <v>18</v>
      </c>
      <c r="H1287" t="s">
        <v>19</v>
      </c>
      <c r="I1287">
        <v>5</v>
      </c>
      <c r="J1287" s="3">
        <v>37.96</v>
      </c>
      <c r="K1287" s="2">
        <v>0.05</v>
      </c>
      <c r="L1287" s="3">
        <v>180.31</v>
      </c>
      <c r="M1287" s="3">
        <v>42.2</v>
      </c>
      <c r="N1287" t="s">
        <v>20</v>
      </c>
      <c r="O1287" s="3"/>
      <c r="P1287" s="3"/>
    </row>
    <row r="1288" spans="1:16" x14ac:dyDescent="0.3">
      <c r="A1288" t="s">
        <v>2636</v>
      </c>
      <c r="B1288" s="9" t="s">
        <v>1276</v>
      </c>
      <c r="C1288" s="20" t="str">
        <f t="shared" si="20"/>
        <v>Jul</v>
      </c>
      <c r="D1288" t="s">
        <v>800</v>
      </c>
      <c r="E1288" s="10" t="s">
        <v>2292</v>
      </c>
      <c r="F1288" t="s">
        <v>17</v>
      </c>
      <c r="G1288" t="s">
        <v>89</v>
      </c>
      <c r="H1288" t="s">
        <v>150</v>
      </c>
      <c r="I1288">
        <v>1</v>
      </c>
      <c r="J1288" s="3">
        <v>25.26</v>
      </c>
      <c r="K1288" s="2">
        <v>0.15</v>
      </c>
      <c r="L1288" s="3">
        <v>21.47</v>
      </c>
      <c r="M1288" s="3">
        <v>2.61</v>
      </c>
      <c r="N1288" t="s">
        <v>35</v>
      </c>
      <c r="O1288" s="3"/>
      <c r="P1288" s="3"/>
    </row>
    <row r="1289" spans="1:16" x14ac:dyDescent="0.3">
      <c r="A1289" t="s">
        <v>2637</v>
      </c>
      <c r="B1289" s="9" t="s">
        <v>493</v>
      </c>
      <c r="C1289" s="20" t="str">
        <f t="shared" si="20"/>
        <v>Jan</v>
      </c>
      <c r="D1289" t="s">
        <v>2537</v>
      </c>
      <c r="E1289" s="10" t="s">
        <v>347</v>
      </c>
      <c r="F1289" t="s">
        <v>17</v>
      </c>
      <c r="G1289" t="s">
        <v>33</v>
      </c>
      <c r="H1289" t="s">
        <v>50</v>
      </c>
      <c r="I1289">
        <v>2</v>
      </c>
      <c r="J1289" s="3">
        <v>207.16</v>
      </c>
      <c r="K1289" s="2">
        <v>0.15</v>
      </c>
      <c r="L1289" s="3">
        <v>352.17</v>
      </c>
      <c r="M1289" s="3">
        <v>72.02</v>
      </c>
      <c r="N1289" t="s">
        <v>20</v>
      </c>
      <c r="O1289" s="3"/>
      <c r="P1289" s="3"/>
    </row>
    <row r="1290" spans="1:16" x14ac:dyDescent="0.3">
      <c r="A1290" t="s">
        <v>2638</v>
      </c>
      <c r="B1290" s="9" t="s">
        <v>611</v>
      </c>
      <c r="C1290" s="20" t="str">
        <f t="shared" si="20"/>
        <v>Jul</v>
      </c>
      <c r="D1290" t="s">
        <v>1543</v>
      </c>
      <c r="E1290" s="10" t="s">
        <v>1490</v>
      </c>
      <c r="F1290" t="s">
        <v>64</v>
      </c>
      <c r="G1290" t="s">
        <v>89</v>
      </c>
      <c r="H1290" t="s">
        <v>131</v>
      </c>
      <c r="I1290">
        <v>5</v>
      </c>
      <c r="J1290" s="3">
        <v>131.77000000000001</v>
      </c>
      <c r="K1290" s="2">
        <v>0.05</v>
      </c>
      <c r="L1290" s="3">
        <v>625.91</v>
      </c>
      <c r="M1290" s="3">
        <v>177.28</v>
      </c>
      <c r="N1290" t="s">
        <v>40</v>
      </c>
      <c r="O1290" s="3"/>
      <c r="P1290" s="3"/>
    </row>
    <row r="1291" spans="1:16" x14ac:dyDescent="0.3">
      <c r="A1291" t="s">
        <v>2639</v>
      </c>
      <c r="B1291" s="9" t="s">
        <v>1384</v>
      </c>
      <c r="C1291" s="20" t="str">
        <f t="shared" si="20"/>
        <v>Jun</v>
      </c>
      <c r="D1291" t="s">
        <v>121</v>
      </c>
      <c r="E1291" s="10" t="s">
        <v>2577</v>
      </c>
      <c r="F1291" t="s">
        <v>32</v>
      </c>
      <c r="G1291" t="s">
        <v>33</v>
      </c>
      <c r="H1291" t="s">
        <v>69</v>
      </c>
      <c r="I1291">
        <v>6</v>
      </c>
      <c r="J1291" s="3">
        <v>155.34</v>
      </c>
      <c r="K1291" s="2">
        <v>0</v>
      </c>
      <c r="L1291" s="3">
        <v>932.04</v>
      </c>
      <c r="M1291" s="3">
        <v>228.09</v>
      </c>
      <c r="N1291" t="s">
        <v>20</v>
      </c>
      <c r="O1291" s="3"/>
      <c r="P1291" s="3"/>
    </row>
    <row r="1292" spans="1:16" x14ac:dyDescent="0.3">
      <c r="A1292" t="s">
        <v>2640</v>
      </c>
      <c r="B1292" s="9" t="s">
        <v>2022</v>
      </c>
      <c r="C1292" s="20" t="str">
        <f t="shared" si="20"/>
        <v>Jun</v>
      </c>
      <c r="D1292" t="s">
        <v>339</v>
      </c>
      <c r="E1292" s="10" t="s">
        <v>1056</v>
      </c>
      <c r="F1292" t="s">
        <v>17</v>
      </c>
      <c r="G1292" t="s">
        <v>33</v>
      </c>
      <c r="H1292" t="s">
        <v>69</v>
      </c>
      <c r="I1292">
        <v>2</v>
      </c>
      <c r="J1292" s="3">
        <v>34.270000000000003</v>
      </c>
      <c r="K1292" s="2">
        <v>0.05</v>
      </c>
      <c r="L1292" s="3">
        <v>65.11</v>
      </c>
      <c r="M1292" s="3">
        <v>9.48</v>
      </c>
      <c r="N1292" t="s">
        <v>40</v>
      </c>
      <c r="O1292" s="3"/>
      <c r="P1292" s="3"/>
    </row>
    <row r="1293" spans="1:16" x14ac:dyDescent="0.3">
      <c r="A1293" t="s">
        <v>2641</v>
      </c>
      <c r="B1293" s="9" t="s">
        <v>1035</v>
      </c>
      <c r="C1293" s="20" t="str">
        <f t="shared" si="20"/>
        <v>Apr</v>
      </c>
      <c r="D1293" t="s">
        <v>1499</v>
      </c>
      <c r="E1293" s="10" t="s">
        <v>726</v>
      </c>
      <c r="F1293" t="s">
        <v>25</v>
      </c>
      <c r="G1293" t="s">
        <v>89</v>
      </c>
      <c r="H1293" t="s">
        <v>90</v>
      </c>
      <c r="I1293">
        <v>7</v>
      </c>
      <c r="J1293" s="3">
        <v>128.38999999999999</v>
      </c>
      <c r="K1293" s="2">
        <v>0</v>
      </c>
      <c r="L1293" s="3">
        <v>898.73</v>
      </c>
      <c r="M1293" s="3">
        <v>141.24</v>
      </c>
      <c r="N1293" t="s">
        <v>40</v>
      </c>
      <c r="O1293" s="3"/>
      <c r="P1293" s="3"/>
    </row>
    <row r="1294" spans="1:16" x14ac:dyDescent="0.3">
      <c r="A1294" t="s">
        <v>2642</v>
      </c>
      <c r="B1294" s="9" t="s">
        <v>570</v>
      </c>
      <c r="C1294" s="20" t="str">
        <f t="shared" si="20"/>
        <v>Nov</v>
      </c>
      <c r="D1294" t="s">
        <v>778</v>
      </c>
      <c r="E1294" s="10" t="s">
        <v>1354</v>
      </c>
      <c r="F1294" t="s">
        <v>25</v>
      </c>
      <c r="G1294" t="s">
        <v>33</v>
      </c>
      <c r="H1294" t="s">
        <v>74</v>
      </c>
      <c r="I1294">
        <v>8</v>
      </c>
      <c r="J1294" s="3">
        <v>128.57</v>
      </c>
      <c r="K1294" s="2">
        <v>0.05</v>
      </c>
      <c r="L1294" s="3">
        <v>977.13</v>
      </c>
      <c r="M1294" s="3">
        <v>230.34</v>
      </c>
      <c r="N1294" t="s">
        <v>40</v>
      </c>
      <c r="O1294" s="3"/>
      <c r="P1294" s="3"/>
    </row>
    <row r="1295" spans="1:16" x14ac:dyDescent="0.3">
      <c r="A1295" t="s">
        <v>2643</v>
      </c>
      <c r="B1295" s="9" t="s">
        <v>76</v>
      </c>
      <c r="C1295" s="20" t="str">
        <f t="shared" si="20"/>
        <v>Apr</v>
      </c>
      <c r="D1295" t="s">
        <v>1582</v>
      </c>
      <c r="E1295" s="10" t="s">
        <v>231</v>
      </c>
      <c r="F1295" t="s">
        <v>64</v>
      </c>
      <c r="G1295" t="s">
        <v>18</v>
      </c>
      <c r="H1295" t="s">
        <v>19</v>
      </c>
      <c r="I1295">
        <v>2</v>
      </c>
      <c r="J1295" s="3">
        <v>185.83</v>
      </c>
      <c r="K1295" s="2">
        <v>0.15</v>
      </c>
      <c r="L1295" s="3">
        <v>315.91000000000003</v>
      </c>
      <c r="M1295" s="3">
        <v>55.78</v>
      </c>
      <c r="N1295" t="s">
        <v>20</v>
      </c>
      <c r="O1295" s="3"/>
      <c r="P1295" s="3"/>
    </row>
    <row r="1296" spans="1:16" x14ac:dyDescent="0.3">
      <c r="A1296" t="s">
        <v>2644</v>
      </c>
      <c r="B1296" s="9" t="s">
        <v>1879</v>
      </c>
      <c r="C1296" s="20" t="str">
        <f t="shared" si="20"/>
        <v>Jul</v>
      </c>
      <c r="D1296" t="s">
        <v>93</v>
      </c>
      <c r="E1296" s="10" t="s">
        <v>462</v>
      </c>
      <c r="F1296" t="s">
        <v>64</v>
      </c>
      <c r="G1296" t="s">
        <v>33</v>
      </c>
      <c r="H1296" t="s">
        <v>69</v>
      </c>
      <c r="I1296">
        <v>4</v>
      </c>
      <c r="J1296" s="3">
        <v>218.56</v>
      </c>
      <c r="K1296" s="2">
        <v>0.05</v>
      </c>
      <c r="L1296" s="3">
        <v>830.53</v>
      </c>
      <c r="M1296" s="3">
        <v>91.54</v>
      </c>
      <c r="N1296" t="s">
        <v>20</v>
      </c>
      <c r="O1296" s="3"/>
      <c r="P1296" s="3"/>
    </row>
    <row r="1297" spans="1:16" x14ac:dyDescent="0.3">
      <c r="A1297" t="s">
        <v>2645</v>
      </c>
      <c r="B1297" s="9" t="s">
        <v>1773</v>
      </c>
      <c r="C1297" s="20" t="str">
        <f t="shared" si="20"/>
        <v>Nov</v>
      </c>
      <c r="D1297" t="s">
        <v>890</v>
      </c>
      <c r="E1297" s="10" t="s">
        <v>1803</v>
      </c>
      <c r="F1297" t="s">
        <v>64</v>
      </c>
      <c r="G1297" t="s">
        <v>18</v>
      </c>
      <c r="H1297" t="s">
        <v>45</v>
      </c>
      <c r="I1297">
        <v>1</v>
      </c>
      <c r="J1297" s="3">
        <v>242.06</v>
      </c>
      <c r="K1297" s="2">
        <v>0.05</v>
      </c>
      <c r="L1297" s="3">
        <v>229.96</v>
      </c>
      <c r="M1297" s="3">
        <v>33.700000000000003</v>
      </c>
      <c r="N1297" t="s">
        <v>20</v>
      </c>
      <c r="O1297" s="3"/>
      <c r="P1297" s="3"/>
    </row>
    <row r="1298" spans="1:16" x14ac:dyDescent="0.3">
      <c r="A1298" t="s">
        <v>2646</v>
      </c>
      <c r="B1298" s="9" t="s">
        <v>558</v>
      </c>
      <c r="C1298" s="20" t="str">
        <f t="shared" si="20"/>
        <v>Sep</v>
      </c>
      <c r="D1298" t="s">
        <v>1102</v>
      </c>
      <c r="E1298" s="10" t="s">
        <v>2454</v>
      </c>
      <c r="F1298" t="s">
        <v>25</v>
      </c>
      <c r="G1298" t="s">
        <v>89</v>
      </c>
      <c r="H1298" t="s">
        <v>90</v>
      </c>
      <c r="I1298">
        <v>1</v>
      </c>
      <c r="J1298" s="3">
        <v>184.42</v>
      </c>
      <c r="K1298" s="2">
        <v>0</v>
      </c>
      <c r="L1298" s="3">
        <v>184.42</v>
      </c>
      <c r="M1298" s="3">
        <v>38.619999999999997</v>
      </c>
      <c r="N1298" t="s">
        <v>40</v>
      </c>
      <c r="O1298" s="3"/>
      <c r="P1298" s="3"/>
    </row>
    <row r="1299" spans="1:16" x14ac:dyDescent="0.3">
      <c r="A1299" t="s">
        <v>2647</v>
      </c>
      <c r="B1299" s="9" t="s">
        <v>1280</v>
      </c>
      <c r="C1299" s="20" t="str">
        <f t="shared" si="20"/>
        <v>Apr</v>
      </c>
      <c r="D1299" t="s">
        <v>1074</v>
      </c>
      <c r="E1299" s="10" t="s">
        <v>609</v>
      </c>
      <c r="F1299" t="s">
        <v>59</v>
      </c>
      <c r="G1299" t="s">
        <v>33</v>
      </c>
      <c r="H1299" t="s">
        <v>69</v>
      </c>
      <c r="I1299">
        <v>8</v>
      </c>
      <c r="J1299" s="3">
        <v>128.29</v>
      </c>
      <c r="K1299" s="2">
        <v>0.05</v>
      </c>
      <c r="L1299" s="3">
        <v>975</v>
      </c>
      <c r="M1299" s="3">
        <v>109.09</v>
      </c>
      <c r="N1299" t="s">
        <v>20</v>
      </c>
      <c r="O1299" s="3"/>
      <c r="P1299" s="3"/>
    </row>
    <row r="1300" spans="1:16" x14ac:dyDescent="0.3">
      <c r="A1300" t="s">
        <v>2648</v>
      </c>
      <c r="B1300" s="9" t="s">
        <v>630</v>
      </c>
      <c r="C1300" s="20" t="str">
        <f t="shared" si="20"/>
        <v>Oct</v>
      </c>
      <c r="D1300" t="s">
        <v>160</v>
      </c>
      <c r="E1300" s="10" t="s">
        <v>383</v>
      </c>
      <c r="F1300" t="s">
        <v>25</v>
      </c>
      <c r="G1300" t="s">
        <v>33</v>
      </c>
      <c r="H1300" t="s">
        <v>74</v>
      </c>
      <c r="I1300">
        <v>3</v>
      </c>
      <c r="J1300" s="3">
        <v>100.42</v>
      </c>
      <c r="K1300" s="2">
        <v>0</v>
      </c>
      <c r="L1300" s="3">
        <v>301.26</v>
      </c>
      <c r="M1300" s="3">
        <v>70.89</v>
      </c>
      <c r="N1300" t="s">
        <v>20</v>
      </c>
      <c r="O1300" s="3"/>
      <c r="P1300" s="3"/>
    </row>
    <row r="1301" spans="1:16" x14ac:dyDescent="0.3">
      <c r="A1301" t="s">
        <v>2649</v>
      </c>
      <c r="B1301" s="9" t="s">
        <v>170</v>
      </c>
      <c r="C1301" s="20" t="str">
        <f t="shared" si="20"/>
        <v>Mar</v>
      </c>
      <c r="D1301" t="s">
        <v>97</v>
      </c>
      <c r="E1301" s="10" t="s">
        <v>2060</v>
      </c>
      <c r="F1301" t="s">
        <v>25</v>
      </c>
      <c r="G1301" t="s">
        <v>89</v>
      </c>
      <c r="H1301" t="s">
        <v>90</v>
      </c>
      <c r="I1301">
        <v>1</v>
      </c>
      <c r="J1301" s="3">
        <v>160.03</v>
      </c>
      <c r="K1301" s="2">
        <v>0</v>
      </c>
      <c r="L1301" s="3">
        <v>160.03</v>
      </c>
      <c r="M1301" s="3">
        <v>13.67</v>
      </c>
      <c r="N1301" t="s">
        <v>20</v>
      </c>
      <c r="O1301" s="3"/>
      <c r="P1301" s="3"/>
    </row>
    <row r="1302" spans="1:16" x14ac:dyDescent="0.3">
      <c r="A1302" t="s">
        <v>2650</v>
      </c>
      <c r="B1302" s="9" t="s">
        <v>214</v>
      </c>
      <c r="C1302" s="20" t="str">
        <f t="shared" si="20"/>
        <v>Jun</v>
      </c>
      <c r="D1302" t="s">
        <v>2651</v>
      </c>
      <c r="E1302" s="10" t="s">
        <v>1224</v>
      </c>
      <c r="F1302" t="s">
        <v>64</v>
      </c>
      <c r="G1302" t="s">
        <v>89</v>
      </c>
      <c r="H1302" t="s">
        <v>150</v>
      </c>
      <c r="I1302">
        <v>2</v>
      </c>
      <c r="J1302" s="3">
        <v>92.23</v>
      </c>
      <c r="K1302" s="2">
        <v>0</v>
      </c>
      <c r="L1302" s="3">
        <v>184.46</v>
      </c>
      <c r="M1302" s="3">
        <v>26.01</v>
      </c>
      <c r="N1302" t="s">
        <v>35</v>
      </c>
      <c r="O1302" s="3"/>
      <c r="P1302" s="3"/>
    </row>
    <row r="1303" spans="1:16" x14ac:dyDescent="0.3">
      <c r="A1303" t="s">
        <v>2652</v>
      </c>
      <c r="B1303" s="9" t="s">
        <v>420</v>
      </c>
      <c r="C1303" s="20" t="str">
        <f t="shared" si="20"/>
        <v>Aug</v>
      </c>
      <c r="D1303" t="s">
        <v>507</v>
      </c>
      <c r="E1303" s="10" t="s">
        <v>944</v>
      </c>
      <c r="F1303" t="s">
        <v>17</v>
      </c>
      <c r="G1303" t="s">
        <v>18</v>
      </c>
      <c r="H1303" t="s">
        <v>79</v>
      </c>
      <c r="I1303">
        <v>6</v>
      </c>
      <c r="J1303" s="3">
        <v>105.98</v>
      </c>
      <c r="K1303" s="2">
        <v>0.05</v>
      </c>
      <c r="L1303" s="3">
        <v>604.09</v>
      </c>
      <c r="M1303" s="3">
        <v>49.7</v>
      </c>
      <c r="N1303" t="s">
        <v>20</v>
      </c>
      <c r="O1303" s="3"/>
      <c r="P1303" s="3"/>
    </row>
    <row r="1304" spans="1:16" x14ac:dyDescent="0.3">
      <c r="A1304" t="s">
        <v>2653</v>
      </c>
      <c r="B1304" s="9" t="s">
        <v>320</v>
      </c>
      <c r="C1304" s="20" t="str">
        <f t="shared" si="20"/>
        <v>Jun</v>
      </c>
      <c r="D1304" t="s">
        <v>1126</v>
      </c>
      <c r="E1304" s="10" t="s">
        <v>1240</v>
      </c>
      <c r="F1304" t="s">
        <v>32</v>
      </c>
      <c r="G1304" t="s">
        <v>18</v>
      </c>
      <c r="H1304" t="s">
        <v>45</v>
      </c>
      <c r="I1304">
        <v>5</v>
      </c>
      <c r="J1304" s="3">
        <v>127.61</v>
      </c>
      <c r="K1304" s="2">
        <v>0.1</v>
      </c>
      <c r="L1304" s="3">
        <v>574.25</v>
      </c>
      <c r="M1304" s="3">
        <v>104.35</v>
      </c>
      <c r="N1304" t="s">
        <v>35</v>
      </c>
      <c r="O1304" s="3"/>
      <c r="P1304" s="3"/>
    </row>
    <row r="1305" spans="1:16" x14ac:dyDescent="0.3">
      <c r="A1305" t="s">
        <v>2654</v>
      </c>
      <c r="B1305" s="9" t="s">
        <v>1696</v>
      </c>
      <c r="C1305" s="20" t="str">
        <f t="shared" si="20"/>
        <v>Jun</v>
      </c>
      <c r="D1305" t="s">
        <v>1327</v>
      </c>
      <c r="E1305" s="10" t="s">
        <v>343</v>
      </c>
      <c r="F1305" t="s">
        <v>32</v>
      </c>
      <c r="G1305" t="s">
        <v>26</v>
      </c>
      <c r="H1305" t="s">
        <v>27</v>
      </c>
      <c r="I1305">
        <v>2</v>
      </c>
      <c r="J1305" s="3">
        <v>152.63999999999999</v>
      </c>
      <c r="K1305" s="2">
        <v>0.15</v>
      </c>
      <c r="L1305" s="3">
        <v>259.49</v>
      </c>
      <c r="M1305" s="3">
        <v>38.71</v>
      </c>
      <c r="N1305" t="s">
        <v>40</v>
      </c>
      <c r="O1305" s="3"/>
      <c r="P1305" s="3"/>
    </row>
    <row r="1306" spans="1:16" x14ac:dyDescent="0.3">
      <c r="A1306" t="s">
        <v>2655</v>
      </c>
      <c r="B1306" s="9" t="s">
        <v>2207</v>
      </c>
      <c r="C1306" s="20" t="str">
        <f t="shared" si="20"/>
        <v>Feb</v>
      </c>
      <c r="D1306" t="s">
        <v>623</v>
      </c>
      <c r="E1306" s="10" t="s">
        <v>94</v>
      </c>
      <c r="F1306" t="s">
        <v>25</v>
      </c>
      <c r="G1306" t="s">
        <v>89</v>
      </c>
      <c r="H1306" t="s">
        <v>90</v>
      </c>
      <c r="I1306">
        <v>2</v>
      </c>
      <c r="J1306" s="3">
        <v>117.17</v>
      </c>
      <c r="K1306" s="2">
        <v>0.1</v>
      </c>
      <c r="L1306" s="3">
        <v>210.91</v>
      </c>
      <c r="M1306" s="3">
        <v>25.81</v>
      </c>
      <c r="N1306" t="s">
        <v>20</v>
      </c>
      <c r="O1306" s="3"/>
      <c r="P1306" s="3"/>
    </row>
    <row r="1307" spans="1:16" x14ac:dyDescent="0.3">
      <c r="A1307" t="s">
        <v>2656</v>
      </c>
      <c r="B1307" s="9" t="s">
        <v>2166</v>
      </c>
      <c r="C1307" s="20" t="str">
        <f t="shared" si="20"/>
        <v>Dec</v>
      </c>
      <c r="D1307" t="s">
        <v>1066</v>
      </c>
      <c r="E1307" s="10" t="s">
        <v>1899</v>
      </c>
      <c r="F1307" t="s">
        <v>25</v>
      </c>
      <c r="G1307" t="s">
        <v>33</v>
      </c>
      <c r="H1307" t="s">
        <v>74</v>
      </c>
      <c r="I1307">
        <v>7</v>
      </c>
      <c r="J1307" s="3">
        <v>124.06</v>
      </c>
      <c r="K1307" s="2">
        <v>0.05</v>
      </c>
      <c r="L1307" s="3">
        <v>825</v>
      </c>
      <c r="M1307" s="3">
        <v>83.91</v>
      </c>
      <c r="N1307" t="s">
        <v>20</v>
      </c>
      <c r="O1307" s="3"/>
      <c r="P1307" s="3"/>
    </row>
    <row r="1308" spans="1:16" x14ac:dyDescent="0.3">
      <c r="A1308" t="s">
        <v>2657</v>
      </c>
      <c r="B1308" s="9" t="s">
        <v>271</v>
      </c>
      <c r="C1308" s="20" t="str">
        <f t="shared" si="20"/>
        <v>Nov</v>
      </c>
      <c r="D1308" t="s">
        <v>1543</v>
      </c>
      <c r="E1308" s="10" t="s">
        <v>161</v>
      </c>
      <c r="F1308" t="s">
        <v>17</v>
      </c>
      <c r="G1308" t="s">
        <v>18</v>
      </c>
      <c r="H1308" t="s">
        <v>45</v>
      </c>
      <c r="I1308">
        <v>6</v>
      </c>
      <c r="J1308" s="3">
        <v>86.18</v>
      </c>
      <c r="K1308" s="2">
        <v>0</v>
      </c>
      <c r="L1308" s="3">
        <v>517.08000000000004</v>
      </c>
      <c r="M1308" s="3">
        <v>148.26</v>
      </c>
      <c r="N1308" t="s">
        <v>35</v>
      </c>
      <c r="O1308" s="3"/>
      <c r="P1308" s="3"/>
    </row>
    <row r="1309" spans="1:16" x14ac:dyDescent="0.3">
      <c r="A1309" t="s">
        <v>2658</v>
      </c>
      <c r="B1309" s="9" t="s">
        <v>1198</v>
      </c>
      <c r="C1309" s="20" t="str">
        <f t="shared" si="20"/>
        <v>Jul</v>
      </c>
      <c r="D1309" t="s">
        <v>230</v>
      </c>
      <c r="E1309" s="10" t="s">
        <v>1884</v>
      </c>
      <c r="F1309" t="s">
        <v>64</v>
      </c>
      <c r="G1309" t="s">
        <v>33</v>
      </c>
      <c r="H1309" t="s">
        <v>34</v>
      </c>
      <c r="I1309">
        <v>3</v>
      </c>
      <c r="J1309" s="3">
        <v>44.66</v>
      </c>
      <c r="K1309" s="2">
        <v>0.05</v>
      </c>
      <c r="L1309" s="3">
        <v>127.28</v>
      </c>
      <c r="M1309" s="3">
        <v>22.38</v>
      </c>
      <c r="N1309" t="s">
        <v>20</v>
      </c>
      <c r="O1309" s="3"/>
      <c r="P1309" s="3"/>
    </row>
    <row r="1310" spans="1:16" x14ac:dyDescent="0.3">
      <c r="A1310" t="s">
        <v>2659</v>
      </c>
      <c r="B1310" s="9" t="s">
        <v>1657</v>
      </c>
      <c r="C1310" s="20" t="str">
        <f t="shared" si="20"/>
        <v>May</v>
      </c>
      <c r="D1310" t="s">
        <v>2208</v>
      </c>
      <c r="E1310" s="10" t="s">
        <v>2437</v>
      </c>
      <c r="F1310" t="s">
        <v>17</v>
      </c>
      <c r="G1310" t="s">
        <v>26</v>
      </c>
      <c r="H1310" t="s">
        <v>84</v>
      </c>
      <c r="I1310">
        <v>8</v>
      </c>
      <c r="J1310" s="3">
        <v>187.16</v>
      </c>
      <c r="K1310" s="2">
        <v>0</v>
      </c>
      <c r="L1310" s="3">
        <v>1497.28</v>
      </c>
      <c r="M1310" s="3">
        <v>434.26</v>
      </c>
      <c r="N1310" t="s">
        <v>40</v>
      </c>
      <c r="O1310" s="3"/>
      <c r="P1310" s="3"/>
    </row>
    <row r="1311" spans="1:16" x14ac:dyDescent="0.3">
      <c r="A1311" t="s">
        <v>2660</v>
      </c>
      <c r="B1311" s="9" t="s">
        <v>163</v>
      </c>
      <c r="C1311" s="20" t="str">
        <f t="shared" si="20"/>
        <v>Nov</v>
      </c>
      <c r="D1311" t="s">
        <v>424</v>
      </c>
      <c r="E1311" s="10" t="s">
        <v>1647</v>
      </c>
      <c r="F1311" t="s">
        <v>64</v>
      </c>
      <c r="G1311" t="s">
        <v>18</v>
      </c>
      <c r="H1311" t="s">
        <v>45</v>
      </c>
      <c r="I1311">
        <v>7</v>
      </c>
      <c r="J1311" s="3">
        <v>181.45</v>
      </c>
      <c r="K1311" s="2">
        <v>0.1</v>
      </c>
      <c r="L1311" s="3">
        <v>1143.1300000000001</v>
      </c>
      <c r="M1311" s="3">
        <v>95.67</v>
      </c>
      <c r="N1311" t="s">
        <v>40</v>
      </c>
      <c r="O1311" s="3"/>
      <c r="P1311" s="3"/>
    </row>
    <row r="1312" spans="1:16" x14ac:dyDescent="0.3">
      <c r="A1312" t="s">
        <v>2661</v>
      </c>
      <c r="B1312" s="9" t="s">
        <v>1216</v>
      </c>
      <c r="C1312" s="20" t="str">
        <f t="shared" si="20"/>
        <v>Oct</v>
      </c>
      <c r="D1312" t="s">
        <v>1920</v>
      </c>
      <c r="E1312" s="10" t="s">
        <v>126</v>
      </c>
      <c r="F1312" t="s">
        <v>59</v>
      </c>
      <c r="G1312" t="s">
        <v>33</v>
      </c>
      <c r="H1312" t="s">
        <v>50</v>
      </c>
      <c r="I1312">
        <v>2</v>
      </c>
      <c r="J1312" s="3">
        <v>63.23</v>
      </c>
      <c r="K1312" s="2">
        <v>0.1</v>
      </c>
      <c r="L1312" s="3">
        <v>113.81</v>
      </c>
      <c r="M1312" s="3">
        <v>27.41</v>
      </c>
      <c r="N1312" t="s">
        <v>20</v>
      </c>
      <c r="O1312" s="3"/>
      <c r="P1312" s="3"/>
    </row>
    <row r="1313" spans="1:16" x14ac:dyDescent="0.3">
      <c r="A1313" t="s">
        <v>2662</v>
      </c>
      <c r="B1313" s="9" t="s">
        <v>570</v>
      </c>
      <c r="C1313" s="20" t="str">
        <f t="shared" si="20"/>
        <v>Nov</v>
      </c>
      <c r="D1313" t="s">
        <v>520</v>
      </c>
      <c r="E1313" s="10" t="s">
        <v>1264</v>
      </c>
      <c r="F1313" t="s">
        <v>17</v>
      </c>
      <c r="G1313" t="s">
        <v>18</v>
      </c>
      <c r="H1313" t="s">
        <v>19</v>
      </c>
      <c r="I1313">
        <v>1</v>
      </c>
      <c r="J1313" s="3">
        <v>19.23</v>
      </c>
      <c r="K1313" s="2">
        <v>0.05</v>
      </c>
      <c r="L1313" s="3">
        <v>18.27</v>
      </c>
      <c r="M1313" s="3">
        <v>1.92</v>
      </c>
      <c r="N1313" t="s">
        <v>40</v>
      </c>
      <c r="O1313" s="3"/>
      <c r="P1313" s="3"/>
    </row>
    <row r="1314" spans="1:16" x14ac:dyDescent="0.3">
      <c r="A1314" t="s">
        <v>2663</v>
      </c>
      <c r="B1314" s="9" t="s">
        <v>918</v>
      </c>
      <c r="C1314" s="20" t="str">
        <f t="shared" si="20"/>
        <v>May</v>
      </c>
      <c r="D1314" t="s">
        <v>1033</v>
      </c>
      <c r="E1314" s="10" t="s">
        <v>254</v>
      </c>
      <c r="F1314" t="s">
        <v>59</v>
      </c>
      <c r="G1314" t="s">
        <v>26</v>
      </c>
      <c r="H1314" t="s">
        <v>84</v>
      </c>
      <c r="I1314">
        <v>5</v>
      </c>
      <c r="J1314" s="3">
        <v>186.2</v>
      </c>
      <c r="K1314" s="2">
        <v>0</v>
      </c>
      <c r="L1314" s="3">
        <v>931</v>
      </c>
      <c r="M1314" s="3">
        <v>141.77000000000001</v>
      </c>
      <c r="N1314" t="s">
        <v>20</v>
      </c>
      <c r="O1314" s="3"/>
      <c r="P1314" s="3"/>
    </row>
    <row r="1315" spans="1:16" x14ac:dyDescent="0.3">
      <c r="A1315" t="s">
        <v>2664</v>
      </c>
      <c r="B1315" s="9" t="s">
        <v>2458</v>
      </c>
      <c r="C1315" s="20" t="str">
        <f t="shared" si="20"/>
        <v>Jan</v>
      </c>
      <c r="D1315" t="s">
        <v>2665</v>
      </c>
      <c r="E1315" s="10" t="s">
        <v>2295</v>
      </c>
      <c r="F1315" t="s">
        <v>59</v>
      </c>
      <c r="G1315" t="s">
        <v>33</v>
      </c>
      <c r="H1315" t="s">
        <v>50</v>
      </c>
      <c r="I1315">
        <v>1</v>
      </c>
      <c r="J1315" s="3">
        <v>18.010000000000002</v>
      </c>
      <c r="K1315" s="2">
        <v>0</v>
      </c>
      <c r="L1315" s="3">
        <v>18.010000000000002</v>
      </c>
      <c r="M1315" s="3">
        <v>2.93</v>
      </c>
      <c r="N1315" t="s">
        <v>35</v>
      </c>
      <c r="O1315" s="3"/>
      <c r="P1315" s="3"/>
    </row>
    <row r="1316" spans="1:16" x14ac:dyDescent="0.3">
      <c r="A1316" t="s">
        <v>2666</v>
      </c>
      <c r="B1316" s="9" t="s">
        <v>558</v>
      </c>
      <c r="C1316" s="20" t="str">
        <f t="shared" si="20"/>
        <v>Sep</v>
      </c>
      <c r="D1316" t="s">
        <v>1558</v>
      </c>
      <c r="E1316" s="10" t="s">
        <v>906</v>
      </c>
      <c r="F1316" t="s">
        <v>17</v>
      </c>
      <c r="G1316" t="s">
        <v>26</v>
      </c>
      <c r="H1316" t="s">
        <v>27</v>
      </c>
      <c r="I1316">
        <v>5</v>
      </c>
      <c r="J1316" s="3">
        <v>151.81</v>
      </c>
      <c r="K1316" s="2">
        <v>0.1</v>
      </c>
      <c r="L1316" s="3">
        <v>683.14</v>
      </c>
      <c r="M1316" s="3">
        <v>141.84</v>
      </c>
      <c r="N1316" t="s">
        <v>20</v>
      </c>
      <c r="O1316" s="3"/>
      <c r="P1316" s="3"/>
    </row>
    <row r="1317" spans="1:16" x14ac:dyDescent="0.3">
      <c r="A1317" t="s">
        <v>2667</v>
      </c>
      <c r="B1317" s="9" t="s">
        <v>2458</v>
      </c>
      <c r="C1317" s="20" t="str">
        <f t="shared" si="20"/>
        <v>Jan</v>
      </c>
      <c r="D1317" t="s">
        <v>1422</v>
      </c>
      <c r="E1317" s="10" t="s">
        <v>325</v>
      </c>
      <c r="F1317" t="s">
        <v>32</v>
      </c>
      <c r="G1317" t="s">
        <v>18</v>
      </c>
      <c r="H1317" t="s">
        <v>45</v>
      </c>
      <c r="I1317">
        <v>2</v>
      </c>
      <c r="J1317" s="3">
        <v>46.99</v>
      </c>
      <c r="K1317" s="2">
        <v>0.05</v>
      </c>
      <c r="L1317" s="3">
        <v>89.28</v>
      </c>
      <c r="M1317" s="3">
        <v>19.3</v>
      </c>
      <c r="N1317" t="s">
        <v>40</v>
      </c>
      <c r="O1317" s="3"/>
      <c r="P1317" s="3"/>
    </row>
    <row r="1318" spans="1:16" x14ac:dyDescent="0.3">
      <c r="A1318" t="s">
        <v>2668</v>
      </c>
      <c r="B1318" s="9" t="s">
        <v>137</v>
      </c>
      <c r="C1318" s="20" t="str">
        <f t="shared" si="20"/>
        <v>Mar</v>
      </c>
      <c r="D1318" t="s">
        <v>1353</v>
      </c>
      <c r="E1318" s="10" t="s">
        <v>2669</v>
      </c>
      <c r="F1318" t="s">
        <v>59</v>
      </c>
      <c r="G1318" t="s">
        <v>33</v>
      </c>
      <c r="H1318" t="s">
        <v>34</v>
      </c>
      <c r="I1318">
        <v>3</v>
      </c>
      <c r="J1318" s="3">
        <v>84.61</v>
      </c>
      <c r="K1318" s="2">
        <v>0.15</v>
      </c>
      <c r="L1318" s="3">
        <v>215.76</v>
      </c>
      <c r="M1318" s="3">
        <v>40.64</v>
      </c>
      <c r="N1318" t="s">
        <v>35</v>
      </c>
      <c r="O1318" s="3"/>
      <c r="P1318" s="3"/>
    </row>
    <row r="1319" spans="1:16" x14ac:dyDescent="0.3">
      <c r="A1319" t="s">
        <v>2670</v>
      </c>
      <c r="B1319" s="9" t="s">
        <v>1377</v>
      </c>
      <c r="C1319" s="20" t="str">
        <f t="shared" si="20"/>
        <v>Oct</v>
      </c>
      <c r="D1319" t="s">
        <v>204</v>
      </c>
      <c r="E1319" s="10" t="s">
        <v>609</v>
      </c>
      <c r="F1319" t="s">
        <v>32</v>
      </c>
      <c r="G1319" t="s">
        <v>89</v>
      </c>
      <c r="H1319" t="s">
        <v>90</v>
      </c>
      <c r="I1319">
        <v>2</v>
      </c>
      <c r="J1319" s="3">
        <v>149.74</v>
      </c>
      <c r="K1319" s="2">
        <v>0.15</v>
      </c>
      <c r="L1319" s="3">
        <v>254.56</v>
      </c>
      <c r="M1319" s="3">
        <v>24.92</v>
      </c>
      <c r="N1319" t="s">
        <v>40</v>
      </c>
      <c r="O1319" s="3"/>
      <c r="P1319" s="3"/>
    </row>
    <row r="1320" spans="1:16" x14ac:dyDescent="0.3">
      <c r="A1320" t="s">
        <v>2671</v>
      </c>
      <c r="B1320" s="9" t="s">
        <v>540</v>
      </c>
      <c r="C1320" s="20" t="str">
        <f t="shared" si="20"/>
        <v>Apr</v>
      </c>
      <c r="D1320" t="s">
        <v>883</v>
      </c>
      <c r="E1320" s="10" t="s">
        <v>919</v>
      </c>
      <c r="F1320" t="s">
        <v>25</v>
      </c>
      <c r="G1320" t="s">
        <v>18</v>
      </c>
      <c r="H1320" t="s">
        <v>19</v>
      </c>
      <c r="I1320">
        <v>5</v>
      </c>
      <c r="J1320" s="3">
        <v>196.3</v>
      </c>
      <c r="K1320" s="2">
        <v>0.05</v>
      </c>
      <c r="L1320" s="3">
        <v>932.42</v>
      </c>
      <c r="M1320" s="3">
        <v>268.98</v>
      </c>
      <c r="N1320" t="s">
        <v>20</v>
      </c>
      <c r="O1320" s="3"/>
      <c r="P1320" s="3"/>
    </row>
    <row r="1321" spans="1:16" x14ac:dyDescent="0.3">
      <c r="A1321" t="s">
        <v>2672</v>
      </c>
      <c r="B1321" s="9" t="s">
        <v>873</v>
      </c>
      <c r="C1321" s="20" t="str">
        <f t="shared" si="20"/>
        <v>May</v>
      </c>
      <c r="D1321" t="s">
        <v>156</v>
      </c>
      <c r="E1321" s="10" t="s">
        <v>819</v>
      </c>
      <c r="F1321" t="s">
        <v>59</v>
      </c>
      <c r="G1321" t="s">
        <v>33</v>
      </c>
      <c r="H1321" t="s">
        <v>69</v>
      </c>
      <c r="I1321">
        <v>8</v>
      </c>
      <c r="J1321" s="3">
        <v>53.14</v>
      </c>
      <c r="K1321" s="2">
        <v>0</v>
      </c>
      <c r="L1321" s="3">
        <v>425.12</v>
      </c>
      <c r="M1321" s="3">
        <v>110.58</v>
      </c>
      <c r="N1321" t="s">
        <v>35</v>
      </c>
      <c r="O1321" s="3"/>
      <c r="P1321" s="3"/>
    </row>
    <row r="1322" spans="1:16" x14ac:dyDescent="0.3">
      <c r="A1322" t="s">
        <v>2673</v>
      </c>
      <c r="B1322" s="9" t="s">
        <v>408</v>
      </c>
      <c r="C1322" s="20" t="str">
        <f t="shared" si="20"/>
        <v>Jun</v>
      </c>
      <c r="D1322" t="s">
        <v>369</v>
      </c>
      <c r="E1322" s="10" t="s">
        <v>83</v>
      </c>
      <c r="F1322" t="s">
        <v>17</v>
      </c>
      <c r="G1322" t="s">
        <v>89</v>
      </c>
      <c r="H1322" t="s">
        <v>131</v>
      </c>
      <c r="I1322">
        <v>3</v>
      </c>
      <c r="J1322" s="3">
        <v>175.08</v>
      </c>
      <c r="K1322" s="2">
        <v>0.15</v>
      </c>
      <c r="L1322" s="3">
        <v>446.45</v>
      </c>
      <c r="M1322" s="3">
        <v>41.55</v>
      </c>
      <c r="N1322" t="s">
        <v>40</v>
      </c>
      <c r="O1322" s="3"/>
      <c r="P1322" s="3"/>
    </row>
    <row r="1323" spans="1:16" x14ac:dyDescent="0.3">
      <c r="A1323" t="s">
        <v>2674</v>
      </c>
      <c r="B1323" s="9" t="s">
        <v>317</v>
      </c>
      <c r="C1323" s="20" t="str">
        <f t="shared" si="20"/>
        <v>May</v>
      </c>
      <c r="D1323" t="s">
        <v>1492</v>
      </c>
      <c r="E1323" s="10" t="s">
        <v>78</v>
      </c>
      <c r="F1323" t="s">
        <v>17</v>
      </c>
      <c r="G1323" t="s">
        <v>33</v>
      </c>
      <c r="H1323" t="s">
        <v>74</v>
      </c>
      <c r="I1323">
        <v>8</v>
      </c>
      <c r="J1323" s="3">
        <v>19.79</v>
      </c>
      <c r="K1323" s="2">
        <v>0</v>
      </c>
      <c r="L1323" s="3">
        <v>158.32</v>
      </c>
      <c r="M1323" s="3">
        <v>35.6</v>
      </c>
      <c r="N1323" t="s">
        <v>40</v>
      </c>
      <c r="O1323" s="3"/>
      <c r="P1323" s="3"/>
    </row>
    <row r="1324" spans="1:16" x14ac:dyDescent="0.3">
      <c r="A1324" t="s">
        <v>2675</v>
      </c>
      <c r="B1324" s="9" t="s">
        <v>540</v>
      </c>
      <c r="C1324" s="20" t="str">
        <f t="shared" si="20"/>
        <v>Apr</v>
      </c>
      <c r="D1324" t="s">
        <v>67</v>
      </c>
      <c r="E1324" s="10" t="s">
        <v>16</v>
      </c>
      <c r="F1324" t="s">
        <v>17</v>
      </c>
      <c r="G1324" t="s">
        <v>18</v>
      </c>
      <c r="H1324" t="s">
        <v>79</v>
      </c>
      <c r="I1324">
        <v>6</v>
      </c>
      <c r="J1324" s="3">
        <v>16.62</v>
      </c>
      <c r="K1324" s="2">
        <v>0.1</v>
      </c>
      <c r="L1324" s="3">
        <v>89.75</v>
      </c>
      <c r="M1324" s="3">
        <v>9.66</v>
      </c>
      <c r="N1324" t="s">
        <v>40</v>
      </c>
      <c r="O1324" s="3"/>
      <c r="P1324" s="3"/>
    </row>
    <row r="1325" spans="1:16" x14ac:dyDescent="0.3">
      <c r="A1325" t="s">
        <v>2676</v>
      </c>
      <c r="B1325" s="9" t="s">
        <v>1267</v>
      </c>
      <c r="C1325" s="20" t="str">
        <f t="shared" si="20"/>
        <v>Aug</v>
      </c>
      <c r="D1325" t="s">
        <v>243</v>
      </c>
      <c r="E1325" s="10" t="s">
        <v>598</v>
      </c>
      <c r="F1325" t="s">
        <v>59</v>
      </c>
      <c r="G1325" t="s">
        <v>18</v>
      </c>
      <c r="H1325" t="s">
        <v>45</v>
      </c>
      <c r="I1325">
        <v>7</v>
      </c>
      <c r="J1325" s="3">
        <v>135.54</v>
      </c>
      <c r="K1325" s="2">
        <v>0.1</v>
      </c>
      <c r="L1325" s="3">
        <v>853.9</v>
      </c>
      <c r="M1325" s="3">
        <v>127.87</v>
      </c>
      <c r="N1325" t="s">
        <v>35</v>
      </c>
      <c r="O1325" s="3"/>
      <c r="P1325" s="3"/>
    </row>
    <row r="1326" spans="1:16" x14ac:dyDescent="0.3">
      <c r="A1326" t="s">
        <v>2677</v>
      </c>
      <c r="B1326" s="9" t="s">
        <v>260</v>
      </c>
      <c r="C1326" s="20" t="str">
        <f t="shared" si="20"/>
        <v>Sep</v>
      </c>
      <c r="D1326" t="s">
        <v>1653</v>
      </c>
      <c r="E1326" s="10" t="s">
        <v>383</v>
      </c>
      <c r="F1326" t="s">
        <v>17</v>
      </c>
      <c r="G1326" t="s">
        <v>33</v>
      </c>
      <c r="H1326" t="s">
        <v>74</v>
      </c>
      <c r="I1326">
        <v>3</v>
      </c>
      <c r="J1326" s="3">
        <v>229.71</v>
      </c>
      <c r="K1326" s="2">
        <v>0</v>
      </c>
      <c r="L1326" s="3">
        <v>689.13</v>
      </c>
      <c r="M1326" s="3">
        <v>78.8</v>
      </c>
      <c r="N1326" t="s">
        <v>35</v>
      </c>
      <c r="O1326" s="3"/>
      <c r="P1326" s="3"/>
    </row>
    <row r="1327" spans="1:16" x14ac:dyDescent="0.3">
      <c r="A1327" t="s">
        <v>2678</v>
      </c>
      <c r="B1327" s="9" t="s">
        <v>1307</v>
      </c>
      <c r="C1327" s="20" t="str">
        <f t="shared" si="20"/>
        <v>Jan</v>
      </c>
      <c r="D1327" t="s">
        <v>2679</v>
      </c>
      <c r="E1327" s="10" t="s">
        <v>1001</v>
      </c>
      <c r="F1327" t="s">
        <v>25</v>
      </c>
      <c r="G1327" t="s">
        <v>33</v>
      </c>
      <c r="H1327" t="s">
        <v>69</v>
      </c>
      <c r="I1327">
        <v>7</v>
      </c>
      <c r="J1327" s="3">
        <v>192.23</v>
      </c>
      <c r="K1327" s="2">
        <v>0.05</v>
      </c>
      <c r="L1327" s="3">
        <v>1278.33</v>
      </c>
      <c r="M1327" s="3">
        <v>168.78</v>
      </c>
      <c r="N1327" t="s">
        <v>40</v>
      </c>
      <c r="O1327" s="3"/>
      <c r="P1327" s="3"/>
    </row>
    <row r="1328" spans="1:16" x14ac:dyDescent="0.3">
      <c r="A1328" t="s">
        <v>2680</v>
      </c>
      <c r="B1328" s="9" t="s">
        <v>385</v>
      </c>
      <c r="C1328" s="20" t="str">
        <f t="shared" si="20"/>
        <v>Aug</v>
      </c>
      <c r="D1328" t="s">
        <v>1811</v>
      </c>
      <c r="E1328" s="10" t="s">
        <v>2681</v>
      </c>
      <c r="F1328" t="s">
        <v>25</v>
      </c>
      <c r="G1328" t="s">
        <v>26</v>
      </c>
      <c r="H1328" t="s">
        <v>27</v>
      </c>
      <c r="I1328">
        <v>5</v>
      </c>
      <c r="J1328" s="3">
        <v>81.459999999999994</v>
      </c>
      <c r="K1328" s="2">
        <v>0.05</v>
      </c>
      <c r="L1328" s="3">
        <v>386.93</v>
      </c>
      <c r="M1328" s="3">
        <v>65.739999999999995</v>
      </c>
      <c r="N1328" t="s">
        <v>40</v>
      </c>
      <c r="O1328" s="3"/>
      <c r="P1328" s="3"/>
    </row>
    <row r="1329" spans="1:16" x14ac:dyDescent="0.3">
      <c r="A1329" t="s">
        <v>2682</v>
      </c>
      <c r="B1329" s="9" t="s">
        <v>147</v>
      </c>
      <c r="C1329" s="20" t="str">
        <f t="shared" si="20"/>
        <v>Nov</v>
      </c>
      <c r="D1329" t="s">
        <v>1881</v>
      </c>
      <c r="E1329" s="10" t="s">
        <v>1819</v>
      </c>
      <c r="F1329" t="s">
        <v>59</v>
      </c>
      <c r="G1329" t="s">
        <v>89</v>
      </c>
      <c r="H1329" t="s">
        <v>90</v>
      </c>
      <c r="I1329">
        <v>1</v>
      </c>
      <c r="J1329" s="3">
        <v>62.5</v>
      </c>
      <c r="K1329" s="2">
        <v>0.15</v>
      </c>
      <c r="L1329" s="3">
        <v>53.12</v>
      </c>
      <c r="M1329" s="3">
        <v>6.09</v>
      </c>
      <c r="N1329" t="s">
        <v>35</v>
      </c>
      <c r="O1329" s="3"/>
      <c r="P1329" s="3"/>
    </row>
    <row r="1330" spans="1:16" x14ac:dyDescent="0.3">
      <c r="A1330" t="s">
        <v>2683</v>
      </c>
      <c r="B1330" s="9" t="s">
        <v>596</v>
      </c>
      <c r="C1330" s="20" t="str">
        <f t="shared" si="20"/>
        <v>Sep</v>
      </c>
      <c r="D1330" t="s">
        <v>1451</v>
      </c>
      <c r="E1330" s="10" t="s">
        <v>2002</v>
      </c>
      <c r="F1330" t="s">
        <v>59</v>
      </c>
      <c r="G1330" t="s">
        <v>33</v>
      </c>
      <c r="H1330" t="s">
        <v>34</v>
      </c>
      <c r="I1330">
        <v>1</v>
      </c>
      <c r="J1330" s="3">
        <v>170.89</v>
      </c>
      <c r="K1330" s="2">
        <v>0</v>
      </c>
      <c r="L1330" s="3">
        <v>170.89</v>
      </c>
      <c r="M1330" s="3">
        <v>25.39</v>
      </c>
      <c r="N1330" t="s">
        <v>40</v>
      </c>
      <c r="O1330" s="3"/>
      <c r="P1330" s="3"/>
    </row>
    <row r="1331" spans="1:16" x14ac:dyDescent="0.3">
      <c r="A1331" t="s">
        <v>2684</v>
      </c>
      <c r="B1331" s="9" t="s">
        <v>309</v>
      </c>
      <c r="C1331" s="20" t="str">
        <f t="shared" si="20"/>
        <v>Feb</v>
      </c>
      <c r="D1331" t="s">
        <v>517</v>
      </c>
      <c r="E1331" s="10" t="s">
        <v>521</v>
      </c>
      <c r="F1331" t="s">
        <v>59</v>
      </c>
      <c r="G1331" t="s">
        <v>18</v>
      </c>
      <c r="H1331" t="s">
        <v>19</v>
      </c>
      <c r="I1331">
        <v>1</v>
      </c>
      <c r="J1331" s="3">
        <v>175.71</v>
      </c>
      <c r="K1331" s="2">
        <v>0</v>
      </c>
      <c r="L1331" s="3">
        <v>175.71</v>
      </c>
      <c r="M1331" s="3">
        <v>24.02</v>
      </c>
      <c r="N1331" t="s">
        <v>35</v>
      </c>
      <c r="O1331" s="3"/>
      <c r="P1331" s="3"/>
    </row>
    <row r="1332" spans="1:16" x14ac:dyDescent="0.3">
      <c r="A1332" t="s">
        <v>2685</v>
      </c>
      <c r="B1332" s="9" t="s">
        <v>464</v>
      </c>
      <c r="C1332" s="20" t="str">
        <f t="shared" si="20"/>
        <v>Mar</v>
      </c>
      <c r="D1332" t="s">
        <v>1749</v>
      </c>
      <c r="E1332" s="10" t="s">
        <v>2413</v>
      </c>
      <c r="F1332" t="s">
        <v>25</v>
      </c>
      <c r="G1332" t="s">
        <v>89</v>
      </c>
      <c r="H1332" t="s">
        <v>90</v>
      </c>
      <c r="I1332">
        <v>2</v>
      </c>
      <c r="J1332" s="3">
        <v>140.44</v>
      </c>
      <c r="K1332" s="2">
        <v>0.1</v>
      </c>
      <c r="L1332" s="3">
        <v>252.79</v>
      </c>
      <c r="M1332" s="3">
        <v>37.99</v>
      </c>
      <c r="N1332" t="s">
        <v>20</v>
      </c>
      <c r="O1332" s="3"/>
      <c r="P1332" s="3"/>
    </row>
    <row r="1333" spans="1:16" x14ac:dyDescent="0.3">
      <c r="A1333" t="s">
        <v>2686</v>
      </c>
      <c r="B1333" s="9" t="s">
        <v>856</v>
      </c>
      <c r="C1333" s="20" t="str">
        <f t="shared" si="20"/>
        <v>Jun</v>
      </c>
      <c r="D1333" t="s">
        <v>375</v>
      </c>
      <c r="E1333" s="10" t="s">
        <v>1139</v>
      </c>
      <c r="F1333" t="s">
        <v>59</v>
      </c>
      <c r="G1333" t="s">
        <v>18</v>
      </c>
      <c r="H1333" t="s">
        <v>79</v>
      </c>
      <c r="I1333">
        <v>8</v>
      </c>
      <c r="J1333" s="3">
        <v>81.84</v>
      </c>
      <c r="K1333" s="2">
        <v>0.05</v>
      </c>
      <c r="L1333" s="3">
        <v>621.98</v>
      </c>
      <c r="M1333" s="3">
        <v>151.47</v>
      </c>
      <c r="N1333" t="s">
        <v>40</v>
      </c>
      <c r="O1333" s="3"/>
      <c r="P1333" s="3"/>
    </row>
    <row r="1334" spans="1:16" x14ac:dyDescent="0.3">
      <c r="A1334" t="s">
        <v>2687</v>
      </c>
      <c r="B1334" s="9" t="s">
        <v>983</v>
      </c>
      <c r="C1334" s="20" t="str">
        <f t="shared" si="20"/>
        <v>Oct</v>
      </c>
      <c r="D1334" t="s">
        <v>1653</v>
      </c>
      <c r="E1334" s="10" t="s">
        <v>1436</v>
      </c>
      <c r="F1334" t="s">
        <v>32</v>
      </c>
      <c r="G1334" t="s">
        <v>33</v>
      </c>
      <c r="H1334" t="s">
        <v>34</v>
      </c>
      <c r="I1334">
        <v>5</v>
      </c>
      <c r="J1334" s="3">
        <v>246.78</v>
      </c>
      <c r="K1334" s="2">
        <v>0.1</v>
      </c>
      <c r="L1334" s="3">
        <v>1110.51</v>
      </c>
      <c r="M1334" s="3">
        <v>135.83000000000001</v>
      </c>
      <c r="N1334" t="s">
        <v>40</v>
      </c>
      <c r="O1334" s="3"/>
      <c r="P1334" s="3"/>
    </row>
    <row r="1335" spans="1:16" x14ac:dyDescent="0.3">
      <c r="A1335" t="s">
        <v>2688</v>
      </c>
      <c r="B1335" s="9" t="s">
        <v>943</v>
      </c>
      <c r="C1335" s="20" t="str">
        <f t="shared" si="20"/>
        <v>Feb</v>
      </c>
      <c r="D1335" t="s">
        <v>1793</v>
      </c>
      <c r="E1335" s="10" t="s">
        <v>2454</v>
      </c>
      <c r="F1335" t="s">
        <v>64</v>
      </c>
      <c r="G1335" t="s">
        <v>33</v>
      </c>
      <c r="H1335" t="s">
        <v>34</v>
      </c>
      <c r="I1335">
        <v>3</v>
      </c>
      <c r="J1335" s="3">
        <v>111.72</v>
      </c>
      <c r="K1335" s="2">
        <v>0</v>
      </c>
      <c r="L1335" s="3">
        <v>335.16</v>
      </c>
      <c r="M1335" s="3">
        <v>53.65</v>
      </c>
      <c r="N1335" t="s">
        <v>20</v>
      </c>
      <c r="O1335" s="3"/>
      <c r="P1335" s="3"/>
    </row>
    <row r="1336" spans="1:16" x14ac:dyDescent="0.3">
      <c r="A1336" t="s">
        <v>2689</v>
      </c>
      <c r="B1336" s="9" t="s">
        <v>558</v>
      </c>
      <c r="C1336" s="20" t="str">
        <f t="shared" si="20"/>
        <v>Sep</v>
      </c>
      <c r="D1336" t="s">
        <v>1404</v>
      </c>
      <c r="E1336" s="10" t="s">
        <v>2544</v>
      </c>
      <c r="F1336" t="s">
        <v>25</v>
      </c>
      <c r="G1336" t="s">
        <v>33</v>
      </c>
      <c r="H1336" t="s">
        <v>50</v>
      </c>
      <c r="I1336">
        <v>6</v>
      </c>
      <c r="J1336" s="3">
        <v>230.75</v>
      </c>
      <c r="K1336" s="2">
        <v>0.05</v>
      </c>
      <c r="L1336" s="3">
        <v>1315.27</v>
      </c>
      <c r="M1336" s="3">
        <v>253.15</v>
      </c>
      <c r="N1336" t="s">
        <v>20</v>
      </c>
      <c r="O1336" s="3"/>
      <c r="P1336" s="3"/>
    </row>
    <row r="1337" spans="1:16" x14ac:dyDescent="0.3">
      <c r="A1337" t="s">
        <v>2690</v>
      </c>
      <c r="B1337" s="9" t="s">
        <v>1696</v>
      </c>
      <c r="C1337" s="20" t="str">
        <f t="shared" si="20"/>
        <v>Jun</v>
      </c>
      <c r="D1337" t="s">
        <v>93</v>
      </c>
      <c r="E1337" s="10" t="s">
        <v>2271</v>
      </c>
      <c r="F1337" t="s">
        <v>32</v>
      </c>
      <c r="G1337" t="s">
        <v>33</v>
      </c>
      <c r="H1337" t="s">
        <v>34</v>
      </c>
      <c r="I1337">
        <v>6</v>
      </c>
      <c r="J1337" s="3">
        <v>37.89</v>
      </c>
      <c r="K1337" s="2">
        <v>0</v>
      </c>
      <c r="L1337" s="3">
        <v>227.34</v>
      </c>
      <c r="M1337" s="3">
        <v>63.88</v>
      </c>
      <c r="N1337" t="s">
        <v>35</v>
      </c>
      <c r="O1337" s="3"/>
      <c r="P1337" s="3"/>
    </row>
    <row r="1338" spans="1:16" x14ac:dyDescent="0.3">
      <c r="A1338" t="s">
        <v>2691</v>
      </c>
      <c r="B1338" s="9" t="s">
        <v>61</v>
      </c>
      <c r="C1338" s="20" t="str">
        <f t="shared" si="20"/>
        <v>Oct</v>
      </c>
      <c r="D1338" t="s">
        <v>272</v>
      </c>
      <c r="E1338" s="10" t="s">
        <v>2085</v>
      </c>
      <c r="F1338" t="s">
        <v>25</v>
      </c>
      <c r="G1338" t="s">
        <v>33</v>
      </c>
      <c r="H1338" t="s">
        <v>50</v>
      </c>
      <c r="I1338">
        <v>7</v>
      </c>
      <c r="J1338" s="3">
        <v>214.76</v>
      </c>
      <c r="K1338" s="2">
        <v>0.05</v>
      </c>
      <c r="L1338" s="3">
        <v>1428.15</v>
      </c>
      <c r="M1338" s="3">
        <v>236.88</v>
      </c>
      <c r="N1338" t="s">
        <v>35</v>
      </c>
      <c r="O1338" s="3"/>
      <c r="P1338" s="3"/>
    </row>
    <row r="1339" spans="1:16" x14ac:dyDescent="0.3">
      <c r="A1339" t="s">
        <v>2692</v>
      </c>
      <c r="B1339" s="9" t="s">
        <v>1691</v>
      </c>
      <c r="C1339" s="20" t="str">
        <f t="shared" si="20"/>
        <v>Nov</v>
      </c>
      <c r="D1339" t="s">
        <v>1932</v>
      </c>
      <c r="E1339" s="10" t="s">
        <v>2307</v>
      </c>
      <c r="F1339" t="s">
        <v>17</v>
      </c>
      <c r="G1339" t="s">
        <v>89</v>
      </c>
      <c r="H1339" t="s">
        <v>90</v>
      </c>
      <c r="I1339">
        <v>6</v>
      </c>
      <c r="J1339" s="3">
        <v>42.75</v>
      </c>
      <c r="K1339" s="2">
        <v>0.05</v>
      </c>
      <c r="L1339" s="3">
        <v>243.67</v>
      </c>
      <c r="M1339" s="3">
        <v>45.35</v>
      </c>
      <c r="N1339" t="s">
        <v>35</v>
      </c>
      <c r="O1339" s="3"/>
      <c r="P1339" s="3"/>
    </row>
    <row r="1340" spans="1:16" x14ac:dyDescent="0.3">
      <c r="A1340" t="s">
        <v>2693</v>
      </c>
      <c r="B1340" s="9" t="s">
        <v>731</v>
      </c>
      <c r="C1340" s="20" t="str">
        <f t="shared" si="20"/>
        <v>Oct</v>
      </c>
      <c r="D1340" t="s">
        <v>1682</v>
      </c>
      <c r="E1340" s="10" t="s">
        <v>292</v>
      </c>
      <c r="F1340" t="s">
        <v>64</v>
      </c>
      <c r="G1340" t="s">
        <v>26</v>
      </c>
      <c r="H1340" t="s">
        <v>84</v>
      </c>
      <c r="I1340">
        <v>3</v>
      </c>
      <c r="J1340" s="3">
        <v>128.07</v>
      </c>
      <c r="K1340" s="2">
        <v>0.15</v>
      </c>
      <c r="L1340" s="3">
        <v>326.58</v>
      </c>
      <c r="M1340" s="3">
        <v>38.590000000000003</v>
      </c>
      <c r="N1340" t="s">
        <v>20</v>
      </c>
      <c r="O1340" s="3"/>
      <c r="P1340" s="3"/>
    </row>
    <row r="1341" spans="1:16" x14ac:dyDescent="0.3">
      <c r="A1341" t="s">
        <v>2694</v>
      </c>
      <c r="B1341" s="9" t="s">
        <v>510</v>
      </c>
      <c r="C1341" s="20" t="str">
        <f t="shared" si="20"/>
        <v>Sep</v>
      </c>
      <c r="D1341" t="s">
        <v>1509</v>
      </c>
      <c r="E1341" s="10" t="s">
        <v>1163</v>
      </c>
      <c r="F1341" t="s">
        <v>17</v>
      </c>
      <c r="G1341" t="s">
        <v>33</v>
      </c>
      <c r="H1341" t="s">
        <v>74</v>
      </c>
      <c r="I1341">
        <v>8</v>
      </c>
      <c r="J1341" s="3">
        <v>184.42</v>
      </c>
      <c r="K1341" s="2">
        <v>0</v>
      </c>
      <c r="L1341" s="3">
        <v>1475.36</v>
      </c>
      <c r="M1341" s="3">
        <v>376.39</v>
      </c>
      <c r="N1341" t="s">
        <v>20</v>
      </c>
      <c r="O1341" s="3"/>
      <c r="P1341" s="3"/>
    </row>
    <row r="1342" spans="1:16" x14ac:dyDescent="0.3">
      <c r="A1342" t="s">
        <v>2695</v>
      </c>
      <c r="B1342" s="9" t="s">
        <v>500</v>
      </c>
      <c r="C1342" s="20" t="str">
        <f t="shared" si="20"/>
        <v>Nov</v>
      </c>
      <c r="D1342" t="s">
        <v>1848</v>
      </c>
      <c r="E1342" s="10" t="s">
        <v>631</v>
      </c>
      <c r="F1342" t="s">
        <v>25</v>
      </c>
      <c r="G1342" t="s">
        <v>18</v>
      </c>
      <c r="H1342" t="s">
        <v>19</v>
      </c>
      <c r="I1342">
        <v>2</v>
      </c>
      <c r="J1342" s="3">
        <v>41.83</v>
      </c>
      <c r="K1342" s="2">
        <v>0.15</v>
      </c>
      <c r="L1342" s="3">
        <v>71.11</v>
      </c>
      <c r="M1342" s="3">
        <v>17.52</v>
      </c>
      <c r="N1342" t="s">
        <v>35</v>
      </c>
      <c r="O1342" s="3"/>
      <c r="P1342" s="3"/>
    </row>
    <row r="1343" spans="1:16" x14ac:dyDescent="0.3">
      <c r="A1343" t="s">
        <v>2696</v>
      </c>
      <c r="B1343" s="9" t="s">
        <v>210</v>
      </c>
      <c r="C1343" s="20" t="str">
        <f t="shared" si="20"/>
        <v>Mar</v>
      </c>
      <c r="D1343" t="s">
        <v>272</v>
      </c>
      <c r="E1343" s="10" t="s">
        <v>532</v>
      </c>
      <c r="F1343" t="s">
        <v>17</v>
      </c>
      <c r="G1343" t="s">
        <v>26</v>
      </c>
      <c r="H1343" t="s">
        <v>27</v>
      </c>
      <c r="I1343">
        <v>5</v>
      </c>
      <c r="J1343" s="3">
        <v>195.53</v>
      </c>
      <c r="K1343" s="2">
        <v>0.05</v>
      </c>
      <c r="L1343" s="3">
        <v>928.77</v>
      </c>
      <c r="M1343" s="3">
        <v>105.9</v>
      </c>
      <c r="N1343" t="s">
        <v>20</v>
      </c>
      <c r="O1343" s="3"/>
      <c r="P1343" s="3"/>
    </row>
    <row r="1344" spans="1:16" x14ac:dyDescent="0.3">
      <c r="A1344" t="s">
        <v>2697</v>
      </c>
      <c r="B1344" s="9" t="s">
        <v>1691</v>
      </c>
      <c r="C1344" s="20" t="str">
        <f t="shared" si="20"/>
        <v>Nov</v>
      </c>
      <c r="D1344" t="s">
        <v>1203</v>
      </c>
      <c r="E1344" s="10" t="s">
        <v>363</v>
      </c>
      <c r="F1344" t="s">
        <v>32</v>
      </c>
      <c r="G1344" t="s">
        <v>26</v>
      </c>
      <c r="H1344" t="s">
        <v>27</v>
      </c>
      <c r="I1344">
        <v>4</v>
      </c>
      <c r="J1344" s="3">
        <v>106.16</v>
      </c>
      <c r="K1344" s="2">
        <v>0.05</v>
      </c>
      <c r="L1344" s="3">
        <v>403.41</v>
      </c>
      <c r="M1344" s="3">
        <v>114.44</v>
      </c>
      <c r="N1344" t="s">
        <v>35</v>
      </c>
      <c r="O1344" s="3"/>
      <c r="P1344" s="3"/>
    </row>
    <row r="1345" spans="1:16" x14ac:dyDescent="0.3">
      <c r="A1345" t="s">
        <v>2698</v>
      </c>
      <c r="B1345" s="9" t="s">
        <v>133</v>
      </c>
      <c r="C1345" s="20" t="str">
        <f t="shared" si="20"/>
        <v>Apr</v>
      </c>
      <c r="D1345" t="s">
        <v>1411</v>
      </c>
      <c r="E1345" s="10" t="s">
        <v>2162</v>
      </c>
      <c r="F1345" t="s">
        <v>59</v>
      </c>
      <c r="G1345" t="s">
        <v>33</v>
      </c>
      <c r="H1345" t="s">
        <v>74</v>
      </c>
      <c r="I1345">
        <v>7</v>
      </c>
      <c r="J1345" s="3">
        <v>215.42</v>
      </c>
      <c r="K1345" s="2">
        <v>0.05</v>
      </c>
      <c r="L1345" s="3">
        <v>1432.54</v>
      </c>
      <c r="M1345" s="3">
        <v>120.4</v>
      </c>
      <c r="N1345" t="s">
        <v>20</v>
      </c>
      <c r="O1345" s="3"/>
      <c r="P1345" s="3"/>
    </row>
    <row r="1346" spans="1:16" x14ac:dyDescent="0.3">
      <c r="A1346" t="s">
        <v>2699</v>
      </c>
      <c r="B1346" s="9" t="s">
        <v>331</v>
      </c>
      <c r="C1346" s="20" t="str">
        <f t="shared" ref="C1346:C1409" si="21">TEXT(B:B, "mmm")</f>
        <v>Nov</v>
      </c>
      <c r="D1346" t="s">
        <v>480</v>
      </c>
      <c r="E1346" s="10" t="s">
        <v>1828</v>
      </c>
      <c r="F1346" t="s">
        <v>32</v>
      </c>
      <c r="G1346" t="s">
        <v>18</v>
      </c>
      <c r="H1346" t="s">
        <v>19</v>
      </c>
      <c r="I1346">
        <v>6</v>
      </c>
      <c r="J1346" s="3">
        <v>25.38</v>
      </c>
      <c r="K1346" s="2">
        <v>0.05</v>
      </c>
      <c r="L1346" s="3">
        <v>144.66999999999999</v>
      </c>
      <c r="M1346" s="3">
        <v>13.36</v>
      </c>
      <c r="N1346" t="s">
        <v>40</v>
      </c>
      <c r="O1346" s="3"/>
      <c r="P1346" s="3"/>
    </row>
    <row r="1347" spans="1:16" x14ac:dyDescent="0.3">
      <c r="A1347" t="s">
        <v>2700</v>
      </c>
      <c r="B1347" s="9" t="s">
        <v>1668</v>
      </c>
      <c r="C1347" s="20" t="str">
        <f t="shared" si="21"/>
        <v>Dec</v>
      </c>
      <c r="D1347" t="s">
        <v>1793</v>
      </c>
      <c r="E1347" s="10" t="s">
        <v>791</v>
      </c>
      <c r="F1347" t="s">
        <v>59</v>
      </c>
      <c r="G1347" t="s">
        <v>33</v>
      </c>
      <c r="H1347" t="s">
        <v>69</v>
      </c>
      <c r="I1347">
        <v>7</v>
      </c>
      <c r="J1347" s="3">
        <v>25.28</v>
      </c>
      <c r="K1347" s="2">
        <v>0.1</v>
      </c>
      <c r="L1347" s="3">
        <v>159.26</v>
      </c>
      <c r="M1347" s="3">
        <v>32.89</v>
      </c>
      <c r="N1347" t="s">
        <v>35</v>
      </c>
      <c r="O1347" s="3"/>
      <c r="P1347" s="3"/>
    </row>
    <row r="1348" spans="1:16" x14ac:dyDescent="0.3">
      <c r="A1348" t="s">
        <v>2701</v>
      </c>
      <c r="B1348" s="9" t="s">
        <v>229</v>
      </c>
      <c r="C1348" s="20" t="str">
        <f t="shared" si="21"/>
        <v>Jul</v>
      </c>
      <c r="D1348" t="s">
        <v>580</v>
      </c>
      <c r="E1348" s="10" t="s">
        <v>1612</v>
      </c>
      <c r="F1348" t="s">
        <v>64</v>
      </c>
      <c r="G1348" t="s">
        <v>26</v>
      </c>
      <c r="H1348" t="s">
        <v>27</v>
      </c>
      <c r="I1348">
        <v>8</v>
      </c>
      <c r="J1348" s="3">
        <v>219.39</v>
      </c>
      <c r="K1348" s="2">
        <v>0.1</v>
      </c>
      <c r="L1348" s="3">
        <v>1579.61</v>
      </c>
      <c r="M1348" s="3">
        <v>369.38</v>
      </c>
      <c r="N1348" t="s">
        <v>35</v>
      </c>
      <c r="O1348" s="3"/>
      <c r="P1348" s="3"/>
    </row>
    <row r="1349" spans="1:16" x14ac:dyDescent="0.3">
      <c r="A1349" t="s">
        <v>2702</v>
      </c>
      <c r="B1349" s="9" t="s">
        <v>782</v>
      </c>
      <c r="C1349" s="20" t="str">
        <f t="shared" si="21"/>
        <v>Jan</v>
      </c>
      <c r="D1349" t="s">
        <v>1653</v>
      </c>
      <c r="E1349" s="10" t="s">
        <v>641</v>
      </c>
      <c r="F1349" t="s">
        <v>59</v>
      </c>
      <c r="G1349" t="s">
        <v>89</v>
      </c>
      <c r="H1349" t="s">
        <v>150</v>
      </c>
      <c r="I1349">
        <v>7</v>
      </c>
      <c r="J1349" s="3">
        <v>46.58</v>
      </c>
      <c r="K1349" s="2">
        <v>0.05</v>
      </c>
      <c r="L1349" s="3">
        <v>309.76</v>
      </c>
      <c r="M1349" s="3">
        <v>75.88</v>
      </c>
      <c r="N1349" t="s">
        <v>40</v>
      </c>
      <c r="O1349" s="3"/>
      <c r="P1349" s="3"/>
    </row>
    <row r="1350" spans="1:16" x14ac:dyDescent="0.3">
      <c r="A1350" t="s">
        <v>2703</v>
      </c>
      <c r="B1350" s="9" t="s">
        <v>1129</v>
      </c>
      <c r="C1350" s="20" t="str">
        <f t="shared" si="21"/>
        <v>May</v>
      </c>
      <c r="D1350" t="s">
        <v>2541</v>
      </c>
      <c r="E1350" s="10" t="s">
        <v>2173</v>
      </c>
      <c r="F1350" t="s">
        <v>32</v>
      </c>
      <c r="G1350" t="s">
        <v>26</v>
      </c>
      <c r="H1350" t="s">
        <v>84</v>
      </c>
      <c r="I1350">
        <v>8</v>
      </c>
      <c r="J1350" s="3">
        <v>143.41999999999999</v>
      </c>
      <c r="K1350" s="2">
        <v>0.05</v>
      </c>
      <c r="L1350" s="3">
        <v>1089.99</v>
      </c>
      <c r="M1350" s="3">
        <v>105.53</v>
      </c>
      <c r="N1350" t="s">
        <v>35</v>
      </c>
      <c r="O1350" s="3"/>
      <c r="P1350" s="3"/>
    </row>
    <row r="1351" spans="1:16" x14ac:dyDescent="0.3">
      <c r="A1351" t="s">
        <v>2704</v>
      </c>
      <c r="B1351" s="9" t="s">
        <v>242</v>
      </c>
      <c r="C1351" s="20" t="str">
        <f t="shared" si="21"/>
        <v>Jun</v>
      </c>
      <c r="D1351" t="s">
        <v>2104</v>
      </c>
      <c r="E1351" s="10" t="s">
        <v>747</v>
      </c>
      <c r="F1351" t="s">
        <v>59</v>
      </c>
      <c r="G1351" t="s">
        <v>33</v>
      </c>
      <c r="H1351" t="s">
        <v>74</v>
      </c>
      <c r="I1351">
        <v>8</v>
      </c>
      <c r="J1351" s="3">
        <v>93.34</v>
      </c>
      <c r="K1351" s="2">
        <v>0.05</v>
      </c>
      <c r="L1351" s="3">
        <v>709.38</v>
      </c>
      <c r="M1351" s="3">
        <v>211.39</v>
      </c>
      <c r="N1351" t="s">
        <v>20</v>
      </c>
      <c r="O1351" s="3"/>
      <c r="P1351" s="3"/>
    </row>
    <row r="1352" spans="1:16" x14ac:dyDescent="0.3">
      <c r="A1352" t="s">
        <v>2705</v>
      </c>
      <c r="B1352" s="9" t="s">
        <v>1192</v>
      </c>
      <c r="C1352" s="20" t="str">
        <f t="shared" si="21"/>
        <v>Jun</v>
      </c>
      <c r="D1352" t="s">
        <v>2445</v>
      </c>
      <c r="E1352" s="10" t="s">
        <v>1038</v>
      </c>
      <c r="F1352" t="s">
        <v>25</v>
      </c>
      <c r="G1352" t="s">
        <v>89</v>
      </c>
      <c r="H1352" t="s">
        <v>131</v>
      </c>
      <c r="I1352">
        <v>5</v>
      </c>
      <c r="J1352" s="3">
        <v>227.65</v>
      </c>
      <c r="K1352" s="2">
        <v>0.05</v>
      </c>
      <c r="L1352" s="3">
        <v>1081.3399999999999</v>
      </c>
      <c r="M1352" s="3">
        <v>87.37</v>
      </c>
      <c r="N1352" t="s">
        <v>20</v>
      </c>
      <c r="O1352" s="3"/>
      <c r="P1352" s="3"/>
    </row>
    <row r="1353" spans="1:16" x14ac:dyDescent="0.3">
      <c r="A1353" t="s">
        <v>2706</v>
      </c>
      <c r="B1353" s="9" t="s">
        <v>1805</v>
      </c>
      <c r="C1353" s="20" t="str">
        <f t="shared" si="21"/>
        <v>May</v>
      </c>
      <c r="D1353" t="s">
        <v>593</v>
      </c>
      <c r="E1353" s="10" t="s">
        <v>1490</v>
      </c>
      <c r="F1353" t="s">
        <v>32</v>
      </c>
      <c r="G1353" t="s">
        <v>26</v>
      </c>
      <c r="H1353" t="s">
        <v>84</v>
      </c>
      <c r="I1353">
        <v>5</v>
      </c>
      <c r="J1353" s="3">
        <v>192.04</v>
      </c>
      <c r="K1353" s="2">
        <v>0.05</v>
      </c>
      <c r="L1353" s="3">
        <v>912.19</v>
      </c>
      <c r="M1353" s="3">
        <v>120.17</v>
      </c>
      <c r="N1353" t="s">
        <v>20</v>
      </c>
      <c r="O1353" s="3"/>
      <c r="P1353" s="3"/>
    </row>
    <row r="1354" spans="1:16" x14ac:dyDescent="0.3">
      <c r="A1354" t="s">
        <v>2707</v>
      </c>
      <c r="B1354" s="9" t="s">
        <v>1441</v>
      </c>
      <c r="C1354" s="20" t="str">
        <f t="shared" si="21"/>
        <v>Apr</v>
      </c>
      <c r="D1354" t="s">
        <v>1737</v>
      </c>
      <c r="E1354" s="10" t="s">
        <v>357</v>
      </c>
      <c r="F1354" t="s">
        <v>17</v>
      </c>
      <c r="G1354" t="s">
        <v>26</v>
      </c>
      <c r="H1354" t="s">
        <v>84</v>
      </c>
      <c r="I1354">
        <v>1</v>
      </c>
      <c r="J1354" s="3">
        <v>174.74</v>
      </c>
      <c r="K1354" s="2">
        <v>0.15</v>
      </c>
      <c r="L1354" s="3">
        <v>148.53</v>
      </c>
      <c r="M1354" s="3">
        <v>42.9</v>
      </c>
      <c r="N1354" t="s">
        <v>20</v>
      </c>
      <c r="O1354" s="3"/>
      <c r="P1354" s="3"/>
    </row>
    <row r="1355" spans="1:16" x14ac:dyDescent="0.3">
      <c r="A1355" t="s">
        <v>2708</v>
      </c>
      <c r="B1355" s="9" t="s">
        <v>1805</v>
      </c>
      <c r="C1355" s="20" t="str">
        <f t="shared" si="21"/>
        <v>May</v>
      </c>
      <c r="D1355" t="s">
        <v>2070</v>
      </c>
      <c r="E1355" s="10" t="s">
        <v>1959</v>
      </c>
      <c r="F1355" t="s">
        <v>17</v>
      </c>
      <c r="G1355" t="s">
        <v>26</v>
      </c>
      <c r="H1355" t="s">
        <v>84</v>
      </c>
      <c r="I1355">
        <v>1</v>
      </c>
      <c r="J1355" s="3">
        <v>81.92</v>
      </c>
      <c r="K1355" s="2">
        <v>0</v>
      </c>
      <c r="L1355" s="3">
        <v>81.92</v>
      </c>
      <c r="M1355" s="3">
        <v>9.5399999999999991</v>
      </c>
      <c r="N1355" t="s">
        <v>35</v>
      </c>
      <c r="O1355" s="3"/>
      <c r="P1355" s="3"/>
    </row>
    <row r="1356" spans="1:16" x14ac:dyDescent="0.3">
      <c r="A1356" t="s">
        <v>2709</v>
      </c>
      <c r="B1356" s="9" t="s">
        <v>2073</v>
      </c>
      <c r="C1356" s="20" t="str">
        <f t="shared" si="21"/>
        <v>Feb</v>
      </c>
      <c r="D1356" t="s">
        <v>984</v>
      </c>
      <c r="E1356" s="10" t="s">
        <v>944</v>
      </c>
      <c r="F1356" t="s">
        <v>64</v>
      </c>
      <c r="G1356" t="s">
        <v>33</v>
      </c>
      <c r="H1356" t="s">
        <v>69</v>
      </c>
      <c r="I1356">
        <v>3</v>
      </c>
      <c r="J1356" s="3">
        <v>86.93</v>
      </c>
      <c r="K1356" s="2">
        <v>0.15</v>
      </c>
      <c r="L1356" s="3">
        <v>221.67</v>
      </c>
      <c r="M1356" s="3">
        <v>49.6</v>
      </c>
      <c r="N1356" t="s">
        <v>40</v>
      </c>
      <c r="O1356" s="3"/>
      <c r="P1356" s="3"/>
    </row>
    <row r="1357" spans="1:16" x14ac:dyDescent="0.3">
      <c r="A1357" t="s">
        <v>2710</v>
      </c>
      <c r="B1357" s="9" t="s">
        <v>1557</v>
      </c>
      <c r="C1357" s="20" t="str">
        <f t="shared" si="21"/>
        <v>Jun</v>
      </c>
      <c r="D1357" t="s">
        <v>1404</v>
      </c>
      <c r="E1357" s="10" t="s">
        <v>1884</v>
      </c>
      <c r="F1357" t="s">
        <v>32</v>
      </c>
      <c r="G1357" t="s">
        <v>89</v>
      </c>
      <c r="H1357" t="s">
        <v>150</v>
      </c>
      <c r="I1357">
        <v>5</v>
      </c>
      <c r="J1357" s="3">
        <v>103.86</v>
      </c>
      <c r="K1357" s="2">
        <v>0.1</v>
      </c>
      <c r="L1357" s="3">
        <v>467.37</v>
      </c>
      <c r="M1357" s="3">
        <v>69.09</v>
      </c>
      <c r="N1357" t="s">
        <v>20</v>
      </c>
      <c r="O1357" s="3"/>
      <c r="P1357" s="3"/>
    </row>
    <row r="1358" spans="1:16" x14ac:dyDescent="0.3">
      <c r="A1358" t="s">
        <v>2711</v>
      </c>
      <c r="B1358" s="9" t="s">
        <v>1961</v>
      </c>
      <c r="C1358" s="20" t="str">
        <f t="shared" si="21"/>
        <v>Feb</v>
      </c>
      <c r="D1358" t="s">
        <v>1119</v>
      </c>
      <c r="E1358" s="10" t="s">
        <v>2712</v>
      </c>
      <c r="F1358" t="s">
        <v>59</v>
      </c>
      <c r="G1358" t="s">
        <v>33</v>
      </c>
      <c r="H1358" t="s">
        <v>50</v>
      </c>
      <c r="I1358">
        <v>6</v>
      </c>
      <c r="J1358" s="3">
        <v>42.48</v>
      </c>
      <c r="K1358" s="2">
        <v>0.05</v>
      </c>
      <c r="L1358" s="3">
        <v>242.14</v>
      </c>
      <c r="M1358" s="3">
        <v>60.14</v>
      </c>
      <c r="N1358" t="s">
        <v>40</v>
      </c>
      <c r="O1358" s="3"/>
      <c r="P1358" s="3"/>
    </row>
    <row r="1359" spans="1:16" x14ac:dyDescent="0.3">
      <c r="A1359" t="s">
        <v>2713</v>
      </c>
      <c r="B1359" s="9" t="s">
        <v>191</v>
      </c>
      <c r="C1359" s="20" t="str">
        <f t="shared" si="21"/>
        <v>Apr</v>
      </c>
      <c r="D1359" t="s">
        <v>633</v>
      </c>
      <c r="E1359" s="10" t="s">
        <v>273</v>
      </c>
      <c r="F1359" t="s">
        <v>59</v>
      </c>
      <c r="G1359" t="s">
        <v>26</v>
      </c>
      <c r="H1359" t="s">
        <v>27</v>
      </c>
      <c r="I1359">
        <v>4</v>
      </c>
      <c r="J1359" s="3">
        <v>73.03</v>
      </c>
      <c r="K1359" s="2">
        <v>0</v>
      </c>
      <c r="L1359" s="3">
        <v>292.12</v>
      </c>
      <c r="M1359" s="3">
        <v>42.95</v>
      </c>
      <c r="N1359" t="s">
        <v>35</v>
      </c>
      <c r="O1359" s="3"/>
      <c r="P1359" s="3"/>
    </row>
    <row r="1360" spans="1:16" x14ac:dyDescent="0.3">
      <c r="A1360" t="s">
        <v>2714</v>
      </c>
      <c r="B1360" s="9" t="s">
        <v>681</v>
      </c>
      <c r="C1360" s="20" t="str">
        <f t="shared" si="21"/>
        <v>Jan</v>
      </c>
      <c r="D1360" t="s">
        <v>328</v>
      </c>
      <c r="E1360" s="10" t="s">
        <v>31</v>
      </c>
      <c r="F1360" t="s">
        <v>59</v>
      </c>
      <c r="G1360" t="s">
        <v>33</v>
      </c>
      <c r="H1360" t="s">
        <v>74</v>
      </c>
      <c r="I1360">
        <v>8</v>
      </c>
      <c r="J1360" s="3">
        <v>180.9</v>
      </c>
      <c r="K1360" s="2">
        <v>0.1</v>
      </c>
      <c r="L1360" s="3">
        <v>1302.48</v>
      </c>
      <c r="M1360" s="3">
        <v>331.27</v>
      </c>
      <c r="N1360" t="s">
        <v>20</v>
      </c>
      <c r="O1360" s="3"/>
      <c r="P1360" s="3"/>
    </row>
    <row r="1361" spans="1:16" x14ac:dyDescent="0.3">
      <c r="A1361" t="s">
        <v>2715</v>
      </c>
      <c r="B1361" s="9" t="s">
        <v>1018</v>
      </c>
      <c r="C1361" s="20" t="str">
        <f t="shared" si="21"/>
        <v>Jul</v>
      </c>
      <c r="D1361" t="s">
        <v>295</v>
      </c>
      <c r="E1361" s="10" t="s">
        <v>1923</v>
      </c>
      <c r="F1361" t="s">
        <v>17</v>
      </c>
      <c r="G1361" t="s">
        <v>33</v>
      </c>
      <c r="H1361" t="s">
        <v>34</v>
      </c>
      <c r="I1361">
        <v>5</v>
      </c>
      <c r="J1361" s="3">
        <v>149.36000000000001</v>
      </c>
      <c r="K1361" s="2">
        <v>0</v>
      </c>
      <c r="L1361" s="3">
        <v>746.8</v>
      </c>
      <c r="M1361" s="3">
        <v>73.31</v>
      </c>
      <c r="N1361" t="s">
        <v>35</v>
      </c>
      <c r="O1361" s="3"/>
      <c r="P1361" s="3"/>
    </row>
    <row r="1362" spans="1:16" x14ac:dyDescent="0.3">
      <c r="A1362" t="s">
        <v>2716</v>
      </c>
      <c r="B1362" s="9" t="s">
        <v>349</v>
      </c>
      <c r="C1362" s="20" t="str">
        <f t="shared" si="21"/>
        <v>May</v>
      </c>
      <c r="D1362" t="s">
        <v>1385</v>
      </c>
      <c r="E1362" s="10" t="s">
        <v>1245</v>
      </c>
      <c r="F1362" t="s">
        <v>17</v>
      </c>
      <c r="G1362" t="s">
        <v>33</v>
      </c>
      <c r="H1362" t="s">
        <v>50</v>
      </c>
      <c r="I1362">
        <v>5</v>
      </c>
      <c r="J1362" s="3">
        <v>165.05</v>
      </c>
      <c r="K1362" s="2">
        <v>0.05</v>
      </c>
      <c r="L1362" s="3">
        <v>783.99</v>
      </c>
      <c r="M1362" s="3">
        <v>168.58</v>
      </c>
      <c r="N1362" t="s">
        <v>40</v>
      </c>
      <c r="O1362" s="3"/>
      <c r="P1362" s="3"/>
    </row>
    <row r="1363" spans="1:16" x14ac:dyDescent="0.3">
      <c r="A1363" t="s">
        <v>2717</v>
      </c>
      <c r="B1363" s="9" t="s">
        <v>385</v>
      </c>
      <c r="C1363" s="20" t="str">
        <f t="shared" si="21"/>
        <v>Aug</v>
      </c>
      <c r="D1363" t="s">
        <v>1305</v>
      </c>
      <c r="E1363" s="10" t="s">
        <v>469</v>
      </c>
      <c r="F1363" t="s">
        <v>59</v>
      </c>
      <c r="G1363" t="s">
        <v>89</v>
      </c>
      <c r="H1363" t="s">
        <v>150</v>
      </c>
      <c r="I1363">
        <v>8</v>
      </c>
      <c r="J1363" s="3">
        <v>43.2</v>
      </c>
      <c r="K1363" s="2">
        <v>0.15</v>
      </c>
      <c r="L1363" s="3">
        <v>293.76</v>
      </c>
      <c r="M1363" s="3">
        <v>63.61</v>
      </c>
      <c r="N1363" t="s">
        <v>40</v>
      </c>
      <c r="O1363" s="3"/>
      <c r="P1363" s="3"/>
    </row>
    <row r="1364" spans="1:16" x14ac:dyDescent="0.3">
      <c r="A1364" t="s">
        <v>2718</v>
      </c>
      <c r="B1364" s="9" t="s">
        <v>749</v>
      </c>
      <c r="C1364" s="20" t="str">
        <f t="shared" si="21"/>
        <v>Mar</v>
      </c>
      <c r="D1364" t="s">
        <v>318</v>
      </c>
      <c r="E1364" s="10" t="s">
        <v>322</v>
      </c>
      <c r="F1364" t="s">
        <v>64</v>
      </c>
      <c r="G1364" t="s">
        <v>89</v>
      </c>
      <c r="H1364" t="s">
        <v>90</v>
      </c>
      <c r="I1364">
        <v>4</v>
      </c>
      <c r="J1364" s="3">
        <v>59.63</v>
      </c>
      <c r="K1364" s="2">
        <v>0.15</v>
      </c>
      <c r="L1364" s="3">
        <v>202.74</v>
      </c>
      <c r="M1364" s="3">
        <v>50.75</v>
      </c>
      <c r="N1364" t="s">
        <v>40</v>
      </c>
      <c r="O1364" s="3"/>
      <c r="P1364" s="3"/>
    </row>
    <row r="1365" spans="1:16" x14ac:dyDescent="0.3">
      <c r="A1365" t="s">
        <v>2719</v>
      </c>
      <c r="B1365" s="9" t="s">
        <v>2425</v>
      </c>
      <c r="C1365" s="20" t="str">
        <f t="shared" si="21"/>
        <v>Nov</v>
      </c>
      <c r="D1365" t="s">
        <v>105</v>
      </c>
      <c r="E1365" s="10" t="s">
        <v>906</v>
      </c>
      <c r="F1365" t="s">
        <v>32</v>
      </c>
      <c r="G1365" t="s">
        <v>26</v>
      </c>
      <c r="H1365" t="s">
        <v>118</v>
      </c>
      <c r="I1365">
        <v>6</v>
      </c>
      <c r="J1365" s="3">
        <v>68.209999999999994</v>
      </c>
      <c r="K1365" s="2">
        <v>0</v>
      </c>
      <c r="L1365" s="3">
        <v>409.26</v>
      </c>
      <c r="M1365" s="3">
        <v>57.48</v>
      </c>
      <c r="N1365" t="s">
        <v>40</v>
      </c>
      <c r="O1365" s="3"/>
      <c r="P1365" s="3"/>
    </row>
    <row r="1366" spans="1:16" x14ac:dyDescent="0.3">
      <c r="A1366" t="s">
        <v>2720</v>
      </c>
      <c r="B1366" s="9" t="s">
        <v>1965</v>
      </c>
      <c r="C1366" s="20" t="str">
        <f t="shared" si="21"/>
        <v>Mar</v>
      </c>
      <c r="D1366" t="s">
        <v>1771</v>
      </c>
      <c r="E1366" s="10" t="s">
        <v>1038</v>
      </c>
      <c r="F1366" t="s">
        <v>64</v>
      </c>
      <c r="G1366" t="s">
        <v>26</v>
      </c>
      <c r="H1366" t="s">
        <v>118</v>
      </c>
      <c r="I1366">
        <v>2</v>
      </c>
      <c r="J1366" s="3">
        <v>206.2</v>
      </c>
      <c r="K1366" s="2">
        <v>0.15</v>
      </c>
      <c r="L1366" s="3">
        <v>350.54</v>
      </c>
      <c r="M1366" s="3">
        <v>53.36</v>
      </c>
      <c r="N1366" t="s">
        <v>35</v>
      </c>
      <c r="O1366" s="3"/>
      <c r="P1366" s="3"/>
    </row>
    <row r="1367" spans="1:16" x14ac:dyDescent="0.3">
      <c r="A1367" t="s">
        <v>2721</v>
      </c>
      <c r="B1367" s="9" t="s">
        <v>570</v>
      </c>
      <c r="C1367" s="20" t="str">
        <f t="shared" si="21"/>
        <v>Nov</v>
      </c>
      <c r="D1367" t="s">
        <v>2388</v>
      </c>
      <c r="E1367" s="10" t="s">
        <v>1153</v>
      </c>
      <c r="F1367" t="s">
        <v>64</v>
      </c>
      <c r="G1367" t="s">
        <v>18</v>
      </c>
      <c r="H1367" t="s">
        <v>45</v>
      </c>
      <c r="I1367">
        <v>4</v>
      </c>
      <c r="J1367" s="3">
        <v>188.98</v>
      </c>
      <c r="K1367" s="2">
        <v>0</v>
      </c>
      <c r="L1367" s="3">
        <v>755.92</v>
      </c>
      <c r="M1367" s="3">
        <v>99.13</v>
      </c>
      <c r="N1367" t="s">
        <v>40</v>
      </c>
      <c r="O1367" s="3"/>
      <c r="P1367" s="3"/>
    </row>
    <row r="1368" spans="1:16" x14ac:dyDescent="0.3">
      <c r="A1368" t="s">
        <v>2722</v>
      </c>
      <c r="B1368" s="9" t="s">
        <v>2151</v>
      </c>
      <c r="C1368" s="20" t="str">
        <f t="shared" si="21"/>
        <v>Jul</v>
      </c>
      <c r="D1368" t="s">
        <v>682</v>
      </c>
      <c r="E1368" s="10" t="s">
        <v>333</v>
      </c>
      <c r="F1368" t="s">
        <v>59</v>
      </c>
      <c r="G1368" t="s">
        <v>18</v>
      </c>
      <c r="H1368" t="s">
        <v>79</v>
      </c>
      <c r="I1368">
        <v>7</v>
      </c>
      <c r="J1368" s="3">
        <v>30.46</v>
      </c>
      <c r="K1368" s="2">
        <v>0.1</v>
      </c>
      <c r="L1368" s="3">
        <v>191.9</v>
      </c>
      <c r="M1368" s="3">
        <v>39.24</v>
      </c>
      <c r="N1368" t="s">
        <v>35</v>
      </c>
      <c r="O1368" s="3"/>
      <c r="P1368" s="3"/>
    </row>
    <row r="1369" spans="1:16" x14ac:dyDescent="0.3">
      <c r="A1369" t="s">
        <v>2723</v>
      </c>
      <c r="B1369" s="9" t="s">
        <v>2724</v>
      </c>
      <c r="C1369" s="20" t="str">
        <f t="shared" si="21"/>
        <v>Jan</v>
      </c>
      <c r="D1369" t="s">
        <v>314</v>
      </c>
      <c r="E1369" s="10" t="s">
        <v>322</v>
      </c>
      <c r="F1369" t="s">
        <v>17</v>
      </c>
      <c r="G1369" t="s">
        <v>26</v>
      </c>
      <c r="H1369" t="s">
        <v>118</v>
      </c>
      <c r="I1369">
        <v>8</v>
      </c>
      <c r="J1369" s="3">
        <v>245.31</v>
      </c>
      <c r="K1369" s="2">
        <v>0.05</v>
      </c>
      <c r="L1369" s="3">
        <v>1864.36</v>
      </c>
      <c r="M1369" s="3">
        <v>411.28</v>
      </c>
      <c r="N1369" t="s">
        <v>35</v>
      </c>
      <c r="O1369" s="3"/>
      <c r="P1369" s="3"/>
    </row>
    <row r="1370" spans="1:16" x14ac:dyDescent="0.3">
      <c r="A1370" t="s">
        <v>2725</v>
      </c>
      <c r="B1370" s="9" t="s">
        <v>701</v>
      </c>
      <c r="C1370" s="20" t="str">
        <f t="shared" si="21"/>
        <v>Nov</v>
      </c>
      <c r="D1370" t="s">
        <v>633</v>
      </c>
      <c r="E1370" s="10" t="s">
        <v>910</v>
      </c>
      <c r="F1370" t="s">
        <v>25</v>
      </c>
      <c r="G1370" t="s">
        <v>18</v>
      </c>
      <c r="H1370" t="s">
        <v>19</v>
      </c>
      <c r="I1370">
        <v>4</v>
      </c>
      <c r="J1370" s="3">
        <v>181.96</v>
      </c>
      <c r="K1370" s="2">
        <v>0</v>
      </c>
      <c r="L1370" s="3">
        <v>727.84</v>
      </c>
      <c r="M1370" s="3">
        <v>117.92</v>
      </c>
      <c r="N1370" t="s">
        <v>20</v>
      </c>
      <c r="O1370" s="3"/>
      <c r="P1370" s="3"/>
    </row>
    <row r="1371" spans="1:16" x14ac:dyDescent="0.3">
      <c r="A1371" t="s">
        <v>2726</v>
      </c>
      <c r="B1371" s="9" t="s">
        <v>2207</v>
      </c>
      <c r="C1371" s="20" t="str">
        <f t="shared" si="21"/>
        <v>Feb</v>
      </c>
      <c r="D1371" t="s">
        <v>2369</v>
      </c>
      <c r="E1371" s="10" t="s">
        <v>805</v>
      </c>
      <c r="F1371" t="s">
        <v>64</v>
      </c>
      <c r="G1371" t="s">
        <v>89</v>
      </c>
      <c r="H1371" t="s">
        <v>131</v>
      </c>
      <c r="I1371">
        <v>4</v>
      </c>
      <c r="J1371" s="3">
        <v>72.13</v>
      </c>
      <c r="K1371" s="2">
        <v>0</v>
      </c>
      <c r="L1371" s="3">
        <v>288.52</v>
      </c>
      <c r="M1371" s="3">
        <v>69.58</v>
      </c>
      <c r="N1371" t="s">
        <v>35</v>
      </c>
      <c r="O1371" s="3"/>
      <c r="P1371" s="3"/>
    </row>
    <row r="1372" spans="1:16" x14ac:dyDescent="0.3">
      <c r="A1372" t="s">
        <v>2727</v>
      </c>
      <c r="B1372" s="9" t="s">
        <v>1620</v>
      </c>
      <c r="C1372" s="20" t="str">
        <f t="shared" si="21"/>
        <v>Oct</v>
      </c>
      <c r="D1372" t="s">
        <v>1391</v>
      </c>
      <c r="E1372" s="10" t="s">
        <v>1828</v>
      </c>
      <c r="F1372" t="s">
        <v>64</v>
      </c>
      <c r="G1372" t="s">
        <v>26</v>
      </c>
      <c r="H1372" t="s">
        <v>84</v>
      </c>
      <c r="I1372">
        <v>3</v>
      </c>
      <c r="J1372" s="3">
        <v>227.7</v>
      </c>
      <c r="K1372" s="2">
        <v>0</v>
      </c>
      <c r="L1372" s="3">
        <v>683.1</v>
      </c>
      <c r="M1372" s="3">
        <v>181.86</v>
      </c>
      <c r="N1372" t="s">
        <v>35</v>
      </c>
      <c r="O1372" s="3"/>
      <c r="P1372" s="3"/>
    </row>
    <row r="1373" spans="1:16" x14ac:dyDescent="0.3">
      <c r="A1373" t="s">
        <v>2728</v>
      </c>
      <c r="B1373" s="9" t="s">
        <v>365</v>
      </c>
      <c r="C1373" s="20" t="str">
        <f t="shared" si="21"/>
        <v>Nov</v>
      </c>
      <c r="D1373" t="s">
        <v>1825</v>
      </c>
      <c r="E1373" s="10" t="s">
        <v>556</v>
      </c>
      <c r="F1373" t="s">
        <v>64</v>
      </c>
      <c r="G1373" t="s">
        <v>89</v>
      </c>
      <c r="H1373" t="s">
        <v>150</v>
      </c>
      <c r="I1373">
        <v>5</v>
      </c>
      <c r="J1373" s="3">
        <v>112.37</v>
      </c>
      <c r="K1373" s="2">
        <v>0</v>
      </c>
      <c r="L1373" s="3">
        <v>561.85</v>
      </c>
      <c r="M1373" s="3">
        <v>150.94999999999999</v>
      </c>
      <c r="N1373" t="s">
        <v>40</v>
      </c>
      <c r="O1373" s="3"/>
      <c r="P1373" s="3"/>
    </row>
    <row r="1374" spans="1:16" x14ac:dyDescent="0.3">
      <c r="A1374" t="s">
        <v>2729</v>
      </c>
      <c r="B1374" s="9" t="s">
        <v>2034</v>
      </c>
      <c r="C1374" s="20" t="str">
        <f t="shared" si="21"/>
        <v>Jan</v>
      </c>
      <c r="D1374" t="s">
        <v>2730</v>
      </c>
      <c r="E1374" s="10" t="s">
        <v>1224</v>
      </c>
      <c r="F1374" t="s">
        <v>25</v>
      </c>
      <c r="G1374" t="s">
        <v>26</v>
      </c>
      <c r="H1374" t="s">
        <v>84</v>
      </c>
      <c r="I1374">
        <v>6</v>
      </c>
      <c r="J1374" s="3">
        <v>173.11</v>
      </c>
      <c r="K1374" s="2">
        <v>0</v>
      </c>
      <c r="L1374" s="3">
        <v>1038.6600000000001</v>
      </c>
      <c r="M1374" s="3">
        <v>200.28</v>
      </c>
      <c r="N1374" t="s">
        <v>40</v>
      </c>
      <c r="O1374" s="3"/>
      <c r="P1374" s="3"/>
    </row>
    <row r="1375" spans="1:16" x14ac:dyDescent="0.3">
      <c r="A1375" t="s">
        <v>2731</v>
      </c>
      <c r="B1375" s="9" t="s">
        <v>313</v>
      </c>
      <c r="C1375" s="20" t="str">
        <f t="shared" si="21"/>
        <v>Aug</v>
      </c>
      <c r="D1375" t="s">
        <v>720</v>
      </c>
      <c r="E1375" s="10" t="s">
        <v>1444</v>
      </c>
      <c r="F1375" t="s">
        <v>59</v>
      </c>
      <c r="G1375" t="s">
        <v>33</v>
      </c>
      <c r="H1375" t="s">
        <v>50</v>
      </c>
      <c r="I1375">
        <v>8</v>
      </c>
      <c r="J1375" s="3">
        <v>110.13</v>
      </c>
      <c r="K1375" s="2">
        <v>0.1</v>
      </c>
      <c r="L1375" s="3">
        <v>792.94</v>
      </c>
      <c r="M1375" s="3">
        <v>174.8</v>
      </c>
      <c r="N1375" t="s">
        <v>20</v>
      </c>
      <c r="O1375" s="3"/>
      <c r="P1375" s="3"/>
    </row>
    <row r="1376" spans="1:16" x14ac:dyDescent="0.3">
      <c r="A1376" t="s">
        <v>2732</v>
      </c>
      <c r="B1376" s="9" t="s">
        <v>1713</v>
      </c>
      <c r="C1376" s="20" t="str">
        <f t="shared" si="21"/>
        <v>Jan</v>
      </c>
      <c r="D1376" t="s">
        <v>586</v>
      </c>
      <c r="E1376" s="10" t="s">
        <v>472</v>
      </c>
      <c r="F1376" t="s">
        <v>64</v>
      </c>
      <c r="G1376" t="s">
        <v>18</v>
      </c>
      <c r="H1376" t="s">
        <v>79</v>
      </c>
      <c r="I1376">
        <v>8</v>
      </c>
      <c r="J1376" s="3">
        <v>136.52000000000001</v>
      </c>
      <c r="K1376" s="2">
        <v>0.05</v>
      </c>
      <c r="L1376" s="3">
        <v>1037.55</v>
      </c>
      <c r="M1376" s="3">
        <v>94.58</v>
      </c>
      <c r="N1376" t="s">
        <v>20</v>
      </c>
      <c r="O1376" s="3"/>
      <c r="P1376" s="3"/>
    </row>
    <row r="1377" spans="1:16" x14ac:dyDescent="0.3">
      <c r="A1377" t="s">
        <v>2733</v>
      </c>
      <c r="B1377" s="9" t="s">
        <v>1418</v>
      </c>
      <c r="C1377" s="20" t="str">
        <f t="shared" si="21"/>
        <v>Sep</v>
      </c>
      <c r="D1377" t="s">
        <v>342</v>
      </c>
      <c r="E1377" s="10" t="s">
        <v>315</v>
      </c>
      <c r="F1377" t="s">
        <v>25</v>
      </c>
      <c r="G1377" t="s">
        <v>18</v>
      </c>
      <c r="H1377" t="s">
        <v>19</v>
      </c>
      <c r="I1377">
        <v>5</v>
      </c>
      <c r="J1377" s="3">
        <v>65.08</v>
      </c>
      <c r="K1377" s="2">
        <v>0.15</v>
      </c>
      <c r="L1377" s="3">
        <v>276.58999999999997</v>
      </c>
      <c r="M1377" s="3">
        <v>64.81</v>
      </c>
      <c r="N1377" t="s">
        <v>40</v>
      </c>
      <c r="O1377" s="3"/>
      <c r="P1377" s="3"/>
    </row>
    <row r="1378" spans="1:16" x14ac:dyDescent="0.3">
      <c r="A1378" t="s">
        <v>2734</v>
      </c>
      <c r="B1378" s="9" t="s">
        <v>1483</v>
      </c>
      <c r="C1378" s="20" t="str">
        <f t="shared" si="21"/>
        <v>Dec</v>
      </c>
      <c r="D1378" t="s">
        <v>511</v>
      </c>
      <c r="E1378" s="10" t="s">
        <v>161</v>
      </c>
      <c r="F1378" t="s">
        <v>64</v>
      </c>
      <c r="G1378" t="s">
        <v>18</v>
      </c>
      <c r="H1378" t="s">
        <v>45</v>
      </c>
      <c r="I1378">
        <v>8</v>
      </c>
      <c r="J1378" s="3">
        <v>220.29</v>
      </c>
      <c r="K1378" s="2">
        <v>0.1</v>
      </c>
      <c r="L1378" s="3">
        <v>1586.09</v>
      </c>
      <c r="M1378" s="3">
        <v>189.34</v>
      </c>
      <c r="N1378" t="s">
        <v>35</v>
      </c>
      <c r="O1378" s="3"/>
      <c r="P1378" s="3"/>
    </row>
    <row r="1379" spans="1:16" x14ac:dyDescent="0.3">
      <c r="A1379" t="s">
        <v>2735</v>
      </c>
      <c r="B1379" s="9" t="s">
        <v>574</v>
      </c>
      <c r="C1379" s="20" t="str">
        <f t="shared" si="21"/>
        <v>Oct</v>
      </c>
      <c r="D1379" t="s">
        <v>1700</v>
      </c>
      <c r="E1379" s="10" t="s">
        <v>811</v>
      </c>
      <c r="F1379" t="s">
        <v>17</v>
      </c>
      <c r="G1379" t="s">
        <v>89</v>
      </c>
      <c r="H1379" t="s">
        <v>90</v>
      </c>
      <c r="I1379">
        <v>2</v>
      </c>
      <c r="J1379" s="3">
        <v>145.59</v>
      </c>
      <c r="K1379" s="2">
        <v>0</v>
      </c>
      <c r="L1379" s="3">
        <v>291.18</v>
      </c>
      <c r="M1379" s="3">
        <v>44.61</v>
      </c>
      <c r="N1379" t="s">
        <v>20</v>
      </c>
      <c r="O1379" s="3"/>
      <c r="P1379" s="3"/>
    </row>
    <row r="1380" spans="1:16" x14ac:dyDescent="0.3">
      <c r="A1380" t="s">
        <v>2736</v>
      </c>
      <c r="B1380" s="9" t="s">
        <v>1035</v>
      </c>
      <c r="C1380" s="20" t="str">
        <f t="shared" si="21"/>
        <v>Apr</v>
      </c>
      <c r="D1380" t="s">
        <v>211</v>
      </c>
      <c r="E1380" s="10" t="s">
        <v>825</v>
      </c>
      <c r="F1380" t="s">
        <v>25</v>
      </c>
      <c r="G1380" t="s">
        <v>89</v>
      </c>
      <c r="H1380" t="s">
        <v>150</v>
      </c>
      <c r="I1380">
        <v>7</v>
      </c>
      <c r="J1380" s="3">
        <v>142.86000000000001</v>
      </c>
      <c r="K1380" s="2">
        <v>0.05</v>
      </c>
      <c r="L1380" s="3">
        <v>950.02</v>
      </c>
      <c r="M1380" s="3">
        <v>197.08</v>
      </c>
      <c r="N1380" t="s">
        <v>20</v>
      </c>
      <c r="O1380" s="3"/>
      <c r="P1380" s="3"/>
    </row>
    <row r="1381" spans="1:16" x14ac:dyDescent="0.3">
      <c r="A1381" t="s">
        <v>2737</v>
      </c>
      <c r="B1381" s="9" t="s">
        <v>1055</v>
      </c>
      <c r="C1381" s="20" t="str">
        <f t="shared" si="21"/>
        <v>Aug</v>
      </c>
      <c r="D1381" t="s">
        <v>1305</v>
      </c>
      <c r="E1381" s="10" t="s">
        <v>1211</v>
      </c>
      <c r="F1381" t="s">
        <v>64</v>
      </c>
      <c r="G1381" t="s">
        <v>26</v>
      </c>
      <c r="H1381" t="s">
        <v>84</v>
      </c>
      <c r="I1381">
        <v>6</v>
      </c>
      <c r="J1381" s="3">
        <v>85.95</v>
      </c>
      <c r="K1381" s="2">
        <v>0</v>
      </c>
      <c r="L1381" s="3">
        <v>515.70000000000005</v>
      </c>
      <c r="M1381" s="3">
        <v>138</v>
      </c>
      <c r="N1381" t="s">
        <v>40</v>
      </c>
      <c r="O1381" s="3"/>
      <c r="P1381" s="3"/>
    </row>
    <row r="1382" spans="1:16" x14ac:dyDescent="0.3">
      <c r="A1382" t="s">
        <v>2738</v>
      </c>
      <c r="B1382" s="9" t="s">
        <v>76</v>
      </c>
      <c r="C1382" s="20" t="str">
        <f t="shared" si="21"/>
        <v>Apr</v>
      </c>
      <c r="D1382" t="s">
        <v>87</v>
      </c>
      <c r="E1382" s="10" t="s">
        <v>628</v>
      </c>
      <c r="F1382" t="s">
        <v>32</v>
      </c>
      <c r="G1382" t="s">
        <v>89</v>
      </c>
      <c r="H1382" t="s">
        <v>150</v>
      </c>
      <c r="I1382">
        <v>3</v>
      </c>
      <c r="J1382" s="3">
        <v>150.19999999999999</v>
      </c>
      <c r="K1382" s="2">
        <v>0.15</v>
      </c>
      <c r="L1382" s="3">
        <v>383.01</v>
      </c>
      <c r="M1382" s="3">
        <v>102.73</v>
      </c>
      <c r="N1382" t="s">
        <v>35</v>
      </c>
      <c r="O1382" s="3"/>
      <c r="P1382" s="3"/>
    </row>
    <row r="1383" spans="1:16" x14ac:dyDescent="0.3">
      <c r="A1383" t="s">
        <v>2739</v>
      </c>
      <c r="B1383" s="9" t="s">
        <v>1956</v>
      </c>
      <c r="C1383" s="20" t="str">
        <f t="shared" si="21"/>
        <v>Jun</v>
      </c>
      <c r="D1383" t="s">
        <v>1082</v>
      </c>
      <c r="E1383" s="10" t="s">
        <v>811</v>
      </c>
      <c r="F1383" t="s">
        <v>25</v>
      </c>
      <c r="G1383" t="s">
        <v>89</v>
      </c>
      <c r="H1383" t="s">
        <v>131</v>
      </c>
      <c r="I1383">
        <v>5</v>
      </c>
      <c r="J1383" s="3">
        <v>104.82</v>
      </c>
      <c r="K1383" s="2">
        <v>0.15</v>
      </c>
      <c r="L1383" s="3">
        <v>445.48</v>
      </c>
      <c r="M1383" s="3">
        <v>94.11</v>
      </c>
      <c r="N1383" t="s">
        <v>40</v>
      </c>
      <c r="O1383" s="3"/>
      <c r="P1383" s="3"/>
    </row>
    <row r="1384" spans="1:16" x14ac:dyDescent="0.3">
      <c r="A1384" t="s">
        <v>2740</v>
      </c>
      <c r="B1384" s="9" t="s">
        <v>2223</v>
      </c>
      <c r="C1384" s="20" t="str">
        <f t="shared" si="21"/>
        <v>Dec</v>
      </c>
      <c r="D1384" t="s">
        <v>204</v>
      </c>
      <c r="E1384" s="10" t="s">
        <v>94</v>
      </c>
      <c r="F1384" t="s">
        <v>32</v>
      </c>
      <c r="G1384" t="s">
        <v>33</v>
      </c>
      <c r="H1384" t="s">
        <v>34</v>
      </c>
      <c r="I1384">
        <v>3</v>
      </c>
      <c r="J1384" s="3">
        <v>199.64</v>
      </c>
      <c r="K1384" s="2">
        <v>0</v>
      </c>
      <c r="L1384" s="3">
        <v>598.91999999999996</v>
      </c>
      <c r="M1384" s="3">
        <v>108.34</v>
      </c>
      <c r="N1384" t="s">
        <v>40</v>
      </c>
      <c r="O1384" s="3"/>
      <c r="P1384" s="3"/>
    </row>
    <row r="1385" spans="1:16" x14ac:dyDescent="0.3">
      <c r="A1385" t="s">
        <v>2741</v>
      </c>
      <c r="B1385" s="9" t="s">
        <v>1415</v>
      </c>
      <c r="C1385" s="20" t="str">
        <f t="shared" si="21"/>
        <v>Sep</v>
      </c>
      <c r="D1385" t="s">
        <v>2065</v>
      </c>
      <c r="E1385" s="10" t="s">
        <v>126</v>
      </c>
      <c r="F1385" t="s">
        <v>32</v>
      </c>
      <c r="G1385" t="s">
        <v>33</v>
      </c>
      <c r="H1385" t="s">
        <v>34</v>
      </c>
      <c r="I1385">
        <v>3</v>
      </c>
      <c r="J1385" s="3">
        <v>74.569999999999993</v>
      </c>
      <c r="K1385" s="2">
        <v>0.05</v>
      </c>
      <c r="L1385" s="3">
        <v>212.52</v>
      </c>
      <c r="M1385" s="3">
        <v>32.31</v>
      </c>
      <c r="N1385" t="s">
        <v>35</v>
      </c>
      <c r="O1385" s="3"/>
      <c r="P1385" s="3"/>
    </row>
    <row r="1386" spans="1:16" x14ac:dyDescent="0.3">
      <c r="A1386" t="s">
        <v>2742</v>
      </c>
      <c r="B1386" s="9" t="s">
        <v>338</v>
      </c>
      <c r="C1386" s="20" t="str">
        <f t="shared" si="21"/>
        <v>Dec</v>
      </c>
      <c r="D1386" t="s">
        <v>953</v>
      </c>
      <c r="E1386" s="10" t="s">
        <v>880</v>
      </c>
      <c r="F1386" t="s">
        <v>32</v>
      </c>
      <c r="G1386" t="s">
        <v>26</v>
      </c>
      <c r="H1386" t="s">
        <v>118</v>
      </c>
      <c r="I1386">
        <v>4</v>
      </c>
      <c r="J1386" s="3">
        <v>170.98</v>
      </c>
      <c r="K1386" s="2">
        <v>0.15</v>
      </c>
      <c r="L1386" s="3">
        <v>581.33000000000004</v>
      </c>
      <c r="M1386" s="3">
        <v>55.38</v>
      </c>
      <c r="N1386" t="s">
        <v>35</v>
      </c>
      <c r="O1386" s="3"/>
      <c r="P1386" s="3"/>
    </row>
    <row r="1387" spans="1:16" x14ac:dyDescent="0.3">
      <c r="A1387" t="s">
        <v>2743</v>
      </c>
      <c r="B1387" s="9" t="s">
        <v>1190</v>
      </c>
      <c r="C1387" s="20" t="str">
        <f t="shared" si="21"/>
        <v>Feb</v>
      </c>
      <c r="D1387" t="s">
        <v>2744</v>
      </c>
      <c r="E1387" s="10" t="s">
        <v>821</v>
      </c>
      <c r="F1387" t="s">
        <v>25</v>
      </c>
      <c r="G1387" t="s">
        <v>26</v>
      </c>
      <c r="H1387" t="s">
        <v>118</v>
      </c>
      <c r="I1387">
        <v>3</v>
      </c>
      <c r="J1387" s="3">
        <v>87.57</v>
      </c>
      <c r="K1387" s="2">
        <v>0</v>
      </c>
      <c r="L1387" s="3">
        <v>262.70999999999998</v>
      </c>
      <c r="M1387" s="3">
        <v>40.18</v>
      </c>
      <c r="N1387" t="s">
        <v>40</v>
      </c>
      <c r="O1387" s="3"/>
      <c r="P1387" s="3"/>
    </row>
    <row r="1388" spans="1:16" x14ac:dyDescent="0.3">
      <c r="A1388" t="s">
        <v>2745</v>
      </c>
      <c r="B1388" s="9" t="s">
        <v>768</v>
      </c>
      <c r="C1388" s="20" t="str">
        <f t="shared" si="21"/>
        <v>Jun</v>
      </c>
      <c r="D1388" t="s">
        <v>379</v>
      </c>
      <c r="E1388" s="10" t="s">
        <v>910</v>
      </c>
      <c r="F1388" t="s">
        <v>59</v>
      </c>
      <c r="G1388" t="s">
        <v>26</v>
      </c>
      <c r="H1388" t="s">
        <v>118</v>
      </c>
      <c r="I1388">
        <v>4</v>
      </c>
      <c r="J1388" s="3">
        <v>83.68</v>
      </c>
      <c r="K1388" s="2">
        <v>0</v>
      </c>
      <c r="L1388" s="3">
        <v>334.72</v>
      </c>
      <c r="M1388" s="3">
        <v>28.04</v>
      </c>
      <c r="N1388" t="s">
        <v>20</v>
      </c>
      <c r="O1388" s="3"/>
      <c r="P1388" s="3"/>
    </row>
    <row r="1389" spans="1:16" x14ac:dyDescent="0.3">
      <c r="A1389" t="s">
        <v>2746</v>
      </c>
      <c r="B1389" s="9" t="s">
        <v>1495</v>
      </c>
      <c r="C1389" s="20" t="str">
        <f t="shared" si="21"/>
        <v>Jan</v>
      </c>
      <c r="D1389" t="s">
        <v>2747</v>
      </c>
      <c r="E1389" s="10" t="s">
        <v>1750</v>
      </c>
      <c r="F1389" t="s">
        <v>59</v>
      </c>
      <c r="G1389" t="s">
        <v>26</v>
      </c>
      <c r="H1389" t="s">
        <v>27</v>
      </c>
      <c r="I1389">
        <v>3</v>
      </c>
      <c r="J1389" s="3">
        <v>210.64</v>
      </c>
      <c r="K1389" s="2">
        <v>0</v>
      </c>
      <c r="L1389" s="3">
        <v>631.91999999999996</v>
      </c>
      <c r="M1389" s="3">
        <v>144.71</v>
      </c>
      <c r="N1389" t="s">
        <v>35</v>
      </c>
      <c r="O1389" s="3"/>
      <c r="P1389" s="3"/>
    </row>
    <row r="1390" spans="1:16" x14ac:dyDescent="0.3">
      <c r="A1390" t="s">
        <v>2748</v>
      </c>
      <c r="B1390" s="9" t="s">
        <v>2590</v>
      </c>
      <c r="C1390" s="20" t="str">
        <f t="shared" si="21"/>
        <v>Feb</v>
      </c>
      <c r="D1390" t="s">
        <v>1255</v>
      </c>
      <c r="E1390" s="10" t="s">
        <v>44</v>
      </c>
      <c r="F1390" t="s">
        <v>64</v>
      </c>
      <c r="G1390" t="s">
        <v>26</v>
      </c>
      <c r="H1390" t="s">
        <v>118</v>
      </c>
      <c r="I1390">
        <v>8</v>
      </c>
      <c r="J1390" s="3">
        <v>32.44</v>
      </c>
      <c r="K1390" s="2">
        <v>0.05</v>
      </c>
      <c r="L1390" s="3">
        <v>246.54</v>
      </c>
      <c r="M1390" s="3">
        <v>26.69</v>
      </c>
      <c r="N1390" t="s">
        <v>35</v>
      </c>
      <c r="O1390" s="3"/>
      <c r="P1390" s="3"/>
    </row>
    <row r="1391" spans="1:16" x14ac:dyDescent="0.3">
      <c r="A1391" t="s">
        <v>2749</v>
      </c>
      <c r="B1391" s="9" t="s">
        <v>1226</v>
      </c>
      <c r="C1391" s="20" t="str">
        <f t="shared" si="21"/>
        <v>Nov</v>
      </c>
      <c r="D1391" t="s">
        <v>1451</v>
      </c>
      <c r="E1391" s="10" t="s">
        <v>2177</v>
      </c>
      <c r="F1391" t="s">
        <v>17</v>
      </c>
      <c r="G1391" t="s">
        <v>18</v>
      </c>
      <c r="H1391" t="s">
        <v>45</v>
      </c>
      <c r="I1391">
        <v>1</v>
      </c>
      <c r="J1391" s="3">
        <v>202.24</v>
      </c>
      <c r="K1391" s="2">
        <v>0.1</v>
      </c>
      <c r="L1391" s="3">
        <v>182.02</v>
      </c>
      <c r="M1391" s="3">
        <v>53.75</v>
      </c>
      <c r="N1391" t="s">
        <v>40</v>
      </c>
      <c r="O1391" s="3"/>
      <c r="P1391" s="3"/>
    </row>
    <row r="1392" spans="1:16" x14ac:dyDescent="0.3">
      <c r="A1392" t="s">
        <v>2750</v>
      </c>
      <c r="B1392" s="9" t="s">
        <v>1043</v>
      </c>
      <c r="C1392" s="20" t="str">
        <f t="shared" si="21"/>
        <v>Mar</v>
      </c>
      <c r="D1392" t="s">
        <v>2208</v>
      </c>
      <c r="E1392" s="10" t="s">
        <v>1231</v>
      </c>
      <c r="F1392" t="s">
        <v>64</v>
      </c>
      <c r="G1392" t="s">
        <v>18</v>
      </c>
      <c r="H1392" t="s">
        <v>45</v>
      </c>
      <c r="I1392">
        <v>7</v>
      </c>
      <c r="J1392" s="3">
        <v>154.69999999999999</v>
      </c>
      <c r="K1392" s="2">
        <v>0.15</v>
      </c>
      <c r="L1392" s="3">
        <v>920.46</v>
      </c>
      <c r="M1392" s="3">
        <v>274.05</v>
      </c>
      <c r="N1392" t="s">
        <v>20</v>
      </c>
      <c r="O1392" s="3"/>
      <c r="P1392" s="3"/>
    </row>
    <row r="1393" spans="1:16" x14ac:dyDescent="0.3">
      <c r="A1393" t="s">
        <v>2751</v>
      </c>
      <c r="B1393" s="9" t="s">
        <v>850</v>
      </c>
      <c r="C1393" s="20" t="str">
        <f t="shared" si="21"/>
        <v>Mar</v>
      </c>
      <c r="D1393" t="s">
        <v>967</v>
      </c>
      <c r="E1393" s="10" t="s">
        <v>1047</v>
      </c>
      <c r="F1393" t="s">
        <v>32</v>
      </c>
      <c r="G1393" t="s">
        <v>26</v>
      </c>
      <c r="H1393" t="s">
        <v>118</v>
      </c>
      <c r="I1393">
        <v>3</v>
      </c>
      <c r="J1393" s="3">
        <v>204.76</v>
      </c>
      <c r="K1393" s="2">
        <v>0</v>
      </c>
      <c r="L1393" s="3">
        <v>614.28</v>
      </c>
      <c r="M1393" s="3">
        <v>67.239999999999995</v>
      </c>
      <c r="N1393" t="s">
        <v>35</v>
      </c>
      <c r="O1393" s="3"/>
      <c r="P1393" s="3"/>
    </row>
    <row r="1394" spans="1:16" x14ac:dyDescent="0.3">
      <c r="A1394" t="s">
        <v>2752</v>
      </c>
      <c r="B1394" s="9" t="s">
        <v>111</v>
      </c>
      <c r="C1394" s="20" t="str">
        <f t="shared" si="21"/>
        <v>Apr</v>
      </c>
      <c r="D1394" t="s">
        <v>604</v>
      </c>
      <c r="E1394" s="10" t="s">
        <v>2354</v>
      </c>
      <c r="F1394" t="s">
        <v>59</v>
      </c>
      <c r="G1394" t="s">
        <v>89</v>
      </c>
      <c r="H1394" t="s">
        <v>90</v>
      </c>
      <c r="I1394">
        <v>7</v>
      </c>
      <c r="J1394" s="3">
        <v>97.81</v>
      </c>
      <c r="K1394" s="2">
        <v>0.05</v>
      </c>
      <c r="L1394" s="3">
        <v>650.44000000000005</v>
      </c>
      <c r="M1394" s="3">
        <v>60.15</v>
      </c>
      <c r="N1394" t="s">
        <v>20</v>
      </c>
      <c r="O1394" s="3"/>
      <c r="P1394" s="3"/>
    </row>
    <row r="1395" spans="1:16" x14ac:dyDescent="0.3">
      <c r="A1395" t="s">
        <v>2753</v>
      </c>
      <c r="B1395" s="9" t="s">
        <v>124</v>
      </c>
      <c r="C1395" s="20" t="str">
        <f t="shared" si="21"/>
        <v>Jun</v>
      </c>
      <c r="D1395" t="s">
        <v>353</v>
      </c>
      <c r="E1395" s="10" t="s">
        <v>962</v>
      </c>
      <c r="F1395" t="s">
        <v>17</v>
      </c>
      <c r="G1395" t="s">
        <v>18</v>
      </c>
      <c r="H1395" t="s">
        <v>79</v>
      </c>
      <c r="I1395">
        <v>3</v>
      </c>
      <c r="J1395" s="3">
        <v>25.67</v>
      </c>
      <c r="K1395" s="2">
        <v>0.1</v>
      </c>
      <c r="L1395" s="3">
        <v>69.31</v>
      </c>
      <c r="M1395" s="3">
        <v>17.600000000000001</v>
      </c>
      <c r="N1395" t="s">
        <v>40</v>
      </c>
      <c r="O1395" s="3"/>
      <c r="P1395" s="3"/>
    </row>
    <row r="1396" spans="1:16" x14ac:dyDescent="0.3">
      <c r="A1396" t="s">
        <v>2754</v>
      </c>
      <c r="B1396" s="9" t="s">
        <v>2588</v>
      </c>
      <c r="C1396" s="20" t="str">
        <f t="shared" si="21"/>
        <v>May</v>
      </c>
      <c r="D1396" t="s">
        <v>2755</v>
      </c>
      <c r="E1396" s="10" t="s">
        <v>300</v>
      </c>
      <c r="F1396" t="s">
        <v>59</v>
      </c>
      <c r="G1396" t="s">
        <v>26</v>
      </c>
      <c r="H1396" t="s">
        <v>27</v>
      </c>
      <c r="I1396">
        <v>7</v>
      </c>
      <c r="J1396" s="3">
        <v>107.5</v>
      </c>
      <c r="K1396" s="2">
        <v>0.15</v>
      </c>
      <c r="L1396" s="3">
        <v>639.62</v>
      </c>
      <c r="M1396" s="3">
        <v>116.17</v>
      </c>
      <c r="N1396" t="s">
        <v>20</v>
      </c>
      <c r="O1396" s="3"/>
      <c r="P1396" s="3"/>
    </row>
    <row r="1397" spans="1:16" x14ac:dyDescent="0.3">
      <c r="A1397" t="s">
        <v>2756</v>
      </c>
      <c r="B1397" s="9" t="s">
        <v>170</v>
      </c>
      <c r="C1397" s="20" t="str">
        <f t="shared" si="21"/>
        <v>Mar</v>
      </c>
      <c r="D1397" t="s">
        <v>458</v>
      </c>
      <c r="E1397" s="10" t="s">
        <v>2319</v>
      </c>
      <c r="F1397" t="s">
        <v>32</v>
      </c>
      <c r="G1397" t="s">
        <v>26</v>
      </c>
      <c r="H1397" t="s">
        <v>84</v>
      </c>
      <c r="I1397">
        <v>7</v>
      </c>
      <c r="J1397" s="3">
        <v>184.91</v>
      </c>
      <c r="K1397" s="2">
        <v>0.15</v>
      </c>
      <c r="L1397" s="3">
        <v>1100.21</v>
      </c>
      <c r="M1397" s="3">
        <v>293.08</v>
      </c>
      <c r="N1397" t="s">
        <v>20</v>
      </c>
      <c r="O1397" s="3"/>
      <c r="P1397" s="3"/>
    </row>
    <row r="1398" spans="1:16" x14ac:dyDescent="0.3">
      <c r="A1398" t="s">
        <v>2759</v>
      </c>
      <c r="B1398" s="9" t="s">
        <v>1896</v>
      </c>
      <c r="C1398" s="20" t="str">
        <f t="shared" si="21"/>
        <v>Jun</v>
      </c>
      <c r="D1398" t="s">
        <v>1545</v>
      </c>
      <c r="E1398" s="10" t="s">
        <v>601</v>
      </c>
      <c r="F1398" t="s">
        <v>17</v>
      </c>
      <c r="G1398" t="s">
        <v>33</v>
      </c>
      <c r="H1398" t="s">
        <v>50</v>
      </c>
      <c r="I1398">
        <v>3</v>
      </c>
      <c r="J1398" s="3">
        <v>158.51</v>
      </c>
      <c r="K1398" s="2">
        <v>0.05</v>
      </c>
      <c r="L1398" s="3">
        <v>451.75</v>
      </c>
      <c r="M1398" s="3">
        <v>40.450000000000003</v>
      </c>
      <c r="N1398" t="s">
        <v>40</v>
      </c>
      <c r="O1398" s="3"/>
      <c r="P1398" s="3"/>
    </row>
    <row r="1399" spans="1:16" x14ac:dyDescent="0.3">
      <c r="A1399" t="s">
        <v>2760</v>
      </c>
      <c r="B1399" s="9" t="s">
        <v>483</v>
      </c>
      <c r="C1399" s="20" t="str">
        <f t="shared" si="21"/>
        <v>Feb</v>
      </c>
      <c r="D1399" t="s">
        <v>2761</v>
      </c>
      <c r="E1399" s="10" t="s">
        <v>666</v>
      </c>
      <c r="F1399" t="s">
        <v>25</v>
      </c>
      <c r="G1399" t="s">
        <v>33</v>
      </c>
      <c r="H1399" t="s">
        <v>34</v>
      </c>
      <c r="I1399">
        <v>4</v>
      </c>
      <c r="J1399" s="3">
        <v>106.46</v>
      </c>
      <c r="K1399" s="2">
        <v>0</v>
      </c>
      <c r="L1399" s="3">
        <v>425.84</v>
      </c>
      <c r="M1399" s="3">
        <v>107.65</v>
      </c>
      <c r="N1399" t="s">
        <v>35</v>
      </c>
      <c r="O1399" s="3"/>
      <c r="P1399" s="3"/>
    </row>
    <row r="1400" spans="1:16" x14ac:dyDescent="0.3">
      <c r="A1400" t="s">
        <v>2762</v>
      </c>
      <c r="B1400" s="9" t="s">
        <v>1252</v>
      </c>
      <c r="C1400" s="20" t="str">
        <f t="shared" si="21"/>
        <v>Oct</v>
      </c>
      <c r="D1400" t="s">
        <v>1244</v>
      </c>
      <c r="E1400" s="10" t="s">
        <v>2418</v>
      </c>
      <c r="F1400" t="s">
        <v>59</v>
      </c>
      <c r="G1400" t="s">
        <v>26</v>
      </c>
      <c r="H1400" t="s">
        <v>84</v>
      </c>
      <c r="I1400">
        <v>6</v>
      </c>
      <c r="J1400" s="3">
        <v>210.38</v>
      </c>
      <c r="K1400" s="2">
        <v>0.15</v>
      </c>
      <c r="L1400" s="3">
        <v>1072.94</v>
      </c>
      <c r="M1400" s="3">
        <v>220.07</v>
      </c>
      <c r="N1400" t="s">
        <v>35</v>
      </c>
      <c r="O1400" s="3"/>
      <c r="P1400" s="3"/>
    </row>
    <row r="1401" spans="1:16" x14ac:dyDescent="0.3">
      <c r="A1401" t="s">
        <v>2763</v>
      </c>
      <c r="B1401" s="9" t="s">
        <v>1415</v>
      </c>
      <c r="C1401" s="20" t="str">
        <f t="shared" si="21"/>
        <v>Sep</v>
      </c>
      <c r="D1401" t="s">
        <v>1737</v>
      </c>
      <c r="E1401" s="10" t="s">
        <v>1264</v>
      </c>
      <c r="F1401" t="s">
        <v>17</v>
      </c>
      <c r="G1401" t="s">
        <v>26</v>
      </c>
      <c r="H1401" t="s">
        <v>27</v>
      </c>
      <c r="I1401">
        <v>7</v>
      </c>
      <c r="J1401" s="3">
        <v>149.41999999999999</v>
      </c>
      <c r="K1401" s="2">
        <v>0</v>
      </c>
      <c r="L1401" s="3">
        <v>1045.94</v>
      </c>
      <c r="M1401" s="3">
        <v>310.72000000000003</v>
      </c>
      <c r="N1401" t="s">
        <v>35</v>
      </c>
      <c r="O1401" s="3"/>
      <c r="P1401" s="3"/>
    </row>
    <row r="1402" spans="1:16" x14ac:dyDescent="0.3">
      <c r="A1402" t="s">
        <v>2764</v>
      </c>
      <c r="B1402" s="9" t="s">
        <v>775</v>
      </c>
      <c r="C1402" s="20" t="str">
        <f t="shared" si="21"/>
        <v>Sep</v>
      </c>
      <c r="D1402" t="s">
        <v>2208</v>
      </c>
      <c r="E1402" s="10" t="s">
        <v>808</v>
      </c>
      <c r="F1402" t="s">
        <v>59</v>
      </c>
      <c r="G1402" t="s">
        <v>26</v>
      </c>
      <c r="H1402" t="s">
        <v>84</v>
      </c>
      <c r="I1402">
        <v>2</v>
      </c>
      <c r="J1402" s="3">
        <v>101.41</v>
      </c>
      <c r="K1402" s="2">
        <v>0.15</v>
      </c>
      <c r="L1402" s="3">
        <v>172.4</v>
      </c>
      <c r="M1402" s="3">
        <v>20.440000000000001</v>
      </c>
      <c r="N1402" t="s">
        <v>40</v>
      </c>
      <c r="O1402" s="3"/>
      <c r="P1402" s="3"/>
    </row>
    <row r="1403" spans="1:16" x14ac:dyDescent="0.3">
      <c r="A1403" t="s">
        <v>2765</v>
      </c>
      <c r="B1403" s="9" t="s">
        <v>665</v>
      </c>
      <c r="C1403" s="20" t="str">
        <f t="shared" si="21"/>
        <v>Aug</v>
      </c>
      <c r="D1403" t="s">
        <v>1653</v>
      </c>
      <c r="E1403" s="10" t="s">
        <v>922</v>
      </c>
      <c r="F1403" t="s">
        <v>17</v>
      </c>
      <c r="G1403" t="s">
        <v>18</v>
      </c>
      <c r="H1403" t="s">
        <v>19</v>
      </c>
      <c r="I1403">
        <v>5</v>
      </c>
      <c r="J1403" s="3">
        <v>70.25</v>
      </c>
      <c r="K1403" s="2">
        <v>0.15</v>
      </c>
      <c r="L1403" s="3">
        <v>298.56</v>
      </c>
      <c r="M1403" s="3">
        <v>89.12</v>
      </c>
      <c r="N1403" t="s">
        <v>20</v>
      </c>
      <c r="O1403" s="3"/>
      <c r="P1403" s="3"/>
    </row>
    <row r="1404" spans="1:16" x14ac:dyDescent="0.3">
      <c r="A1404" t="s">
        <v>2766</v>
      </c>
      <c r="B1404" s="9" t="s">
        <v>900</v>
      </c>
      <c r="C1404" s="20" t="str">
        <f t="shared" si="21"/>
        <v>Oct</v>
      </c>
      <c r="D1404" t="s">
        <v>171</v>
      </c>
      <c r="E1404" s="10" t="s">
        <v>1669</v>
      </c>
      <c r="F1404" t="s">
        <v>32</v>
      </c>
      <c r="G1404" t="s">
        <v>18</v>
      </c>
      <c r="H1404" t="s">
        <v>19</v>
      </c>
      <c r="I1404">
        <v>8</v>
      </c>
      <c r="J1404" s="3">
        <v>86.68</v>
      </c>
      <c r="K1404" s="2">
        <v>0.05</v>
      </c>
      <c r="L1404" s="3">
        <v>658.77</v>
      </c>
      <c r="M1404" s="3">
        <v>120.5</v>
      </c>
      <c r="N1404" t="s">
        <v>40</v>
      </c>
      <c r="O1404" s="3"/>
      <c r="P1404" s="3"/>
    </row>
    <row r="1405" spans="1:16" x14ac:dyDescent="0.3">
      <c r="A1405" t="s">
        <v>2767</v>
      </c>
      <c r="B1405" s="9" t="s">
        <v>2166</v>
      </c>
      <c r="C1405" s="20" t="str">
        <f t="shared" si="21"/>
        <v>Dec</v>
      </c>
      <c r="D1405" t="s">
        <v>1700</v>
      </c>
      <c r="E1405" s="10" t="s">
        <v>546</v>
      </c>
      <c r="F1405" t="s">
        <v>59</v>
      </c>
      <c r="G1405" t="s">
        <v>89</v>
      </c>
      <c r="H1405" t="s">
        <v>90</v>
      </c>
      <c r="I1405">
        <v>5</v>
      </c>
      <c r="J1405" s="3">
        <v>230.97</v>
      </c>
      <c r="K1405" s="2">
        <v>0.1</v>
      </c>
      <c r="L1405" s="3">
        <v>1039.3699999999999</v>
      </c>
      <c r="M1405" s="3">
        <v>184.33</v>
      </c>
      <c r="N1405" t="s">
        <v>20</v>
      </c>
      <c r="O1405" s="3"/>
      <c r="P1405" s="3"/>
    </row>
    <row r="1406" spans="1:16" x14ac:dyDescent="0.3">
      <c r="A1406" t="s">
        <v>2768</v>
      </c>
      <c r="B1406" s="9" t="s">
        <v>506</v>
      </c>
      <c r="C1406" s="20" t="str">
        <f t="shared" si="21"/>
        <v>Feb</v>
      </c>
      <c r="D1406" t="s">
        <v>647</v>
      </c>
      <c r="E1406" s="10" t="s">
        <v>1182</v>
      </c>
      <c r="F1406" t="s">
        <v>17</v>
      </c>
      <c r="G1406" t="s">
        <v>18</v>
      </c>
      <c r="H1406" t="s">
        <v>45</v>
      </c>
      <c r="I1406">
        <v>7</v>
      </c>
      <c r="J1406" s="3">
        <v>155.54</v>
      </c>
      <c r="K1406" s="2">
        <v>0</v>
      </c>
      <c r="L1406" s="3">
        <v>1088.78</v>
      </c>
      <c r="M1406" s="3">
        <v>208.18</v>
      </c>
      <c r="N1406" t="s">
        <v>20</v>
      </c>
      <c r="O1406" s="3"/>
      <c r="P1406" s="3"/>
    </row>
    <row r="1407" spans="1:16" x14ac:dyDescent="0.3">
      <c r="A1407" t="s">
        <v>2769</v>
      </c>
      <c r="B1407" s="9" t="s">
        <v>1198</v>
      </c>
      <c r="C1407" s="20" t="str">
        <f t="shared" si="21"/>
        <v>Jul</v>
      </c>
      <c r="D1407" t="s">
        <v>876</v>
      </c>
      <c r="E1407" s="10" t="s">
        <v>2319</v>
      </c>
      <c r="F1407" t="s">
        <v>32</v>
      </c>
      <c r="G1407" t="s">
        <v>18</v>
      </c>
      <c r="H1407" t="s">
        <v>45</v>
      </c>
      <c r="I1407">
        <v>5</v>
      </c>
      <c r="J1407" s="3">
        <v>37.03</v>
      </c>
      <c r="K1407" s="2">
        <v>0.05</v>
      </c>
      <c r="L1407" s="3">
        <v>175.89</v>
      </c>
      <c r="M1407" s="3">
        <v>40.61</v>
      </c>
      <c r="N1407" t="s">
        <v>35</v>
      </c>
      <c r="O1407" s="3"/>
      <c r="P1407" s="3"/>
    </row>
    <row r="1408" spans="1:16" x14ac:dyDescent="0.3">
      <c r="A1408" t="s">
        <v>2770</v>
      </c>
      <c r="B1408" s="9" t="s">
        <v>37</v>
      </c>
      <c r="C1408" s="20" t="str">
        <f t="shared" si="21"/>
        <v>Dec</v>
      </c>
      <c r="D1408" t="s">
        <v>2004</v>
      </c>
      <c r="E1408" s="10" t="s">
        <v>1484</v>
      </c>
      <c r="F1408" t="s">
        <v>25</v>
      </c>
      <c r="G1408" t="s">
        <v>33</v>
      </c>
      <c r="H1408" t="s">
        <v>50</v>
      </c>
      <c r="I1408">
        <v>1</v>
      </c>
      <c r="J1408" s="3">
        <v>164.98</v>
      </c>
      <c r="K1408" s="2">
        <v>0.05</v>
      </c>
      <c r="L1408" s="3">
        <v>156.72999999999999</v>
      </c>
      <c r="M1408" s="3">
        <v>31.96</v>
      </c>
      <c r="N1408" t="s">
        <v>35</v>
      </c>
      <c r="O1408" s="3"/>
      <c r="P1408" s="3"/>
    </row>
    <row r="1409" spans="1:16" x14ac:dyDescent="0.3">
      <c r="A1409" t="s">
        <v>2771</v>
      </c>
      <c r="B1409" s="9" t="s">
        <v>2500</v>
      </c>
      <c r="C1409" s="20" t="str">
        <f t="shared" si="21"/>
        <v>Feb</v>
      </c>
      <c r="D1409" t="s">
        <v>1504</v>
      </c>
      <c r="E1409" s="10" t="s">
        <v>205</v>
      </c>
      <c r="F1409" t="s">
        <v>17</v>
      </c>
      <c r="G1409" t="s">
        <v>26</v>
      </c>
      <c r="H1409" t="s">
        <v>27</v>
      </c>
      <c r="I1409">
        <v>2</v>
      </c>
      <c r="J1409" s="3">
        <v>192.67</v>
      </c>
      <c r="K1409" s="2">
        <v>0.1</v>
      </c>
      <c r="L1409" s="3">
        <v>346.81</v>
      </c>
      <c r="M1409" s="3">
        <v>79.989999999999995</v>
      </c>
      <c r="N1409" t="s">
        <v>20</v>
      </c>
      <c r="O1409" s="3"/>
      <c r="P1409" s="3"/>
    </row>
    <row r="1410" spans="1:16" x14ac:dyDescent="0.3">
      <c r="A1410" t="s">
        <v>2772</v>
      </c>
      <c r="B1410" s="9" t="s">
        <v>108</v>
      </c>
      <c r="C1410" s="20" t="str">
        <f t="shared" ref="C1410:C1473" si="22">TEXT(B:B, "mmm")</f>
        <v>May</v>
      </c>
      <c r="D1410" t="s">
        <v>1283</v>
      </c>
      <c r="E1410" s="10" t="s">
        <v>153</v>
      </c>
      <c r="F1410" t="s">
        <v>32</v>
      </c>
      <c r="G1410" t="s">
        <v>26</v>
      </c>
      <c r="H1410" t="s">
        <v>118</v>
      </c>
      <c r="I1410">
        <v>5</v>
      </c>
      <c r="J1410" s="3">
        <v>111.69</v>
      </c>
      <c r="K1410" s="2">
        <v>0.15</v>
      </c>
      <c r="L1410" s="3">
        <v>474.68</v>
      </c>
      <c r="M1410" s="3">
        <v>105.27</v>
      </c>
      <c r="N1410" t="s">
        <v>20</v>
      </c>
      <c r="O1410" s="3"/>
      <c r="P1410" s="3"/>
    </row>
    <row r="1411" spans="1:16" x14ac:dyDescent="0.3">
      <c r="A1411" t="s">
        <v>2773</v>
      </c>
      <c r="B1411" s="9" t="s">
        <v>320</v>
      </c>
      <c r="C1411" s="20" t="str">
        <f t="shared" si="22"/>
        <v>Jun</v>
      </c>
      <c r="D1411" t="s">
        <v>673</v>
      </c>
      <c r="E1411" s="10" t="s">
        <v>1553</v>
      </c>
      <c r="F1411" t="s">
        <v>59</v>
      </c>
      <c r="G1411" t="s">
        <v>18</v>
      </c>
      <c r="H1411" t="s">
        <v>19</v>
      </c>
      <c r="I1411">
        <v>6</v>
      </c>
      <c r="J1411" s="3">
        <v>179.23</v>
      </c>
      <c r="K1411" s="2">
        <v>0</v>
      </c>
      <c r="L1411" s="3">
        <v>1075.3800000000001</v>
      </c>
      <c r="M1411" s="3">
        <v>172.94</v>
      </c>
      <c r="N1411" t="s">
        <v>35</v>
      </c>
      <c r="O1411" s="3"/>
      <c r="P1411" s="3"/>
    </row>
    <row r="1412" spans="1:16" x14ac:dyDescent="0.3">
      <c r="A1412" t="s">
        <v>2774</v>
      </c>
      <c r="B1412" s="9" t="s">
        <v>929</v>
      </c>
      <c r="C1412" s="20" t="str">
        <f t="shared" si="22"/>
        <v>May</v>
      </c>
      <c r="D1412" t="s">
        <v>1760</v>
      </c>
      <c r="E1412" s="10" t="s">
        <v>618</v>
      </c>
      <c r="F1412" t="s">
        <v>25</v>
      </c>
      <c r="G1412" t="s">
        <v>33</v>
      </c>
      <c r="H1412" t="s">
        <v>74</v>
      </c>
      <c r="I1412">
        <v>3</v>
      </c>
      <c r="J1412" s="3">
        <v>92.31</v>
      </c>
      <c r="K1412" s="2">
        <v>0.1</v>
      </c>
      <c r="L1412" s="3">
        <v>249.24</v>
      </c>
      <c r="M1412" s="3">
        <v>51.33</v>
      </c>
      <c r="N1412" t="s">
        <v>20</v>
      </c>
      <c r="O1412" s="3"/>
      <c r="P1412" s="3"/>
    </row>
    <row r="1413" spans="1:16" x14ac:dyDescent="0.3">
      <c r="A1413" t="s">
        <v>2775</v>
      </c>
      <c r="B1413" s="9" t="s">
        <v>731</v>
      </c>
      <c r="C1413" s="20" t="str">
        <f t="shared" si="22"/>
        <v>Oct</v>
      </c>
      <c r="D1413" t="s">
        <v>409</v>
      </c>
      <c r="E1413" s="10" t="s">
        <v>895</v>
      </c>
      <c r="F1413" t="s">
        <v>59</v>
      </c>
      <c r="G1413" t="s">
        <v>26</v>
      </c>
      <c r="H1413" t="s">
        <v>118</v>
      </c>
      <c r="I1413">
        <v>7</v>
      </c>
      <c r="J1413" s="3">
        <v>120.53</v>
      </c>
      <c r="K1413" s="2">
        <v>0</v>
      </c>
      <c r="L1413" s="3">
        <v>843.71</v>
      </c>
      <c r="M1413" s="3">
        <v>213.42</v>
      </c>
      <c r="N1413" t="s">
        <v>40</v>
      </c>
      <c r="O1413" s="3"/>
      <c r="P1413" s="3"/>
    </row>
    <row r="1414" spans="1:16" x14ac:dyDescent="0.3">
      <c r="A1414" t="s">
        <v>2776</v>
      </c>
      <c r="B1414" s="9" t="s">
        <v>878</v>
      </c>
      <c r="C1414" s="20" t="str">
        <f t="shared" si="22"/>
        <v>Aug</v>
      </c>
      <c r="D1414" t="s">
        <v>1653</v>
      </c>
      <c r="E1414" s="10" t="s">
        <v>1689</v>
      </c>
      <c r="F1414" t="s">
        <v>64</v>
      </c>
      <c r="G1414" t="s">
        <v>26</v>
      </c>
      <c r="H1414" t="s">
        <v>118</v>
      </c>
      <c r="I1414">
        <v>7</v>
      </c>
      <c r="J1414" s="3">
        <v>31.44</v>
      </c>
      <c r="K1414" s="2">
        <v>0.15</v>
      </c>
      <c r="L1414" s="3">
        <v>187.07</v>
      </c>
      <c r="M1414" s="3">
        <v>26.73</v>
      </c>
      <c r="N1414" t="s">
        <v>20</v>
      </c>
      <c r="O1414" s="3"/>
      <c r="P1414" s="3"/>
    </row>
    <row r="1415" spans="1:16" x14ac:dyDescent="0.3">
      <c r="A1415" t="s">
        <v>2777</v>
      </c>
      <c r="B1415" s="9" t="s">
        <v>2778</v>
      </c>
      <c r="C1415" s="20" t="str">
        <f t="shared" si="22"/>
        <v>Nov</v>
      </c>
      <c r="D1415" t="s">
        <v>389</v>
      </c>
      <c r="E1415" s="10" t="s">
        <v>2096</v>
      </c>
      <c r="F1415" t="s">
        <v>25</v>
      </c>
      <c r="G1415" t="s">
        <v>89</v>
      </c>
      <c r="H1415" t="s">
        <v>131</v>
      </c>
      <c r="I1415">
        <v>7</v>
      </c>
      <c r="J1415" s="3">
        <v>204.65</v>
      </c>
      <c r="K1415" s="2">
        <v>0</v>
      </c>
      <c r="L1415" s="3">
        <v>1432.55</v>
      </c>
      <c r="M1415" s="3">
        <v>401.05</v>
      </c>
      <c r="N1415" t="s">
        <v>40</v>
      </c>
      <c r="O1415" s="3"/>
      <c r="P1415" s="3"/>
    </row>
    <row r="1416" spans="1:16" x14ac:dyDescent="0.3">
      <c r="A1416" t="s">
        <v>2779</v>
      </c>
      <c r="B1416" s="9" t="s">
        <v>47</v>
      </c>
      <c r="C1416" s="20" t="str">
        <f t="shared" si="22"/>
        <v>Dec</v>
      </c>
      <c r="D1416" t="s">
        <v>1782</v>
      </c>
      <c r="E1416" s="10" t="s">
        <v>1510</v>
      </c>
      <c r="F1416" t="s">
        <v>25</v>
      </c>
      <c r="G1416" t="s">
        <v>89</v>
      </c>
      <c r="H1416" t="s">
        <v>150</v>
      </c>
      <c r="I1416">
        <v>3</v>
      </c>
      <c r="J1416" s="3">
        <v>53.72</v>
      </c>
      <c r="K1416" s="2">
        <v>0</v>
      </c>
      <c r="L1416" s="3">
        <v>161.16</v>
      </c>
      <c r="M1416" s="3">
        <v>48.21</v>
      </c>
      <c r="N1416" t="s">
        <v>20</v>
      </c>
      <c r="O1416" s="3"/>
      <c r="P1416" s="3"/>
    </row>
    <row r="1417" spans="1:16" x14ac:dyDescent="0.3">
      <c r="A1417" t="s">
        <v>2780</v>
      </c>
      <c r="B1417" s="9" t="s">
        <v>893</v>
      </c>
      <c r="C1417" s="20" t="str">
        <f t="shared" si="22"/>
        <v>Aug</v>
      </c>
      <c r="D1417" t="s">
        <v>148</v>
      </c>
      <c r="E1417" s="10" t="s">
        <v>94</v>
      </c>
      <c r="F1417" t="s">
        <v>64</v>
      </c>
      <c r="G1417" t="s">
        <v>18</v>
      </c>
      <c r="H1417" t="s">
        <v>19</v>
      </c>
      <c r="I1417">
        <v>4</v>
      </c>
      <c r="J1417" s="3">
        <v>83.42</v>
      </c>
      <c r="K1417" s="2">
        <v>0.05</v>
      </c>
      <c r="L1417" s="3">
        <v>317</v>
      </c>
      <c r="M1417" s="3">
        <v>57.54</v>
      </c>
      <c r="N1417" t="s">
        <v>20</v>
      </c>
      <c r="O1417" s="3"/>
      <c r="P1417" s="3"/>
    </row>
    <row r="1418" spans="1:16" x14ac:dyDescent="0.3">
      <c r="A1418" t="s">
        <v>2781</v>
      </c>
      <c r="B1418" s="9" t="s">
        <v>378</v>
      </c>
      <c r="C1418" s="20" t="str">
        <f t="shared" si="22"/>
        <v>Mar</v>
      </c>
      <c r="D1418" t="s">
        <v>633</v>
      </c>
      <c r="E1418" s="10" t="s">
        <v>1910</v>
      </c>
      <c r="F1418" t="s">
        <v>25</v>
      </c>
      <c r="G1418" t="s">
        <v>18</v>
      </c>
      <c r="H1418" t="s">
        <v>45</v>
      </c>
      <c r="I1418">
        <v>5</v>
      </c>
      <c r="J1418" s="3">
        <v>167.74</v>
      </c>
      <c r="K1418" s="2">
        <v>0.1</v>
      </c>
      <c r="L1418" s="3">
        <v>754.83</v>
      </c>
      <c r="M1418" s="3">
        <v>225.21</v>
      </c>
      <c r="N1418" t="s">
        <v>35</v>
      </c>
      <c r="O1418" s="3"/>
      <c r="P1418" s="3"/>
    </row>
    <row r="1419" spans="1:16" x14ac:dyDescent="0.3">
      <c r="A1419" t="s">
        <v>2782</v>
      </c>
      <c r="B1419" s="9" t="s">
        <v>302</v>
      </c>
      <c r="C1419" s="20" t="str">
        <f t="shared" si="22"/>
        <v>Oct</v>
      </c>
      <c r="D1419" t="s">
        <v>401</v>
      </c>
      <c r="E1419" s="10" t="s">
        <v>2279</v>
      </c>
      <c r="F1419" t="s">
        <v>17</v>
      </c>
      <c r="G1419" t="s">
        <v>89</v>
      </c>
      <c r="H1419" t="s">
        <v>90</v>
      </c>
      <c r="I1419">
        <v>1</v>
      </c>
      <c r="J1419" s="3">
        <v>66.290000000000006</v>
      </c>
      <c r="K1419" s="2">
        <v>0.1</v>
      </c>
      <c r="L1419" s="3">
        <v>59.66</v>
      </c>
      <c r="M1419" s="3">
        <v>15.71</v>
      </c>
      <c r="N1419" t="s">
        <v>35</v>
      </c>
      <c r="O1419" s="3"/>
      <c r="P1419" s="3"/>
    </row>
    <row r="1420" spans="1:16" x14ac:dyDescent="0.3">
      <c r="A1420" t="s">
        <v>2783</v>
      </c>
      <c r="B1420" s="9" t="s">
        <v>731</v>
      </c>
      <c r="C1420" s="20" t="str">
        <f t="shared" si="22"/>
        <v>Oct</v>
      </c>
      <c r="D1420" t="s">
        <v>597</v>
      </c>
      <c r="E1420" s="10" t="s">
        <v>745</v>
      </c>
      <c r="F1420" t="s">
        <v>25</v>
      </c>
      <c r="G1420" t="s">
        <v>18</v>
      </c>
      <c r="H1420" t="s">
        <v>79</v>
      </c>
      <c r="I1420">
        <v>2</v>
      </c>
      <c r="J1420" s="3">
        <v>75.73</v>
      </c>
      <c r="K1420" s="2">
        <v>0.05</v>
      </c>
      <c r="L1420" s="3">
        <v>143.88999999999999</v>
      </c>
      <c r="M1420" s="3">
        <v>32.57</v>
      </c>
      <c r="N1420" t="s">
        <v>20</v>
      </c>
      <c r="O1420" s="3"/>
      <c r="P1420" s="3"/>
    </row>
    <row r="1421" spans="1:16" x14ac:dyDescent="0.3">
      <c r="A1421" t="s">
        <v>2784</v>
      </c>
      <c r="B1421" s="9" t="s">
        <v>2627</v>
      </c>
      <c r="C1421" s="20" t="str">
        <f t="shared" si="22"/>
        <v>Apr</v>
      </c>
      <c r="D1421" t="s">
        <v>870</v>
      </c>
      <c r="E1421" s="10" t="s">
        <v>1077</v>
      </c>
      <c r="F1421" t="s">
        <v>17</v>
      </c>
      <c r="G1421" t="s">
        <v>18</v>
      </c>
      <c r="H1421" t="s">
        <v>19</v>
      </c>
      <c r="I1421">
        <v>6</v>
      </c>
      <c r="J1421" s="3">
        <v>131.96</v>
      </c>
      <c r="K1421" s="2">
        <v>0.15</v>
      </c>
      <c r="L1421" s="3">
        <v>673</v>
      </c>
      <c r="M1421" s="3">
        <v>88.17</v>
      </c>
      <c r="N1421" t="s">
        <v>35</v>
      </c>
      <c r="O1421" s="3"/>
      <c r="P1421" s="3"/>
    </row>
    <row r="1422" spans="1:16" x14ac:dyDescent="0.3">
      <c r="A1422" t="s">
        <v>2785</v>
      </c>
      <c r="B1422" s="9" t="s">
        <v>1626</v>
      </c>
      <c r="C1422" s="20" t="str">
        <f t="shared" si="22"/>
        <v>Oct</v>
      </c>
      <c r="D1422" t="s">
        <v>1166</v>
      </c>
      <c r="E1422" s="10" t="s">
        <v>78</v>
      </c>
      <c r="F1422" t="s">
        <v>17</v>
      </c>
      <c r="G1422" t="s">
        <v>89</v>
      </c>
      <c r="H1422" t="s">
        <v>150</v>
      </c>
      <c r="I1422">
        <v>2</v>
      </c>
      <c r="J1422" s="3">
        <v>166.07</v>
      </c>
      <c r="K1422" s="2">
        <v>0.15</v>
      </c>
      <c r="L1422" s="3">
        <v>282.32</v>
      </c>
      <c r="M1422" s="3">
        <v>23.57</v>
      </c>
      <c r="N1422" t="s">
        <v>35</v>
      </c>
      <c r="O1422" s="3"/>
      <c r="P1422" s="3"/>
    </row>
    <row r="1423" spans="1:16" x14ac:dyDescent="0.3">
      <c r="A1423" t="s">
        <v>2786</v>
      </c>
      <c r="B1423" s="9" t="s">
        <v>147</v>
      </c>
      <c r="C1423" s="20" t="str">
        <f t="shared" si="22"/>
        <v>Nov</v>
      </c>
      <c r="D1423" t="s">
        <v>640</v>
      </c>
      <c r="E1423" s="10" t="s">
        <v>2260</v>
      </c>
      <c r="F1423" t="s">
        <v>17</v>
      </c>
      <c r="G1423" t="s">
        <v>18</v>
      </c>
      <c r="H1423" t="s">
        <v>45</v>
      </c>
      <c r="I1423">
        <v>5</v>
      </c>
      <c r="J1423" s="3">
        <v>230.25</v>
      </c>
      <c r="K1423" s="2">
        <v>0.05</v>
      </c>
      <c r="L1423" s="3">
        <v>1093.69</v>
      </c>
      <c r="M1423" s="3">
        <v>99.27</v>
      </c>
      <c r="N1423" t="s">
        <v>40</v>
      </c>
      <c r="O1423" s="3"/>
      <c r="P1423" s="3"/>
    </row>
    <row r="1424" spans="1:16" x14ac:dyDescent="0.3">
      <c r="A1424" t="s">
        <v>2787</v>
      </c>
      <c r="B1424" s="9" t="s">
        <v>22</v>
      </c>
      <c r="C1424" s="20" t="str">
        <f t="shared" si="22"/>
        <v>Sep</v>
      </c>
      <c r="D1424" t="s">
        <v>941</v>
      </c>
      <c r="E1424" s="10" t="s">
        <v>1731</v>
      </c>
      <c r="F1424" t="s">
        <v>25</v>
      </c>
      <c r="G1424" t="s">
        <v>18</v>
      </c>
      <c r="H1424" t="s">
        <v>19</v>
      </c>
      <c r="I1424">
        <v>6</v>
      </c>
      <c r="J1424" s="3">
        <v>228.42</v>
      </c>
      <c r="K1424" s="2">
        <v>0.15</v>
      </c>
      <c r="L1424" s="3">
        <v>1164.94</v>
      </c>
      <c r="M1424" s="3">
        <v>141.85</v>
      </c>
      <c r="N1424" t="s">
        <v>40</v>
      </c>
      <c r="O1424" s="3"/>
      <c r="P1424" s="3"/>
    </row>
    <row r="1425" spans="1:16" x14ac:dyDescent="0.3">
      <c r="A1425" t="s">
        <v>2788</v>
      </c>
      <c r="B1425" s="9" t="s">
        <v>558</v>
      </c>
      <c r="C1425" s="20" t="str">
        <f t="shared" si="22"/>
        <v>Sep</v>
      </c>
      <c r="D1425" t="s">
        <v>597</v>
      </c>
      <c r="E1425" s="10" t="s">
        <v>651</v>
      </c>
      <c r="F1425" t="s">
        <v>59</v>
      </c>
      <c r="G1425" t="s">
        <v>89</v>
      </c>
      <c r="H1425" t="s">
        <v>90</v>
      </c>
      <c r="I1425">
        <v>7</v>
      </c>
      <c r="J1425" s="3">
        <v>200.41</v>
      </c>
      <c r="K1425" s="2">
        <v>0</v>
      </c>
      <c r="L1425" s="3">
        <v>1402.87</v>
      </c>
      <c r="M1425" s="3">
        <v>311.29000000000002</v>
      </c>
      <c r="N1425" t="s">
        <v>35</v>
      </c>
      <c r="O1425" s="3"/>
      <c r="P1425" s="3"/>
    </row>
    <row r="1426" spans="1:16" x14ac:dyDescent="0.3">
      <c r="A1426" t="s">
        <v>2793</v>
      </c>
      <c r="B1426" s="9" t="s">
        <v>1696</v>
      </c>
      <c r="C1426" s="20" t="str">
        <f t="shared" si="22"/>
        <v>Jun</v>
      </c>
      <c r="D1426" t="s">
        <v>43</v>
      </c>
      <c r="E1426" s="10" t="s">
        <v>588</v>
      </c>
      <c r="F1426" t="s">
        <v>32</v>
      </c>
      <c r="G1426" t="s">
        <v>18</v>
      </c>
      <c r="H1426" t="s">
        <v>19</v>
      </c>
      <c r="I1426">
        <v>6</v>
      </c>
      <c r="J1426" s="3">
        <v>147.57</v>
      </c>
      <c r="K1426" s="2">
        <v>0.1</v>
      </c>
      <c r="L1426" s="3">
        <v>796.88</v>
      </c>
      <c r="M1426" s="3">
        <v>165.84</v>
      </c>
      <c r="N1426" t="s">
        <v>40</v>
      </c>
      <c r="O1426" s="3"/>
      <c r="P1426" s="3"/>
    </row>
    <row r="1427" spans="1:16" x14ac:dyDescent="0.3">
      <c r="A1427" t="s">
        <v>2794</v>
      </c>
      <c r="B1427" s="9" t="s">
        <v>1081</v>
      </c>
      <c r="C1427" s="20" t="str">
        <f t="shared" si="22"/>
        <v>Sep</v>
      </c>
      <c r="D1427" t="s">
        <v>215</v>
      </c>
      <c r="E1427" s="10" t="s">
        <v>1596</v>
      </c>
      <c r="F1427" t="s">
        <v>17</v>
      </c>
      <c r="G1427" t="s">
        <v>26</v>
      </c>
      <c r="H1427" t="s">
        <v>118</v>
      </c>
      <c r="I1427">
        <v>3</v>
      </c>
      <c r="J1427" s="3">
        <v>41.49</v>
      </c>
      <c r="K1427" s="2">
        <v>0.05</v>
      </c>
      <c r="L1427" s="3">
        <v>118.25</v>
      </c>
      <c r="M1427" s="3">
        <v>21.47</v>
      </c>
      <c r="N1427" t="s">
        <v>35</v>
      </c>
      <c r="O1427" s="3"/>
      <c r="P1427" s="3"/>
    </row>
    <row r="1428" spans="1:16" x14ac:dyDescent="0.3">
      <c r="A1428" t="s">
        <v>2795</v>
      </c>
      <c r="B1428" s="9" t="s">
        <v>412</v>
      </c>
      <c r="C1428" s="20" t="str">
        <f t="shared" si="22"/>
        <v>Feb</v>
      </c>
      <c r="D1428" t="s">
        <v>853</v>
      </c>
      <c r="E1428" s="10" t="s">
        <v>688</v>
      </c>
      <c r="F1428" t="s">
        <v>64</v>
      </c>
      <c r="G1428" t="s">
        <v>89</v>
      </c>
      <c r="H1428" t="s">
        <v>150</v>
      </c>
      <c r="I1428">
        <v>4</v>
      </c>
      <c r="J1428" s="3">
        <v>172.43</v>
      </c>
      <c r="K1428" s="2">
        <v>0.05</v>
      </c>
      <c r="L1428" s="3">
        <v>655.23</v>
      </c>
      <c r="M1428" s="3">
        <v>85.01</v>
      </c>
      <c r="N1428" t="s">
        <v>40</v>
      </c>
      <c r="O1428" s="3"/>
      <c r="P1428" s="3"/>
    </row>
    <row r="1429" spans="1:16" x14ac:dyDescent="0.3">
      <c r="A1429" t="s">
        <v>2796</v>
      </c>
      <c r="B1429" s="9" t="s">
        <v>1198</v>
      </c>
      <c r="C1429" s="20" t="str">
        <f t="shared" si="22"/>
        <v>Jul</v>
      </c>
      <c r="D1429" t="s">
        <v>332</v>
      </c>
      <c r="E1429" s="10" t="s">
        <v>658</v>
      </c>
      <c r="F1429" t="s">
        <v>25</v>
      </c>
      <c r="G1429" t="s">
        <v>26</v>
      </c>
      <c r="H1429" t="s">
        <v>118</v>
      </c>
      <c r="I1429">
        <v>3</v>
      </c>
      <c r="J1429" s="3">
        <v>16.149999999999999</v>
      </c>
      <c r="K1429" s="2">
        <v>0</v>
      </c>
      <c r="L1429" s="3">
        <v>48.45</v>
      </c>
      <c r="M1429" s="3">
        <v>13.1</v>
      </c>
      <c r="N1429" t="s">
        <v>40</v>
      </c>
      <c r="O1429" s="3"/>
      <c r="P1429" s="3"/>
    </row>
    <row r="1430" spans="1:16" x14ac:dyDescent="0.3">
      <c r="A1430" t="s">
        <v>2797</v>
      </c>
      <c r="B1430" s="9" t="s">
        <v>115</v>
      </c>
      <c r="C1430" s="20" t="str">
        <f t="shared" si="22"/>
        <v>Jan</v>
      </c>
      <c r="D1430" t="s">
        <v>1322</v>
      </c>
      <c r="E1430" s="10" t="s">
        <v>965</v>
      </c>
      <c r="F1430" t="s">
        <v>25</v>
      </c>
      <c r="G1430" t="s">
        <v>33</v>
      </c>
      <c r="H1430" t="s">
        <v>50</v>
      </c>
      <c r="I1430">
        <v>8</v>
      </c>
      <c r="J1430" s="3">
        <v>40.98</v>
      </c>
      <c r="K1430" s="2">
        <v>0</v>
      </c>
      <c r="L1430" s="3">
        <v>327.84</v>
      </c>
      <c r="M1430" s="3">
        <v>75.510000000000005</v>
      </c>
      <c r="N1430" t="s">
        <v>35</v>
      </c>
      <c r="O1430" s="3"/>
      <c r="P1430" s="3"/>
    </row>
    <row r="1431" spans="1:16" x14ac:dyDescent="0.3">
      <c r="A1431" t="s">
        <v>2798</v>
      </c>
      <c r="B1431" s="9" t="s">
        <v>2223</v>
      </c>
      <c r="C1431" s="20" t="str">
        <f t="shared" si="22"/>
        <v>Dec</v>
      </c>
      <c r="D1431" t="s">
        <v>23</v>
      </c>
      <c r="E1431" s="10" t="s">
        <v>2408</v>
      </c>
      <c r="F1431" t="s">
        <v>17</v>
      </c>
      <c r="G1431" t="s">
        <v>18</v>
      </c>
      <c r="H1431" t="s">
        <v>79</v>
      </c>
      <c r="I1431">
        <v>6</v>
      </c>
      <c r="J1431" s="3">
        <v>14.35</v>
      </c>
      <c r="K1431" s="2">
        <v>0.15</v>
      </c>
      <c r="L1431" s="3">
        <v>73.180000000000007</v>
      </c>
      <c r="M1431" s="3">
        <v>16.75</v>
      </c>
      <c r="N1431" t="s">
        <v>40</v>
      </c>
      <c r="O1431" s="3"/>
      <c r="P1431" s="3"/>
    </row>
    <row r="1432" spans="1:16" x14ac:dyDescent="0.3">
      <c r="A1432" t="s">
        <v>2799</v>
      </c>
      <c r="B1432" s="9" t="s">
        <v>752</v>
      </c>
      <c r="C1432" s="20" t="str">
        <f t="shared" si="22"/>
        <v>Dec</v>
      </c>
      <c r="D1432" t="s">
        <v>2208</v>
      </c>
      <c r="E1432" s="10" t="s">
        <v>2260</v>
      </c>
      <c r="F1432" t="s">
        <v>32</v>
      </c>
      <c r="G1432" t="s">
        <v>26</v>
      </c>
      <c r="H1432" t="s">
        <v>27</v>
      </c>
      <c r="I1432">
        <v>1</v>
      </c>
      <c r="J1432" s="3">
        <v>86.13</v>
      </c>
      <c r="K1432" s="2">
        <v>0</v>
      </c>
      <c r="L1432" s="3">
        <v>86.13</v>
      </c>
      <c r="M1432" s="3">
        <v>13.74</v>
      </c>
      <c r="N1432" t="s">
        <v>35</v>
      </c>
      <c r="O1432" s="3"/>
      <c r="P1432" s="3"/>
    </row>
    <row r="1433" spans="1:16" x14ac:dyDescent="0.3">
      <c r="A1433" t="s">
        <v>2800</v>
      </c>
      <c r="B1433" s="9" t="s">
        <v>2801</v>
      </c>
      <c r="C1433" s="20" t="str">
        <f t="shared" si="22"/>
        <v>Sep</v>
      </c>
      <c r="D1433" t="s">
        <v>2065</v>
      </c>
      <c r="E1433" s="10" t="s">
        <v>512</v>
      </c>
      <c r="F1433" t="s">
        <v>25</v>
      </c>
      <c r="G1433" t="s">
        <v>18</v>
      </c>
      <c r="H1433" t="s">
        <v>45</v>
      </c>
      <c r="I1433">
        <v>3</v>
      </c>
      <c r="J1433" s="3">
        <v>123.72</v>
      </c>
      <c r="K1433" s="2">
        <v>0.15</v>
      </c>
      <c r="L1433" s="3">
        <v>315.49</v>
      </c>
      <c r="M1433" s="3">
        <v>46.78</v>
      </c>
      <c r="N1433" t="s">
        <v>20</v>
      </c>
      <c r="O1433" s="3"/>
      <c r="P1433" s="3"/>
    </row>
    <row r="1434" spans="1:16" x14ac:dyDescent="0.3">
      <c r="A1434" t="s">
        <v>2802</v>
      </c>
      <c r="B1434" s="9" t="s">
        <v>497</v>
      </c>
      <c r="C1434" s="20" t="str">
        <f t="shared" si="22"/>
        <v>Jun</v>
      </c>
      <c r="D1434" t="s">
        <v>43</v>
      </c>
      <c r="E1434" s="10" t="s">
        <v>197</v>
      </c>
      <c r="F1434" t="s">
        <v>59</v>
      </c>
      <c r="G1434" t="s">
        <v>33</v>
      </c>
      <c r="H1434" t="s">
        <v>69</v>
      </c>
      <c r="I1434">
        <v>1</v>
      </c>
      <c r="J1434" s="3">
        <v>150.51</v>
      </c>
      <c r="K1434" s="2">
        <v>0.15</v>
      </c>
      <c r="L1434" s="3">
        <v>127.93</v>
      </c>
      <c r="M1434" s="3">
        <v>12.32</v>
      </c>
      <c r="N1434" t="s">
        <v>35</v>
      </c>
      <c r="O1434" s="3"/>
      <c r="P1434" s="3"/>
    </row>
    <row r="1435" spans="1:16" x14ac:dyDescent="0.3">
      <c r="A1435" t="s">
        <v>2803</v>
      </c>
      <c r="B1435" s="9" t="s">
        <v>96</v>
      </c>
      <c r="C1435" s="20" t="str">
        <f t="shared" si="22"/>
        <v>Aug</v>
      </c>
      <c r="D1435" t="s">
        <v>2181</v>
      </c>
      <c r="E1435" s="10" t="s">
        <v>2074</v>
      </c>
      <c r="F1435" t="s">
        <v>32</v>
      </c>
      <c r="G1435" t="s">
        <v>18</v>
      </c>
      <c r="H1435" t="s">
        <v>45</v>
      </c>
      <c r="I1435">
        <v>7</v>
      </c>
      <c r="J1435" s="3">
        <v>143.56</v>
      </c>
      <c r="K1435" s="2">
        <v>0.1</v>
      </c>
      <c r="L1435" s="3">
        <v>904.43</v>
      </c>
      <c r="M1435" s="3">
        <v>187.87</v>
      </c>
      <c r="N1435" t="s">
        <v>35</v>
      </c>
      <c r="O1435" s="3"/>
      <c r="P1435" s="3"/>
    </row>
    <row r="1436" spans="1:16" x14ac:dyDescent="0.3">
      <c r="A1436" t="s">
        <v>2804</v>
      </c>
      <c r="B1436" s="9" t="s">
        <v>889</v>
      </c>
      <c r="C1436" s="20" t="str">
        <f t="shared" si="22"/>
        <v>Dec</v>
      </c>
      <c r="D1436" t="s">
        <v>890</v>
      </c>
      <c r="E1436" s="10" t="s">
        <v>2805</v>
      </c>
      <c r="F1436" t="s">
        <v>32</v>
      </c>
      <c r="G1436" t="s">
        <v>89</v>
      </c>
      <c r="H1436" t="s">
        <v>90</v>
      </c>
      <c r="I1436">
        <v>3</v>
      </c>
      <c r="J1436" s="3">
        <v>112.03</v>
      </c>
      <c r="K1436" s="2">
        <v>0.1</v>
      </c>
      <c r="L1436" s="3">
        <v>302.48</v>
      </c>
      <c r="M1436" s="3">
        <v>59.58</v>
      </c>
      <c r="N1436" t="s">
        <v>35</v>
      </c>
      <c r="O1436" s="3"/>
      <c r="P1436" s="3"/>
    </row>
    <row r="1437" spans="1:16" x14ac:dyDescent="0.3">
      <c r="A1437" t="s">
        <v>2806</v>
      </c>
      <c r="B1437" s="9" t="s">
        <v>681</v>
      </c>
      <c r="C1437" s="20" t="str">
        <f t="shared" si="22"/>
        <v>Jan</v>
      </c>
      <c r="D1437" t="s">
        <v>2482</v>
      </c>
      <c r="E1437" s="10" t="s">
        <v>1278</v>
      </c>
      <c r="F1437" t="s">
        <v>17</v>
      </c>
      <c r="G1437" t="s">
        <v>89</v>
      </c>
      <c r="H1437" t="s">
        <v>90</v>
      </c>
      <c r="I1437">
        <v>8</v>
      </c>
      <c r="J1437" s="3">
        <v>176.92</v>
      </c>
      <c r="K1437" s="2">
        <v>0</v>
      </c>
      <c r="L1437" s="3">
        <v>1415.36</v>
      </c>
      <c r="M1437" s="3">
        <v>252.99</v>
      </c>
      <c r="N1437" t="s">
        <v>20</v>
      </c>
      <c r="O1437" s="3"/>
      <c r="P1437" s="3"/>
    </row>
    <row r="1438" spans="1:16" x14ac:dyDescent="0.3">
      <c r="A1438" t="s">
        <v>2807</v>
      </c>
      <c r="B1438" s="9" t="s">
        <v>949</v>
      </c>
      <c r="C1438" s="20" t="str">
        <f t="shared" si="22"/>
        <v>Jul</v>
      </c>
      <c r="D1438" t="s">
        <v>562</v>
      </c>
      <c r="E1438" s="10" t="s">
        <v>269</v>
      </c>
      <c r="F1438" t="s">
        <v>64</v>
      </c>
      <c r="G1438" t="s">
        <v>26</v>
      </c>
      <c r="H1438" t="s">
        <v>118</v>
      </c>
      <c r="I1438">
        <v>5</v>
      </c>
      <c r="J1438" s="3">
        <v>136.08000000000001</v>
      </c>
      <c r="K1438" s="2">
        <v>0.05</v>
      </c>
      <c r="L1438" s="3">
        <v>646.38</v>
      </c>
      <c r="M1438" s="3">
        <v>179.2</v>
      </c>
      <c r="N1438" t="s">
        <v>40</v>
      </c>
      <c r="O1438" s="3"/>
      <c r="P1438" s="3"/>
    </row>
    <row r="1439" spans="1:16" x14ac:dyDescent="0.3">
      <c r="A1439" t="s">
        <v>2808</v>
      </c>
      <c r="B1439" s="9" t="s">
        <v>140</v>
      </c>
      <c r="C1439" s="20" t="str">
        <f t="shared" si="22"/>
        <v>May</v>
      </c>
      <c r="D1439" t="s">
        <v>2809</v>
      </c>
      <c r="E1439" s="10" t="s">
        <v>2712</v>
      </c>
      <c r="F1439" t="s">
        <v>32</v>
      </c>
      <c r="G1439" t="s">
        <v>18</v>
      </c>
      <c r="H1439" t="s">
        <v>19</v>
      </c>
      <c r="I1439">
        <v>8</v>
      </c>
      <c r="J1439" s="3">
        <v>76.13</v>
      </c>
      <c r="K1439" s="2">
        <v>0.15</v>
      </c>
      <c r="L1439" s="3">
        <v>517.67999999999995</v>
      </c>
      <c r="M1439" s="3">
        <v>82.17</v>
      </c>
      <c r="N1439" t="s">
        <v>40</v>
      </c>
      <c r="O1439" s="3"/>
      <c r="P1439" s="3"/>
    </row>
    <row r="1440" spans="1:16" x14ac:dyDescent="0.3">
      <c r="A1440" t="s">
        <v>2810</v>
      </c>
      <c r="B1440" s="9" t="s">
        <v>2207</v>
      </c>
      <c r="C1440" s="20" t="str">
        <f t="shared" si="22"/>
        <v>Feb</v>
      </c>
      <c r="D1440" t="s">
        <v>961</v>
      </c>
      <c r="E1440" s="10" t="s">
        <v>601</v>
      </c>
      <c r="F1440" t="s">
        <v>17</v>
      </c>
      <c r="G1440" t="s">
        <v>18</v>
      </c>
      <c r="H1440" t="s">
        <v>45</v>
      </c>
      <c r="I1440">
        <v>8</v>
      </c>
      <c r="J1440" s="3">
        <v>15.71</v>
      </c>
      <c r="K1440" s="2">
        <v>0.05</v>
      </c>
      <c r="L1440" s="3">
        <v>119.4</v>
      </c>
      <c r="M1440" s="3">
        <v>14.8</v>
      </c>
      <c r="N1440" t="s">
        <v>20</v>
      </c>
      <c r="O1440" s="3"/>
      <c r="P1440" s="3"/>
    </row>
    <row r="1441" spans="1:16" x14ac:dyDescent="0.3">
      <c r="A1441" t="s">
        <v>2811</v>
      </c>
      <c r="B1441" s="9" t="s">
        <v>320</v>
      </c>
      <c r="C1441" s="20" t="str">
        <f t="shared" si="22"/>
        <v>Jun</v>
      </c>
      <c r="D1441" t="s">
        <v>2812</v>
      </c>
      <c r="E1441" s="10" t="s">
        <v>233</v>
      </c>
      <c r="F1441" t="s">
        <v>64</v>
      </c>
      <c r="G1441" t="s">
        <v>89</v>
      </c>
      <c r="H1441" t="s">
        <v>131</v>
      </c>
      <c r="I1441">
        <v>8</v>
      </c>
      <c r="J1441" s="3">
        <v>100.19</v>
      </c>
      <c r="K1441" s="2">
        <v>0.1</v>
      </c>
      <c r="L1441" s="3">
        <v>721.37</v>
      </c>
      <c r="M1441" s="3">
        <v>88.53</v>
      </c>
      <c r="N1441" t="s">
        <v>20</v>
      </c>
      <c r="O1441" s="3"/>
      <c r="P1441" s="3"/>
    </row>
    <row r="1442" spans="1:16" x14ac:dyDescent="0.3">
      <c r="A1442" t="s">
        <v>2813</v>
      </c>
      <c r="B1442" s="9" t="s">
        <v>1013</v>
      </c>
      <c r="C1442" s="20" t="str">
        <f t="shared" si="22"/>
        <v>Dec</v>
      </c>
      <c r="D1442" t="s">
        <v>1359</v>
      </c>
      <c r="E1442" s="10" t="s">
        <v>1224</v>
      </c>
      <c r="F1442" t="s">
        <v>17</v>
      </c>
      <c r="G1442" t="s">
        <v>89</v>
      </c>
      <c r="H1442" t="s">
        <v>150</v>
      </c>
      <c r="I1442">
        <v>6</v>
      </c>
      <c r="J1442" s="3">
        <v>242.58</v>
      </c>
      <c r="K1442" s="2">
        <v>0.1</v>
      </c>
      <c r="L1442" s="3">
        <v>1309.93</v>
      </c>
      <c r="M1442" s="3">
        <v>124.01</v>
      </c>
      <c r="N1442" t="s">
        <v>40</v>
      </c>
      <c r="O1442" s="3"/>
      <c r="P1442" s="3"/>
    </row>
    <row r="1443" spans="1:16" x14ac:dyDescent="0.3">
      <c r="A1443" t="s">
        <v>2814</v>
      </c>
      <c r="B1443" s="9" t="s">
        <v>728</v>
      </c>
      <c r="C1443" s="20" t="str">
        <f t="shared" si="22"/>
        <v>Jun</v>
      </c>
      <c r="D1443" t="s">
        <v>1230</v>
      </c>
      <c r="E1443" s="10" t="s">
        <v>472</v>
      </c>
      <c r="F1443" t="s">
        <v>59</v>
      </c>
      <c r="G1443" t="s">
        <v>26</v>
      </c>
      <c r="H1443" t="s">
        <v>118</v>
      </c>
      <c r="I1443">
        <v>8</v>
      </c>
      <c r="J1443" s="3">
        <v>111.48</v>
      </c>
      <c r="K1443" s="2">
        <v>0.1</v>
      </c>
      <c r="L1443" s="3">
        <v>802.66</v>
      </c>
      <c r="M1443" s="3">
        <v>106.96</v>
      </c>
      <c r="N1443" t="s">
        <v>35</v>
      </c>
      <c r="O1443" s="3"/>
      <c r="P1443" s="3"/>
    </row>
    <row r="1444" spans="1:16" x14ac:dyDescent="0.3">
      <c r="A1444" t="s">
        <v>2815</v>
      </c>
      <c r="B1444" s="9" t="s">
        <v>540</v>
      </c>
      <c r="C1444" s="20" t="str">
        <f t="shared" si="22"/>
        <v>Apr</v>
      </c>
      <c r="D1444" t="s">
        <v>1789</v>
      </c>
      <c r="E1444" s="10" t="s">
        <v>153</v>
      </c>
      <c r="F1444" t="s">
        <v>17</v>
      </c>
      <c r="G1444" t="s">
        <v>26</v>
      </c>
      <c r="H1444" t="s">
        <v>84</v>
      </c>
      <c r="I1444">
        <v>5</v>
      </c>
      <c r="J1444" s="3">
        <v>60.24</v>
      </c>
      <c r="K1444" s="2">
        <v>0.05</v>
      </c>
      <c r="L1444" s="3">
        <v>286.14</v>
      </c>
      <c r="M1444" s="3">
        <v>75.38</v>
      </c>
      <c r="N1444" t="s">
        <v>40</v>
      </c>
      <c r="O1444" s="3"/>
      <c r="P1444" s="3"/>
    </row>
    <row r="1445" spans="1:16" x14ac:dyDescent="0.3">
      <c r="A1445" t="s">
        <v>2816</v>
      </c>
      <c r="B1445" s="9" t="s">
        <v>56</v>
      </c>
      <c r="C1445" s="20" t="str">
        <f t="shared" si="22"/>
        <v>Dec</v>
      </c>
      <c r="D1445" t="s">
        <v>1176</v>
      </c>
      <c r="E1445" s="10" t="s">
        <v>39</v>
      </c>
      <c r="F1445" t="s">
        <v>25</v>
      </c>
      <c r="G1445" t="s">
        <v>33</v>
      </c>
      <c r="H1445" t="s">
        <v>69</v>
      </c>
      <c r="I1445">
        <v>6</v>
      </c>
      <c r="J1445" s="3">
        <v>224.56</v>
      </c>
      <c r="K1445" s="2">
        <v>0</v>
      </c>
      <c r="L1445" s="3">
        <v>1347.36</v>
      </c>
      <c r="M1445" s="3">
        <v>169.45</v>
      </c>
      <c r="N1445" t="s">
        <v>35</v>
      </c>
      <c r="O1445" s="3"/>
      <c r="P1445" s="3"/>
    </row>
    <row r="1446" spans="1:16" x14ac:dyDescent="0.3">
      <c r="A1446" t="s">
        <v>2817</v>
      </c>
      <c r="B1446" s="9" t="s">
        <v>2223</v>
      </c>
      <c r="C1446" s="20" t="str">
        <f t="shared" si="22"/>
        <v>Dec</v>
      </c>
      <c r="D1446" t="s">
        <v>994</v>
      </c>
      <c r="E1446" s="10" t="s">
        <v>992</v>
      </c>
      <c r="F1446" t="s">
        <v>32</v>
      </c>
      <c r="G1446" t="s">
        <v>89</v>
      </c>
      <c r="H1446" t="s">
        <v>131</v>
      </c>
      <c r="I1446">
        <v>5</v>
      </c>
      <c r="J1446" s="3">
        <v>76.13</v>
      </c>
      <c r="K1446" s="2">
        <v>0.05</v>
      </c>
      <c r="L1446" s="3">
        <v>361.62</v>
      </c>
      <c r="M1446" s="3">
        <v>105.2</v>
      </c>
      <c r="N1446" t="s">
        <v>35</v>
      </c>
      <c r="O1446" s="3"/>
      <c r="P1446" s="3"/>
    </row>
    <row r="1447" spans="1:16" x14ac:dyDescent="0.3">
      <c r="A1447" t="s">
        <v>2818</v>
      </c>
      <c r="B1447" s="9" t="s">
        <v>1118</v>
      </c>
      <c r="C1447" s="20" t="str">
        <f t="shared" si="22"/>
        <v>Feb</v>
      </c>
      <c r="D1447" t="s">
        <v>1322</v>
      </c>
      <c r="E1447" s="10" t="s">
        <v>478</v>
      </c>
      <c r="F1447" t="s">
        <v>32</v>
      </c>
      <c r="G1447" t="s">
        <v>26</v>
      </c>
      <c r="H1447" t="s">
        <v>84</v>
      </c>
      <c r="I1447">
        <v>2</v>
      </c>
      <c r="J1447" s="3">
        <v>25.44</v>
      </c>
      <c r="K1447" s="2">
        <v>0.1</v>
      </c>
      <c r="L1447" s="3">
        <v>45.79</v>
      </c>
      <c r="M1447" s="3">
        <v>13.26</v>
      </c>
      <c r="N1447" t="s">
        <v>20</v>
      </c>
      <c r="O1447" s="3"/>
      <c r="P1447" s="3"/>
    </row>
    <row r="1448" spans="1:16" x14ac:dyDescent="0.3">
      <c r="A1448" t="s">
        <v>2819</v>
      </c>
      <c r="B1448" s="9" t="s">
        <v>392</v>
      </c>
      <c r="C1448" s="20" t="str">
        <f t="shared" si="22"/>
        <v>Jan</v>
      </c>
      <c r="D1448" t="s">
        <v>729</v>
      </c>
      <c r="E1448" s="10" t="s">
        <v>304</v>
      </c>
      <c r="F1448" t="s">
        <v>25</v>
      </c>
      <c r="G1448" t="s">
        <v>18</v>
      </c>
      <c r="H1448" t="s">
        <v>45</v>
      </c>
      <c r="I1448">
        <v>1</v>
      </c>
      <c r="J1448" s="3">
        <v>170.42</v>
      </c>
      <c r="K1448" s="2">
        <v>0</v>
      </c>
      <c r="L1448" s="3">
        <v>170.42</v>
      </c>
      <c r="M1448" s="3">
        <v>28.51</v>
      </c>
      <c r="N1448" t="s">
        <v>35</v>
      </c>
      <c r="O1448" s="3"/>
      <c r="P1448" s="3"/>
    </row>
    <row r="1449" spans="1:16" x14ac:dyDescent="0.3">
      <c r="A1449" t="s">
        <v>2820</v>
      </c>
      <c r="B1449" s="9" t="s">
        <v>338</v>
      </c>
      <c r="C1449" s="20" t="str">
        <f t="shared" si="22"/>
        <v>Dec</v>
      </c>
      <c r="D1449" t="s">
        <v>2000</v>
      </c>
      <c r="E1449" s="10" t="s">
        <v>63</v>
      </c>
      <c r="F1449" t="s">
        <v>59</v>
      </c>
      <c r="G1449" t="s">
        <v>26</v>
      </c>
      <c r="H1449" t="s">
        <v>84</v>
      </c>
      <c r="I1449">
        <v>3</v>
      </c>
      <c r="J1449" s="3">
        <v>86.87</v>
      </c>
      <c r="K1449" s="2">
        <v>0.15</v>
      </c>
      <c r="L1449" s="3">
        <v>221.52</v>
      </c>
      <c r="M1449" s="3">
        <v>40.18</v>
      </c>
      <c r="N1449" t="s">
        <v>20</v>
      </c>
      <c r="O1449" s="3"/>
      <c r="P1449" s="3"/>
    </row>
    <row r="1450" spans="1:16" x14ac:dyDescent="0.3">
      <c r="A1450" t="s">
        <v>2821</v>
      </c>
      <c r="B1450" s="9" t="s">
        <v>324</v>
      </c>
      <c r="C1450" s="20" t="str">
        <f t="shared" si="22"/>
        <v>Jan</v>
      </c>
      <c r="D1450" t="s">
        <v>1807</v>
      </c>
      <c r="E1450" s="10" t="s">
        <v>1603</v>
      </c>
      <c r="F1450" t="s">
        <v>32</v>
      </c>
      <c r="G1450" t="s">
        <v>33</v>
      </c>
      <c r="H1450" t="s">
        <v>74</v>
      </c>
      <c r="I1450">
        <v>1</v>
      </c>
      <c r="J1450" s="3">
        <v>119.73</v>
      </c>
      <c r="K1450" s="2">
        <v>0</v>
      </c>
      <c r="L1450" s="3">
        <v>119.73</v>
      </c>
      <c r="M1450" s="3">
        <v>10.29</v>
      </c>
      <c r="N1450" t="s">
        <v>20</v>
      </c>
      <c r="O1450" s="3"/>
      <c r="P1450" s="3"/>
    </row>
    <row r="1451" spans="1:16" x14ac:dyDescent="0.3">
      <c r="A1451" t="s">
        <v>2824</v>
      </c>
      <c r="B1451" s="9" t="s">
        <v>2077</v>
      </c>
      <c r="C1451" s="20" t="str">
        <f t="shared" si="22"/>
        <v>May</v>
      </c>
      <c r="D1451" t="s">
        <v>734</v>
      </c>
      <c r="E1451" s="10" t="s">
        <v>1130</v>
      </c>
      <c r="F1451" t="s">
        <v>59</v>
      </c>
      <c r="G1451" t="s">
        <v>18</v>
      </c>
      <c r="H1451" t="s">
        <v>79</v>
      </c>
      <c r="I1451">
        <v>2</v>
      </c>
      <c r="J1451" s="3">
        <v>92.15</v>
      </c>
      <c r="K1451" s="2">
        <v>0.15</v>
      </c>
      <c r="L1451" s="3">
        <v>156.66</v>
      </c>
      <c r="M1451" s="3">
        <v>33.29</v>
      </c>
      <c r="N1451" t="s">
        <v>35</v>
      </c>
      <c r="O1451" s="3"/>
      <c r="P1451" s="3"/>
    </row>
    <row r="1452" spans="1:16" x14ac:dyDescent="0.3">
      <c r="A1452" t="s">
        <v>2825</v>
      </c>
      <c r="B1452" s="9" t="s">
        <v>359</v>
      </c>
      <c r="C1452" s="20" t="str">
        <f t="shared" si="22"/>
        <v>Aug</v>
      </c>
      <c r="D1452" t="s">
        <v>2416</v>
      </c>
      <c r="E1452" s="10" t="s">
        <v>965</v>
      </c>
      <c r="F1452" t="s">
        <v>32</v>
      </c>
      <c r="G1452" t="s">
        <v>18</v>
      </c>
      <c r="H1452" t="s">
        <v>79</v>
      </c>
      <c r="I1452">
        <v>1</v>
      </c>
      <c r="J1452" s="3">
        <v>190.91</v>
      </c>
      <c r="K1452" s="2">
        <v>0.05</v>
      </c>
      <c r="L1452" s="3">
        <v>181.36</v>
      </c>
      <c r="M1452" s="3">
        <v>47.16</v>
      </c>
      <c r="N1452" t="s">
        <v>40</v>
      </c>
      <c r="O1452" s="3"/>
      <c r="P1452" s="3"/>
    </row>
    <row r="1453" spans="1:16" x14ac:dyDescent="0.3">
      <c r="A1453" t="s">
        <v>2826</v>
      </c>
      <c r="B1453" s="9" t="s">
        <v>56</v>
      </c>
      <c r="C1453" s="20" t="str">
        <f t="shared" si="22"/>
        <v>Dec</v>
      </c>
      <c r="D1453" t="s">
        <v>1082</v>
      </c>
      <c r="E1453" s="10" t="s">
        <v>1362</v>
      </c>
      <c r="F1453" t="s">
        <v>17</v>
      </c>
      <c r="G1453" t="s">
        <v>26</v>
      </c>
      <c r="H1453" t="s">
        <v>84</v>
      </c>
      <c r="I1453">
        <v>3</v>
      </c>
      <c r="J1453" s="3">
        <v>224.52</v>
      </c>
      <c r="K1453" s="2">
        <v>0.15</v>
      </c>
      <c r="L1453" s="3">
        <v>572.53</v>
      </c>
      <c r="M1453" s="3">
        <v>108.82</v>
      </c>
      <c r="N1453" t="s">
        <v>35</v>
      </c>
      <c r="O1453" s="3"/>
      <c r="P1453" s="3"/>
    </row>
    <row r="1454" spans="1:16" x14ac:dyDescent="0.3">
      <c r="A1454" t="s">
        <v>2827</v>
      </c>
      <c r="B1454" s="9" t="s">
        <v>66</v>
      </c>
      <c r="C1454" s="20" t="str">
        <f t="shared" si="22"/>
        <v>Mar</v>
      </c>
      <c r="D1454" t="s">
        <v>1833</v>
      </c>
      <c r="E1454" s="10" t="s">
        <v>373</v>
      </c>
      <c r="F1454" t="s">
        <v>64</v>
      </c>
      <c r="G1454" t="s">
        <v>18</v>
      </c>
      <c r="H1454" t="s">
        <v>79</v>
      </c>
      <c r="I1454">
        <v>3</v>
      </c>
      <c r="J1454" s="3">
        <v>71.319999999999993</v>
      </c>
      <c r="K1454" s="2">
        <v>0.15</v>
      </c>
      <c r="L1454" s="3">
        <v>181.87</v>
      </c>
      <c r="M1454" s="3">
        <v>16.399999999999999</v>
      </c>
      <c r="N1454" t="s">
        <v>20</v>
      </c>
      <c r="O1454" s="3"/>
      <c r="P1454" s="3"/>
    </row>
    <row r="1455" spans="1:16" x14ac:dyDescent="0.3">
      <c r="A1455" t="s">
        <v>2828</v>
      </c>
      <c r="B1455" s="9" t="s">
        <v>503</v>
      </c>
      <c r="C1455" s="20" t="str">
        <f t="shared" si="22"/>
        <v>Mar</v>
      </c>
      <c r="D1455" t="s">
        <v>691</v>
      </c>
      <c r="E1455" s="10" t="s">
        <v>1550</v>
      </c>
      <c r="F1455" t="s">
        <v>17</v>
      </c>
      <c r="G1455" t="s">
        <v>33</v>
      </c>
      <c r="H1455" t="s">
        <v>50</v>
      </c>
      <c r="I1455">
        <v>8</v>
      </c>
      <c r="J1455" s="3">
        <v>236.31</v>
      </c>
      <c r="K1455" s="2">
        <v>0</v>
      </c>
      <c r="L1455" s="3">
        <v>1890.48</v>
      </c>
      <c r="M1455" s="3">
        <v>336.13</v>
      </c>
      <c r="N1455" t="s">
        <v>20</v>
      </c>
      <c r="O1455" s="3"/>
      <c r="P1455" s="3"/>
    </row>
    <row r="1456" spans="1:16" x14ac:dyDescent="0.3">
      <c r="A1456" t="s">
        <v>2829</v>
      </c>
      <c r="B1456" s="9" t="s">
        <v>210</v>
      </c>
      <c r="C1456" s="20" t="str">
        <f t="shared" si="22"/>
        <v>Mar</v>
      </c>
      <c r="D1456" t="s">
        <v>424</v>
      </c>
      <c r="E1456" s="10" t="s">
        <v>880</v>
      </c>
      <c r="F1456" t="s">
        <v>64</v>
      </c>
      <c r="G1456" t="s">
        <v>26</v>
      </c>
      <c r="H1456" t="s">
        <v>84</v>
      </c>
      <c r="I1456">
        <v>7</v>
      </c>
      <c r="J1456" s="3">
        <v>133.41</v>
      </c>
      <c r="K1456" s="2">
        <v>0.15</v>
      </c>
      <c r="L1456" s="3">
        <v>793.79</v>
      </c>
      <c r="M1456" s="3">
        <v>170.63</v>
      </c>
      <c r="N1456" t="s">
        <v>35</v>
      </c>
      <c r="O1456" s="3"/>
      <c r="P1456" s="3"/>
    </row>
    <row r="1457" spans="1:16" x14ac:dyDescent="0.3">
      <c r="A1457" t="s">
        <v>2830</v>
      </c>
      <c r="B1457" s="9" t="s">
        <v>915</v>
      </c>
      <c r="C1457" s="20" t="str">
        <f t="shared" si="22"/>
        <v>Mar</v>
      </c>
      <c r="D1457" t="s">
        <v>224</v>
      </c>
      <c r="E1457" s="10" t="s">
        <v>430</v>
      </c>
      <c r="F1457" t="s">
        <v>64</v>
      </c>
      <c r="G1457" t="s">
        <v>26</v>
      </c>
      <c r="H1457" t="s">
        <v>27</v>
      </c>
      <c r="I1457">
        <v>3</v>
      </c>
      <c r="J1457" s="3">
        <v>233.93</v>
      </c>
      <c r="K1457" s="2">
        <v>0.05</v>
      </c>
      <c r="L1457" s="3">
        <v>666.7</v>
      </c>
      <c r="M1457" s="3">
        <v>172.44</v>
      </c>
      <c r="N1457" t="s">
        <v>40</v>
      </c>
      <c r="O1457" s="3"/>
      <c r="P1457" s="3"/>
    </row>
    <row r="1458" spans="1:16" x14ac:dyDescent="0.3">
      <c r="A1458" t="s">
        <v>2831</v>
      </c>
      <c r="B1458" s="9" t="s">
        <v>37</v>
      </c>
      <c r="C1458" s="20" t="str">
        <f t="shared" si="22"/>
        <v>Dec</v>
      </c>
      <c r="D1458" t="s">
        <v>2056</v>
      </c>
      <c r="E1458" s="10" t="s">
        <v>1507</v>
      </c>
      <c r="F1458" t="s">
        <v>32</v>
      </c>
      <c r="G1458" t="s">
        <v>89</v>
      </c>
      <c r="H1458" t="s">
        <v>150</v>
      </c>
      <c r="I1458">
        <v>4</v>
      </c>
      <c r="J1458" s="3">
        <v>235.48</v>
      </c>
      <c r="K1458" s="2">
        <v>0.15</v>
      </c>
      <c r="L1458" s="3">
        <v>800.63</v>
      </c>
      <c r="M1458" s="3">
        <v>107.81</v>
      </c>
      <c r="N1458" t="s">
        <v>20</v>
      </c>
      <c r="O1458" s="3"/>
      <c r="P1458" s="3"/>
    </row>
    <row r="1459" spans="1:16" x14ac:dyDescent="0.3">
      <c r="A1459" t="s">
        <v>2832</v>
      </c>
      <c r="B1459" s="9" t="s">
        <v>1715</v>
      </c>
      <c r="C1459" s="20" t="str">
        <f t="shared" si="22"/>
        <v>Dec</v>
      </c>
      <c r="D1459" t="s">
        <v>865</v>
      </c>
      <c r="E1459" s="10" t="s">
        <v>455</v>
      </c>
      <c r="F1459" t="s">
        <v>32</v>
      </c>
      <c r="G1459" t="s">
        <v>18</v>
      </c>
      <c r="H1459" t="s">
        <v>79</v>
      </c>
      <c r="I1459">
        <v>4</v>
      </c>
      <c r="J1459" s="3">
        <v>80.63</v>
      </c>
      <c r="K1459" s="2">
        <v>0.05</v>
      </c>
      <c r="L1459" s="3">
        <v>306.39</v>
      </c>
      <c r="M1459" s="3">
        <v>87.53</v>
      </c>
      <c r="N1459" t="s">
        <v>20</v>
      </c>
      <c r="O1459" s="3"/>
      <c r="P1459" s="3"/>
    </row>
    <row r="1460" spans="1:16" x14ac:dyDescent="0.3">
      <c r="A1460" t="s">
        <v>2833</v>
      </c>
      <c r="B1460" s="9" t="s">
        <v>450</v>
      </c>
      <c r="C1460" s="20" t="str">
        <f t="shared" si="22"/>
        <v>Sep</v>
      </c>
      <c r="D1460" t="s">
        <v>604</v>
      </c>
      <c r="E1460" s="10" t="s">
        <v>126</v>
      </c>
      <c r="F1460" t="s">
        <v>32</v>
      </c>
      <c r="G1460" t="s">
        <v>18</v>
      </c>
      <c r="H1460" t="s">
        <v>79</v>
      </c>
      <c r="I1460">
        <v>5</v>
      </c>
      <c r="J1460" s="3">
        <v>141.30000000000001</v>
      </c>
      <c r="K1460" s="2">
        <v>0.1</v>
      </c>
      <c r="L1460" s="3">
        <v>635.85</v>
      </c>
      <c r="M1460" s="3">
        <v>78.66</v>
      </c>
      <c r="N1460" t="s">
        <v>35</v>
      </c>
      <c r="O1460" s="3"/>
      <c r="P1460" s="3"/>
    </row>
    <row r="1461" spans="1:16" x14ac:dyDescent="0.3">
      <c r="A1461" t="s">
        <v>2834</v>
      </c>
      <c r="B1461" s="9" t="s">
        <v>1260</v>
      </c>
      <c r="C1461" s="20" t="str">
        <f t="shared" si="22"/>
        <v>May</v>
      </c>
      <c r="D1461" t="s">
        <v>1247</v>
      </c>
      <c r="E1461" s="10" t="s">
        <v>1291</v>
      </c>
      <c r="F1461" t="s">
        <v>25</v>
      </c>
      <c r="G1461" t="s">
        <v>89</v>
      </c>
      <c r="H1461" t="s">
        <v>131</v>
      </c>
      <c r="I1461">
        <v>3</v>
      </c>
      <c r="J1461" s="3">
        <v>157.66</v>
      </c>
      <c r="K1461" s="2">
        <v>0.15</v>
      </c>
      <c r="L1461" s="3">
        <v>402.03</v>
      </c>
      <c r="M1461" s="3">
        <v>41.75</v>
      </c>
      <c r="N1461" t="s">
        <v>20</v>
      </c>
      <c r="O1461" s="3"/>
      <c r="P1461" s="3"/>
    </row>
    <row r="1462" spans="1:16" x14ac:dyDescent="0.3">
      <c r="A1462" t="s">
        <v>2835</v>
      </c>
      <c r="B1462" s="9" t="s">
        <v>1696</v>
      </c>
      <c r="C1462" s="20" t="str">
        <f t="shared" si="22"/>
        <v>Jun</v>
      </c>
      <c r="D1462" t="s">
        <v>1121</v>
      </c>
      <c r="E1462" s="10" t="s">
        <v>1899</v>
      </c>
      <c r="F1462" t="s">
        <v>32</v>
      </c>
      <c r="G1462" t="s">
        <v>89</v>
      </c>
      <c r="H1462" t="s">
        <v>90</v>
      </c>
      <c r="I1462">
        <v>4</v>
      </c>
      <c r="J1462" s="3">
        <v>218.07</v>
      </c>
      <c r="K1462" s="2">
        <v>0.1</v>
      </c>
      <c r="L1462" s="3">
        <v>785.05</v>
      </c>
      <c r="M1462" s="3">
        <v>98.74</v>
      </c>
      <c r="N1462" t="s">
        <v>35</v>
      </c>
      <c r="O1462" s="3"/>
      <c r="P1462" s="3"/>
    </row>
    <row r="1463" spans="1:16" x14ac:dyDescent="0.3">
      <c r="A1463" t="s">
        <v>2836</v>
      </c>
      <c r="B1463" s="9" t="s">
        <v>1992</v>
      </c>
      <c r="C1463" s="20" t="str">
        <f t="shared" si="22"/>
        <v>Jul</v>
      </c>
      <c r="D1463" t="s">
        <v>857</v>
      </c>
      <c r="E1463" s="10" t="s">
        <v>380</v>
      </c>
      <c r="F1463" t="s">
        <v>17</v>
      </c>
      <c r="G1463" t="s">
        <v>33</v>
      </c>
      <c r="H1463" t="s">
        <v>50</v>
      </c>
      <c r="I1463">
        <v>4</v>
      </c>
      <c r="J1463" s="3">
        <v>106.3</v>
      </c>
      <c r="K1463" s="2">
        <v>0.15</v>
      </c>
      <c r="L1463" s="3">
        <v>361.42</v>
      </c>
      <c r="M1463" s="3">
        <v>54.5</v>
      </c>
      <c r="N1463" t="s">
        <v>40</v>
      </c>
      <c r="O1463" s="3"/>
      <c r="P1463" s="3"/>
    </row>
    <row r="1464" spans="1:16" x14ac:dyDescent="0.3">
      <c r="A1464" t="s">
        <v>2837</v>
      </c>
      <c r="B1464" s="9" t="s">
        <v>443</v>
      </c>
      <c r="C1464" s="20" t="str">
        <f t="shared" si="22"/>
        <v>Oct</v>
      </c>
      <c r="D1464" t="s">
        <v>1618</v>
      </c>
      <c r="E1464" s="10" t="s">
        <v>2260</v>
      </c>
      <c r="F1464" t="s">
        <v>59</v>
      </c>
      <c r="G1464" t="s">
        <v>18</v>
      </c>
      <c r="H1464" t="s">
        <v>45</v>
      </c>
      <c r="I1464">
        <v>4</v>
      </c>
      <c r="J1464" s="3">
        <v>169.32</v>
      </c>
      <c r="K1464" s="2">
        <v>0</v>
      </c>
      <c r="L1464" s="3">
        <v>677.28</v>
      </c>
      <c r="M1464" s="3">
        <v>108.98</v>
      </c>
      <c r="N1464" t="s">
        <v>20</v>
      </c>
      <c r="O1464" s="3"/>
      <c r="P1464" s="3"/>
    </row>
    <row r="1465" spans="1:16" x14ac:dyDescent="0.3">
      <c r="A1465" t="s">
        <v>2838</v>
      </c>
      <c r="B1465" s="9" t="s">
        <v>2615</v>
      </c>
      <c r="C1465" s="20" t="str">
        <f t="shared" si="22"/>
        <v>Apr</v>
      </c>
      <c r="D1465" t="s">
        <v>1205</v>
      </c>
      <c r="E1465" s="10" t="s">
        <v>284</v>
      </c>
      <c r="F1465" t="s">
        <v>17</v>
      </c>
      <c r="G1465" t="s">
        <v>33</v>
      </c>
      <c r="H1465" t="s">
        <v>74</v>
      </c>
      <c r="I1465">
        <v>8</v>
      </c>
      <c r="J1465" s="3">
        <v>124.35</v>
      </c>
      <c r="K1465" s="2">
        <v>0.1</v>
      </c>
      <c r="L1465" s="3">
        <v>895.32</v>
      </c>
      <c r="M1465" s="3">
        <v>79.34</v>
      </c>
      <c r="N1465" t="s">
        <v>35</v>
      </c>
      <c r="O1465" s="3"/>
      <c r="P1465" s="3"/>
    </row>
    <row r="1466" spans="1:16" x14ac:dyDescent="0.3">
      <c r="A1466" t="s">
        <v>2839</v>
      </c>
      <c r="B1466" s="9" t="s">
        <v>643</v>
      </c>
      <c r="C1466" s="20" t="str">
        <f t="shared" si="22"/>
        <v>Aug</v>
      </c>
      <c r="D1466" t="s">
        <v>226</v>
      </c>
      <c r="E1466" s="10" t="s">
        <v>1859</v>
      </c>
      <c r="F1466" t="s">
        <v>25</v>
      </c>
      <c r="G1466" t="s">
        <v>33</v>
      </c>
      <c r="H1466" t="s">
        <v>34</v>
      </c>
      <c r="I1466">
        <v>4</v>
      </c>
      <c r="J1466" s="3">
        <v>172.04</v>
      </c>
      <c r="K1466" s="2">
        <v>0.1</v>
      </c>
      <c r="L1466" s="3">
        <v>619.34</v>
      </c>
      <c r="M1466" s="3">
        <v>65.19</v>
      </c>
      <c r="N1466" t="s">
        <v>40</v>
      </c>
      <c r="O1466" s="3"/>
      <c r="P1466" s="3"/>
    </row>
    <row r="1467" spans="1:16" x14ac:dyDescent="0.3">
      <c r="A1467" t="s">
        <v>2840</v>
      </c>
      <c r="B1467" s="9" t="s">
        <v>1081</v>
      </c>
      <c r="C1467" s="20" t="str">
        <f t="shared" si="22"/>
        <v>Sep</v>
      </c>
      <c r="D1467" t="s">
        <v>283</v>
      </c>
      <c r="E1467" s="10" t="s">
        <v>1592</v>
      </c>
      <c r="F1467" t="s">
        <v>64</v>
      </c>
      <c r="G1467" t="s">
        <v>33</v>
      </c>
      <c r="H1467" t="s">
        <v>50</v>
      </c>
      <c r="I1467">
        <v>7</v>
      </c>
      <c r="J1467" s="3">
        <v>186.75</v>
      </c>
      <c r="K1467" s="2">
        <v>0.05</v>
      </c>
      <c r="L1467" s="3">
        <v>1241.8900000000001</v>
      </c>
      <c r="M1467" s="3">
        <v>316.66000000000003</v>
      </c>
      <c r="N1467" t="s">
        <v>40</v>
      </c>
      <c r="O1467" s="3"/>
      <c r="P1467" s="3"/>
    </row>
    <row r="1468" spans="1:16" x14ac:dyDescent="0.3">
      <c r="A1468" t="s">
        <v>2841</v>
      </c>
      <c r="B1468" s="9" t="s">
        <v>56</v>
      </c>
      <c r="C1468" s="20" t="str">
        <f t="shared" si="22"/>
        <v>Dec</v>
      </c>
      <c r="D1468" t="s">
        <v>2842</v>
      </c>
      <c r="E1468" s="10" t="s">
        <v>2196</v>
      </c>
      <c r="F1468" t="s">
        <v>64</v>
      </c>
      <c r="G1468" t="s">
        <v>33</v>
      </c>
      <c r="H1468" t="s">
        <v>34</v>
      </c>
      <c r="I1468">
        <v>7</v>
      </c>
      <c r="J1468" s="3">
        <v>96.48</v>
      </c>
      <c r="K1468" s="2">
        <v>0.15</v>
      </c>
      <c r="L1468" s="3">
        <v>574.05999999999995</v>
      </c>
      <c r="M1468" s="3">
        <v>113.4</v>
      </c>
      <c r="N1468" t="s">
        <v>35</v>
      </c>
      <c r="O1468" s="3"/>
      <c r="P1468" s="3"/>
    </row>
    <row r="1469" spans="1:16" x14ac:dyDescent="0.3">
      <c r="A1469" t="s">
        <v>2843</v>
      </c>
      <c r="B1469" s="9" t="s">
        <v>2588</v>
      </c>
      <c r="C1469" s="20" t="str">
        <f t="shared" si="22"/>
        <v>May</v>
      </c>
      <c r="D1469" t="s">
        <v>1957</v>
      </c>
      <c r="E1469" s="10" t="s">
        <v>521</v>
      </c>
      <c r="F1469" t="s">
        <v>59</v>
      </c>
      <c r="G1469" t="s">
        <v>33</v>
      </c>
      <c r="H1469" t="s">
        <v>74</v>
      </c>
      <c r="I1469">
        <v>1</v>
      </c>
      <c r="J1469" s="3">
        <v>53.24</v>
      </c>
      <c r="K1469" s="2">
        <v>0</v>
      </c>
      <c r="L1469" s="3">
        <v>53.24</v>
      </c>
      <c r="M1469" s="3">
        <v>12.75</v>
      </c>
      <c r="N1469" t="s">
        <v>40</v>
      </c>
      <c r="O1469" s="3"/>
      <c r="P1469" s="3"/>
    </row>
    <row r="1470" spans="1:16" x14ac:dyDescent="0.3">
      <c r="A1470" t="s">
        <v>2844</v>
      </c>
      <c r="B1470" s="9" t="s">
        <v>42</v>
      </c>
      <c r="C1470" s="20" t="str">
        <f t="shared" si="22"/>
        <v>Jul</v>
      </c>
      <c r="D1470" t="s">
        <v>62</v>
      </c>
      <c r="E1470" s="10" t="s">
        <v>699</v>
      </c>
      <c r="F1470" t="s">
        <v>32</v>
      </c>
      <c r="G1470" t="s">
        <v>89</v>
      </c>
      <c r="H1470" t="s">
        <v>131</v>
      </c>
      <c r="I1470">
        <v>3</v>
      </c>
      <c r="J1470" s="3">
        <v>101.4</v>
      </c>
      <c r="K1470" s="2">
        <v>0.15</v>
      </c>
      <c r="L1470" s="3">
        <v>258.57</v>
      </c>
      <c r="M1470" s="3">
        <v>49.67</v>
      </c>
      <c r="N1470" t="s">
        <v>35</v>
      </c>
      <c r="O1470" s="3"/>
      <c r="P1470" s="3"/>
    </row>
    <row r="1471" spans="1:16" x14ac:dyDescent="0.3">
      <c r="A1471" t="s">
        <v>2845</v>
      </c>
      <c r="B1471" s="9" t="s">
        <v>1187</v>
      </c>
      <c r="C1471" s="20" t="str">
        <f t="shared" si="22"/>
        <v>May</v>
      </c>
      <c r="D1471" t="s">
        <v>1188</v>
      </c>
      <c r="E1471" s="10" t="s">
        <v>891</v>
      </c>
      <c r="F1471" t="s">
        <v>64</v>
      </c>
      <c r="G1471" t="s">
        <v>26</v>
      </c>
      <c r="H1471" t="s">
        <v>84</v>
      </c>
      <c r="I1471">
        <v>2</v>
      </c>
      <c r="J1471" s="3">
        <v>199.22</v>
      </c>
      <c r="K1471" s="2">
        <v>0.1</v>
      </c>
      <c r="L1471" s="3">
        <v>358.6</v>
      </c>
      <c r="M1471" s="3">
        <v>54.08</v>
      </c>
      <c r="N1471" t="s">
        <v>35</v>
      </c>
      <c r="O1471" s="3"/>
      <c r="P1471" s="3"/>
    </row>
    <row r="1472" spans="1:16" x14ac:dyDescent="0.3">
      <c r="A1472" t="s">
        <v>2846</v>
      </c>
      <c r="B1472" s="9" t="s">
        <v>235</v>
      </c>
      <c r="C1472" s="20" t="str">
        <f t="shared" si="22"/>
        <v>Jul</v>
      </c>
      <c r="D1472" t="s">
        <v>1293</v>
      </c>
      <c r="E1472" s="10" t="s">
        <v>1038</v>
      </c>
      <c r="F1472" t="s">
        <v>59</v>
      </c>
      <c r="G1472" t="s">
        <v>18</v>
      </c>
      <c r="H1472" t="s">
        <v>79</v>
      </c>
      <c r="I1472">
        <v>1</v>
      </c>
      <c r="J1472" s="3">
        <v>216.88</v>
      </c>
      <c r="K1472" s="2">
        <v>0.1</v>
      </c>
      <c r="L1472" s="3">
        <v>195.19</v>
      </c>
      <c r="M1472" s="3">
        <v>18.03</v>
      </c>
      <c r="N1472" t="s">
        <v>35</v>
      </c>
      <c r="O1472" s="3"/>
      <c r="P1472" s="3"/>
    </row>
    <row r="1473" spans="1:16" x14ac:dyDescent="0.3">
      <c r="A1473" t="s">
        <v>2847</v>
      </c>
      <c r="B1473" s="9" t="s">
        <v>940</v>
      </c>
      <c r="C1473" s="20" t="str">
        <f t="shared" si="22"/>
        <v>Apr</v>
      </c>
      <c r="D1473" t="s">
        <v>1539</v>
      </c>
      <c r="E1473" s="10" t="s">
        <v>750</v>
      </c>
      <c r="F1473" t="s">
        <v>25</v>
      </c>
      <c r="G1473" t="s">
        <v>18</v>
      </c>
      <c r="H1473" t="s">
        <v>19</v>
      </c>
      <c r="I1473">
        <v>8</v>
      </c>
      <c r="J1473" s="3">
        <v>90.66</v>
      </c>
      <c r="K1473" s="2">
        <v>0</v>
      </c>
      <c r="L1473" s="3">
        <v>725.28</v>
      </c>
      <c r="M1473" s="3">
        <v>115.01</v>
      </c>
      <c r="N1473" t="s">
        <v>20</v>
      </c>
      <c r="O1473" s="3"/>
      <c r="P1473" s="3"/>
    </row>
    <row r="1474" spans="1:16" x14ac:dyDescent="0.3">
      <c r="A1474" t="s">
        <v>2848</v>
      </c>
      <c r="B1474" s="9" t="s">
        <v>1252</v>
      </c>
      <c r="C1474" s="20" t="str">
        <f t="shared" ref="C1474:C1537" si="23">TEXT(B:B, "mmm")</f>
        <v>Oct</v>
      </c>
      <c r="D1474" t="s">
        <v>221</v>
      </c>
      <c r="E1474" s="10" t="s">
        <v>1902</v>
      </c>
      <c r="F1474" t="s">
        <v>25</v>
      </c>
      <c r="G1474" t="s">
        <v>33</v>
      </c>
      <c r="H1474" t="s">
        <v>74</v>
      </c>
      <c r="I1474">
        <v>2</v>
      </c>
      <c r="J1474" s="3">
        <v>13.61</v>
      </c>
      <c r="K1474" s="2">
        <v>0.05</v>
      </c>
      <c r="L1474" s="3">
        <v>25.86</v>
      </c>
      <c r="M1474" s="3">
        <v>3.97</v>
      </c>
      <c r="N1474" t="s">
        <v>20</v>
      </c>
      <c r="O1474" s="3"/>
      <c r="P1474" s="3"/>
    </row>
    <row r="1475" spans="1:16" x14ac:dyDescent="0.3">
      <c r="A1475" t="s">
        <v>2849</v>
      </c>
      <c r="B1475" s="9" t="s">
        <v>335</v>
      </c>
      <c r="C1475" s="20" t="str">
        <f t="shared" si="23"/>
        <v>Oct</v>
      </c>
      <c r="D1475" t="s">
        <v>204</v>
      </c>
      <c r="E1475" s="10" t="s">
        <v>1510</v>
      </c>
      <c r="F1475" t="s">
        <v>59</v>
      </c>
      <c r="G1475" t="s">
        <v>26</v>
      </c>
      <c r="H1475" t="s">
        <v>84</v>
      </c>
      <c r="I1475">
        <v>7</v>
      </c>
      <c r="J1475" s="3">
        <v>111.14</v>
      </c>
      <c r="K1475" s="2">
        <v>0</v>
      </c>
      <c r="L1475" s="3">
        <v>777.98</v>
      </c>
      <c r="M1475" s="3">
        <v>186.49</v>
      </c>
      <c r="N1475" t="s">
        <v>40</v>
      </c>
      <c r="O1475" s="3"/>
      <c r="P1475" s="3"/>
    </row>
    <row r="1476" spans="1:16" x14ac:dyDescent="0.3">
      <c r="A1476" t="s">
        <v>2850</v>
      </c>
      <c r="B1476" s="9" t="s">
        <v>686</v>
      </c>
      <c r="C1476" s="20" t="str">
        <f t="shared" si="23"/>
        <v>Aug</v>
      </c>
      <c r="D1476" t="s">
        <v>1176</v>
      </c>
      <c r="E1476" s="10" t="s">
        <v>2600</v>
      </c>
      <c r="F1476" t="s">
        <v>64</v>
      </c>
      <c r="G1476" t="s">
        <v>33</v>
      </c>
      <c r="H1476" t="s">
        <v>74</v>
      </c>
      <c r="I1476">
        <v>5</v>
      </c>
      <c r="J1476" s="3">
        <v>105.89</v>
      </c>
      <c r="K1476" s="2">
        <v>0.15</v>
      </c>
      <c r="L1476" s="3">
        <v>450.03</v>
      </c>
      <c r="M1476" s="3">
        <v>42.65</v>
      </c>
      <c r="N1476" t="s">
        <v>40</v>
      </c>
      <c r="O1476" s="3"/>
      <c r="P1476" s="3"/>
    </row>
    <row r="1477" spans="1:16" x14ac:dyDescent="0.3">
      <c r="A1477" t="s">
        <v>2851</v>
      </c>
      <c r="B1477" s="9" t="s">
        <v>345</v>
      </c>
      <c r="C1477" s="20" t="str">
        <f t="shared" si="23"/>
        <v>Apr</v>
      </c>
      <c r="D1477" t="s">
        <v>713</v>
      </c>
      <c r="E1477" s="10" t="s">
        <v>1923</v>
      </c>
      <c r="F1477" t="s">
        <v>59</v>
      </c>
      <c r="G1477" t="s">
        <v>33</v>
      </c>
      <c r="H1477" t="s">
        <v>50</v>
      </c>
      <c r="I1477">
        <v>1</v>
      </c>
      <c r="J1477" s="3">
        <v>162.52000000000001</v>
      </c>
      <c r="K1477" s="2">
        <v>0.1</v>
      </c>
      <c r="L1477" s="3">
        <v>146.27000000000001</v>
      </c>
      <c r="M1477" s="3">
        <v>17.579999999999998</v>
      </c>
      <c r="N1477" t="s">
        <v>40</v>
      </c>
      <c r="O1477" s="3"/>
      <c r="P1477" s="3"/>
    </row>
    <row r="1478" spans="1:16" x14ac:dyDescent="0.3">
      <c r="A1478" t="s">
        <v>2852</v>
      </c>
      <c r="B1478" s="9" t="s">
        <v>180</v>
      </c>
      <c r="C1478" s="20" t="str">
        <f t="shared" si="23"/>
        <v>Feb</v>
      </c>
      <c r="D1478" t="s">
        <v>978</v>
      </c>
      <c r="E1478" s="10" t="s">
        <v>1084</v>
      </c>
      <c r="F1478" t="s">
        <v>64</v>
      </c>
      <c r="G1478" t="s">
        <v>18</v>
      </c>
      <c r="H1478" t="s">
        <v>45</v>
      </c>
      <c r="I1478">
        <v>1</v>
      </c>
      <c r="J1478" s="3">
        <v>168.65</v>
      </c>
      <c r="K1478" s="2">
        <v>0.05</v>
      </c>
      <c r="L1478" s="3">
        <v>160.22</v>
      </c>
      <c r="M1478" s="3">
        <v>21.01</v>
      </c>
      <c r="N1478" t="s">
        <v>40</v>
      </c>
      <c r="O1478" s="3"/>
      <c r="P1478" s="3"/>
    </row>
    <row r="1479" spans="1:16" x14ac:dyDescent="0.3">
      <c r="A1479" t="s">
        <v>2853</v>
      </c>
      <c r="B1479" s="9" t="s">
        <v>788</v>
      </c>
      <c r="C1479" s="20" t="str">
        <f t="shared" si="23"/>
        <v>May</v>
      </c>
      <c r="D1479" t="s">
        <v>2618</v>
      </c>
      <c r="E1479" s="10" t="s">
        <v>2491</v>
      </c>
      <c r="F1479" t="s">
        <v>64</v>
      </c>
      <c r="G1479" t="s">
        <v>26</v>
      </c>
      <c r="H1479" t="s">
        <v>84</v>
      </c>
      <c r="I1479">
        <v>7</v>
      </c>
      <c r="J1479" s="3">
        <v>41.42</v>
      </c>
      <c r="K1479" s="2">
        <v>0.05</v>
      </c>
      <c r="L1479" s="3">
        <v>275.44</v>
      </c>
      <c r="M1479" s="3">
        <v>77.88</v>
      </c>
      <c r="N1479" t="s">
        <v>40</v>
      </c>
      <c r="O1479" s="3"/>
      <c r="P1479" s="3"/>
    </row>
    <row r="1480" spans="1:16" x14ac:dyDescent="0.3">
      <c r="A1480" t="s">
        <v>2854</v>
      </c>
      <c r="B1480" s="9" t="s">
        <v>1997</v>
      </c>
      <c r="C1480" s="20" t="str">
        <f t="shared" si="23"/>
        <v>Sep</v>
      </c>
      <c r="D1480" t="s">
        <v>125</v>
      </c>
      <c r="E1480" s="10" t="s">
        <v>2060</v>
      </c>
      <c r="F1480" t="s">
        <v>25</v>
      </c>
      <c r="G1480" t="s">
        <v>89</v>
      </c>
      <c r="H1480" t="s">
        <v>131</v>
      </c>
      <c r="I1480">
        <v>1</v>
      </c>
      <c r="J1480" s="3">
        <v>100.46</v>
      </c>
      <c r="K1480" s="2">
        <v>0.05</v>
      </c>
      <c r="L1480" s="3">
        <v>95.44</v>
      </c>
      <c r="M1480" s="3">
        <v>15.59</v>
      </c>
      <c r="N1480" t="s">
        <v>40</v>
      </c>
      <c r="O1480" s="3"/>
      <c r="P1480" s="3"/>
    </row>
    <row r="1481" spans="1:16" x14ac:dyDescent="0.3">
      <c r="A1481" t="s">
        <v>2855</v>
      </c>
      <c r="B1481" s="9" t="s">
        <v>1101</v>
      </c>
      <c r="C1481" s="20" t="str">
        <f t="shared" si="23"/>
        <v>Jul</v>
      </c>
      <c r="D1481" t="s">
        <v>1044</v>
      </c>
      <c r="E1481" s="10" t="s">
        <v>165</v>
      </c>
      <c r="F1481" t="s">
        <v>17</v>
      </c>
      <c r="G1481" t="s">
        <v>33</v>
      </c>
      <c r="H1481" t="s">
        <v>74</v>
      </c>
      <c r="I1481">
        <v>3</v>
      </c>
      <c r="J1481" s="3">
        <v>225.29</v>
      </c>
      <c r="K1481" s="2">
        <v>0</v>
      </c>
      <c r="L1481" s="3">
        <v>675.87</v>
      </c>
      <c r="M1481" s="3">
        <v>57.64</v>
      </c>
      <c r="N1481" t="s">
        <v>20</v>
      </c>
      <c r="O1481" s="3"/>
      <c r="P1481" s="3"/>
    </row>
    <row r="1482" spans="1:16" x14ac:dyDescent="0.3">
      <c r="A1482" t="s">
        <v>2856</v>
      </c>
      <c r="B1482" s="9" t="s">
        <v>195</v>
      </c>
      <c r="C1482" s="20" t="str">
        <f t="shared" si="23"/>
        <v>Nov</v>
      </c>
      <c r="D1482" t="s">
        <v>1176</v>
      </c>
      <c r="E1482" s="10" t="s">
        <v>962</v>
      </c>
      <c r="F1482" t="s">
        <v>64</v>
      </c>
      <c r="G1482" t="s">
        <v>18</v>
      </c>
      <c r="H1482" t="s">
        <v>19</v>
      </c>
      <c r="I1482">
        <v>2</v>
      </c>
      <c r="J1482" s="3">
        <v>199.12</v>
      </c>
      <c r="K1482" s="2">
        <v>0.15</v>
      </c>
      <c r="L1482" s="3">
        <v>338.5</v>
      </c>
      <c r="M1482" s="3">
        <v>82.89</v>
      </c>
      <c r="N1482" t="s">
        <v>35</v>
      </c>
      <c r="O1482" s="3"/>
      <c r="P1482" s="3"/>
    </row>
    <row r="1483" spans="1:16" x14ac:dyDescent="0.3">
      <c r="A1483" t="s">
        <v>2857</v>
      </c>
      <c r="B1483" s="9" t="s">
        <v>715</v>
      </c>
      <c r="C1483" s="20" t="str">
        <f t="shared" si="23"/>
        <v>Jun</v>
      </c>
      <c r="D1483" t="s">
        <v>375</v>
      </c>
      <c r="E1483" s="10" t="s">
        <v>962</v>
      </c>
      <c r="F1483" t="s">
        <v>59</v>
      </c>
      <c r="G1483" t="s">
        <v>18</v>
      </c>
      <c r="H1483" t="s">
        <v>79</v>
      </c>
      <c r="I1483">
        <v>5</v>
      </c>
      <c r="J1483" s="3">
        <v>76.900000000000006</v>
      </c>
      <c r="K1483" s="2">
        <v>0.05</v>
      </c>
      <c r="L1483" s="3">
        <v>365.27</v>
      </c>
      <c r="M1483" s="3">
        <v>59.37</v>
      </c>
      <c r="N1483" t="s">
        <v>40</v>
      </c>
      <c r="O1483" s="3"/>
      <c r="P1483" s="3"/>
    </row>
    <row r="1484" spans="1:16" x14ac:dyDescent="0.3">
      <c r="A1484" t="s">
        <v>2858</v>
      </c>
      <c r="B1484" s="9" t="s">
        <v>1089</v>
      </c>
      <c r="C1484" s="20" t="str">
        <f t="shared" si="23"/>
        <v>Dec</v>
      </c>
      <c r="D1484" t="s">
        <v>802</v>
      </c>
      <c r="E1484" s="10" t="s">
        <v>1431</v>
      </c>
      <c r="F1484" t="s">
        <v>32</v>
      </c>
      <c r="G1484" t="s">
        <v>26</v>
      </c>
      <c r="H1484" t="s">
        <v>27</v>
      </c>
      <c r="I1484">
        <v>4</v>
      </c>
      <c r="J1484" s="3">
        <v>167.36</v>
      </c>
      <c r="K1484" s="2">
        <v>0</v>
      </c>
      <c r="L1484" s="3">
        <v>669.44</v>
      </c>
      <c r="M1484" s="3">
        <v>196.69</v>
      </c>
      <c r="N1484" t="s">
        <v>20</v>
      </c>
      <c r="O1484" s="3"/>
      <c r="P1484" s="3"/>
    </row>
    <row r="1485" spans="1:16" x14ac:dyDescent="0.3">
      <c r="A1485" t="s">
        <v>2859</v>
      </c>
      <c r="B1485" s="9" t="s">
        <v>1252</v>
      </c>
      <c r="C1485" s="20" t="str">
        <f t="shared" si="23"/>
        <v>Oct</v>
      </c>
      <c r="D1485" t="s">
        <v>2241</v>
      </c>
      <c r="E1485" s="10" t="s">
        <v>1084</v>
      </c>
      <c r="F1485" t="s">
        <v>64</v>
      </c>
      <c r="G1485" t="s">
        <v>26</v>
      </c>
      <c r="H1485" t="s">
        <v>118</v>
      </c>
      <c r="I1485">
        <v>2</v>
      </c>
      <c r="J1485" s="3">
        <v>89.63</v>
      </c>
      <c r="K1485" s="2">
        <v>0</v>
      </c>
      <c r="L1485" s="3">
        <v>179.26</v>
      </c>
      <c r="M1485" s="3">
        <v>24.05</v>
      </c>
      <c r="N1485" t="s">
        <v>35</v>
      </c>
      <c r="O1485" s="3"/>
      <c r="P1485" s="3"/>
    </row>
    <row r="1486" spans="1:16" x14ac:dyDescent="0.3">
      <c r="A1486" t="s">
        <v>2860</v>
      </c>
      <c r="B1486" s="9" t="s">
        <v>1055</v>
      </c>
      <c r="C1486" s="20" t="str">
        <f t="shared" si="23"/>
        <v>Aug</v>
      </c>
      <c r="D1486" t="s">
        <v>647</v>
      </c>
      <c r="E1486" s="10" t="s">
        <v>106</v>
      </c>
      <c r="F1486" t="s">
        <v>32</v>
      </c>
      <c r="G1486" t="s">
        <v>89</v>
      </c>
      <c r="H1486" t="s">
        <v>131</v>
      </c>
      <c r="I1486">
        <v>4</v>
      </c>
      <c r="J1486" s="3">
        <v>50.38</v>
      </c>
      <c r="K1486" s="2">
        <v>0.05</v>
      </c>
      <c r="L1486" s="3">
        <v>191.44</v>
      </c>
      <c r="M1486" s="3">
        <v>54.85</v>
      </c>
      <c r="N1486" t="s">
        <v>20</v>
      </c>
      <c r="O1486" s="3"/>
      <c r="P1486" s="3"/>
    </row>
    <row r="1487" spans="1:16" x14ac:dyDescent="0.3">
      <c r="A1487" t="s">
        <v>2861</v>
      </c>
      <c r="B1487" s="9" t="s">
        <v>1350</v>
      </c>
      <c r="C1487" s="20" t="str">
        <f t="shared" si="23"/>
        <v>Sep</v>
      </c>
      <c r="D1487" t="s">
        <v>1030</v>
      </c>
      <c r="E1487" s="10" t="s">
        <v>1859</v>
      </c>
      <c r="F1487" t="s">
        <v>25</v>
      </c>
      <c r="G1487" t="s">
        <v>18</v>
      </c>
      <c r="H1487" t="s">
        <v>79</v>
      </c>
      <c r="I1487">
        <v>2</v>
      </c>
      <c r="J1487" s="3">
        <v>215.5</v>
      </c>
      <c r="K1487" s="2">
        <v>0.05</v>
      </c>
      <c r="L1487" s="3">
        <v>409.45</v>
      </c>
      <c r="M1487" s="3">
        <v>94.23</v>
      </c>
      <c r="N1487" t="s">
        <v>20</v>
      </c>
      <c r="O1487" s="3"/>
      <c r="P1487" s="3"/>
    </row>
    <row r="1488" spans="1:16" x14ac:dyDescent="0.3">
      <c r="A1488" t="s">
        <v>2862</v>
      </c>
      <c r="B1488" s="9" t="s">
        <v>423</v>
      </c>
      <c r="C1488" s="20" t="str">
        <f t="shared" si="23"/>
        <v>Oct</v>
      </c>
      <c r="D1488" t="s">
        <v>1567</v>
      </c>
      <c r="E1488" s="10" t="s">
        <v>1426</v>
      </c>
      <c r="F1488" t="s">
        <v>64</v>
      </c>
      <c r="G1488" t="s">
        <v>18</v>
      </c>
      <c r="H1488" t="s">
        <v>45</v>
      </c>
      <c r="I1488">
        <v>7</v>
      </c>
      <c r="J1488" s="3">
        <v>144.1</v>
      </c>
      <c r="K1488" s="2">
        <v>0.1</v>
      </c>
      <c r="L1488" s="3">
        <v>907.83</v>
      </c>
      <c r="M1488" s="3">
        <v>234.99</v>
      </c>
      <c r="N1488" t="s">
        <v>40</v>
      </c>
      <c r="O1488" s="3"/>
      <c r="P1488" s="3"/>
    </row>
    <row r="1489" spans="1:16" x14ac:dyDescent="0.3">
      <c r="A1489" t="s">
        <v>2863</v>
      </c>
      <c r="B1489" s="9" t="s">
        <v>345</v>
      </c>
      <c r="C1489" s="20" t="str">
        <f t="shared" si="23"/>
        <v>Apr</v>
      </c>
      <c r="D1489" t="s">
        <v>633</v>
      </c>
      <c r="E1489" s="10" t="s">
        <v>1392</v>
      </c>
      <c r="F1489" t="s">
        <v>59</v>
      </c>
      <c r="G1489" t="s">
        <v>33</v>
      </c>
      <c r="H1489" t="s">
        <v>34</v>
      </c>
      <c r="I1489">
        <v>3</v>
      </c>
      <c r="J1489" s="3">
        <v>117.33</v>
      </c>
      <c r="K1489" s="2">
        <v>0</v>
      </c>
      <c r="L1489" s="3">
        <v>351.99</v>
      </c>
      <c r="M1489" s="3">
        <v>74.97</v>
      </c>
      <c r="N1489" t="s">
        <v>20</v>
      </c>
      <c r="O1489" s="3"/>
      <c r="P1489" s="3"/>
    </row>
    <row r="1490" spans="1:16" x14ac:dyDescent="0.3">
      <c r="A1490" t="s">
        <v>2864</v>
      </c>
      <c r="B1490" s="9" t="s">
        <v>1108</v>
      </c>
      <c r="C1490" s="20" t="str">
        <f t="shared" si="23"/>
        <v>Dec</v>
      </c>
      <c r="D1490" t="s">
        <v>1314</v>
      </c>
      <c r="E1490" s="10" t="s">
        <v>390</v>
      </c>
      <c r="F1490" t="s">
        <v>64</v>
      </c>
      <c r="G1490" t="s">
        <v>18</v>
      </c>
      <c r="H1490" t="s">
        <v>45</v>
      </c>
      <c r="I1490">
        <v>3</v>
      </c>
      <c r="J1490" s="3">
        <v>136.15</v>
      </c>
      <c r="K1490" s="2">
        <v>0.15</v>
      </c>
      <c r="L1490" s="3">
        <v>347.18</v>
      </c>
      <c r="M1490" s="3">
        <v>87.31</v>
      </c>
      <c r="N1490" t="s">
        <v>35</v>
      </c>
      <c r="O1490" s="3"/>
      <c r="P1490" s="3"/>
    </row>
    <row r="1491" spans="1:16" x14ac:dyDescent="0.3">
      <c r="A1491" t="s">
        <v>2865</v>
      </c>
      <c r="B1491" s="9" t="s">
        <v>1536</v>
      </c>
      <c r="C1491" s="20" t="str">
        <f t="shared" si="23"/>
        <v>Oct</v>
      </c>
      <c r="D1491" t="s">
        <v>802</v>
      </c>
      <c r="E1491" s="10" t="s">
        <v>102</v>
      </c>
      <c r="F1491" t="s">
        <v>25</v>
      </c>
      <c r="G1491" t="s">
        <v>33</v>
      </c>
      <c r="H1491" t="s">
        <v>34</v>
      </c>
      <c r="I1491">
        <v>5</v>
      </c>
      <c r="J1491" s="3">
        <v>52.06</v>
      </c>
      <c r="K1491" s="2">
        <v>0.15</v>
      </c>
      <c r="L1491" s="3">
        <v>221.25</v>
      </c>
      <c r="M1491" s="3">
        <v>48.3</v>
      </c>
      <c r="N1491" t="s">
        <v>20</v>
      </c>
      <c r="O1491" s="3"/>
      <c r="P1491" s="3"/>
    </row>
    <row r="1492" spans="1:16" x14ac:dyDescent="0.3">
      <c r="A1492" t="s">
        <v>2866</v>
      </c>
      <c r="B1492" s="9" t="s">
        <v>1441</v>
      </c>
      <c r="C1492" s="20" t="str">
        <f t="shared" si="23"/>
        <v>Apr</v>
      </c>
      <c r="D1492" t="s">
        <v>2498</v>
      </c>
      <c r="E1492" s="10" t="s">
        <v>688</v>
      </c>
      <c r="F1492" t="s">
        <v>25</v>
      </c>
      <c r="G1492" t="s">
        <v>18</v>
      </c>
      <c r="H1492" t="s">
        <v>19</v>
      </c>
      <c r="I1492">
        <v>3</v>
      </c>
      <c r="J1492" s="3">
        <v>112.12</v>
      </c>
      <c r="K1492" s="2">
        <v>0.1</v>
      </c>
      <c r="L1492" s="3">
        <v>302.72000000000003</v>
      </c>
      <c r="M1492" s="3">
        <v>85.36</v>
      </c>
      <c r="N1492" t="s">
        <v>20</v>
      </c>
      <c r="O1492" s="3"/>
      <c r="P1492" s="3"/>
    </row>
    <row r="1493" spans="1:16" x14ac:dyDescent="0.3">
      <c r="A1493" t="s">
        <v>2867</v>
      </c>
      <c r="B1493" s="9" t="s">
        <v>439</v>
      </c>
      <c r="C1493" s="20" t="str">
        <f t="shared" si="23"/>
        <v>May</v>
      </c>
      <c r="D1493" t="s">
        <v>2563</v>
      </c>
      <c r="E1493" s="10" t="s">
        <v>1419</v>
      </c>
      <c r="F1493" t="s">
        <v>59</v>
      </c>
      <c r="G1493" t="s">
        <v>89</v>
      </c>
      <c r="H1493" t="s">
        <v>90</v>
      </c>
      <c r="I1493">
        <v>8</v>
      </c>
      <c r="J1493" s="3">
        <v>151.35</v>
      </c>
      <c r="K1493" s="2">
        <v>0</v>
      </c>
      <c r="L1493" s="3">
        <v>1210.8</v>
      </c>
      <c r="M1493" s="3">
        <v>287.88</v>
      </c>
      <c r="N1493" t="s">
        <v>35</v>
      </c>
      <c r="O1493" s="3"/>
      <c r="P1493" s="3"/>
    </row>
    <row r="1494" spans="1:16" x14ac:dyDescent="0.3">
      <c r="A1494" t="s">
        <v>2868</v>
      </c>
      <c r="B1494" s="9" t="s">
        <v>1059</v>
      </c>
      <c r="C1494" s="20" t="str">
        <f t="shared" si="23"/>
        <v>Aug</v>
      </c>
      <c r="D1494" t="s">
        <v>559</v>
      </c>
      <c r="E1494" s="10" t="s">
        <v>1240</v>
      </c>
      <c r="F1494" t="s">
        <v>25</v>
      </c>
      <c r="G1494" t="s">
        <v>26</v>
      </c>
      <c r="H1494" t="s">
        <v>118</v>
      </c>
      <c r="I1494">
        <v>2</v>
      </c>
      <c r="J1494" s="3">
        <v>219.57</v>
      </c>
      <c r="K1494" s="2">
        <v>0.15</v>
      </c>
      <c r="L1494" s="3">
        <v>373.27</v>
      </c>
      <c r="M1494" s="3">
        <v>56</v>
      </c>
      <c r="N1494" t="s">
        <v>40</v>
      </c>
      <c r="O1494" s="3"/>
      <c r="P1494" s="3"/>
    </row>
    <row r="1495" spans="1:16" x14ac:dyDescent="0.3">
      <c r="A1495" t="s">
        <v>2869</v>
      </c>
      <c r="B1495" s="9" t="s">
        <v>924</v>
      </c>
      <c r="C1495" s="20" t="str">
        <f t="shared" si="23"/>
        <v>Apr</v>
      </c>
      <c r="D1495" t="s">
        <v>673</v>
      </c>
      <c r="E1495" s="10" t="s">
        <v>2152</v>
      </c>
      <c r="F1495" t="s">
        <v>64</v>
      </c>
      <c r="G1495" t="s">
        <v>18</v>
      </c>
      <c r="H1495" t="s">
        <v>79</v>
      </c>
      <c r="I1495">
        <v>1</v>
      </c>
      <c r="J1495" s="3">
        <v>173.31</v>
      </c>
      <c r="K1495" s="2">
        <v>0.1</v>
      </c>
      <c r="L1495" s="3">
        <v>155.97999999999999</v>
      </c>
      <c r="M1495" s="3">
        <v>20.72</v>
      </c>
      <c r="N1495" t="s">
        <v>35</v>
      </c>
      <c r="O1495" s="3"/>
      <c r="P1495" s="3"/>
    </row>
    <row r="1496" spans="1:16" x14ac:dyDescent="0.3">
      <c r="A1496" t="s">
        <v>2870</v>
      </c>
      <c r="B1496" s="9" t="s">
        <v>1358</v>
      </c>
      <c r="C1496" s="20" t="str">
        <f t="shared" si="23"/>
        <v>Mar</v>
      </c>
      <c r="D1496" t="s">
        <v>559</v>
      </c>
      <c r="E1496" s="10" t="s">
        <v>1828</v>
      </c>
      <c r="F1496" t="s">
        <v>64</v>
      </c>
      <c r="G1496" t="s">
        <v>89</v>
      </c>
      <c r="H1496" t="s">
        <v>150</v>
      </c>
      <c r="I1496">
        <v>8</v>
      </c>
      <c r="J1496" s="3">
        <v>236.9</v>
      </c>
      <c r="K1496" s="2">
        <v>0.1</v>
      </c>
      <c r="L1496" s="3">
        <v>1705.68</v>
      </c>
      <c r="M1496" s="3">
        <v>441.28</v>
      </c>
      <c r="N1496" t="s">
        <v>35</v>
      </c>
      <c r="O1496" s="3"/>
      <c r="P1496" s="3"/>
    </row>
    <row r="1497" spans="1:16" x14ac:dyDescent="0.3">
      <c r="A1497" t="s">
        <v>2871</v>
      </c>
      <c r="B1497" s="9" t="s">
        <v>143</v>
      </c>
      <c r="C1497" s="20" t="str">
        <f t="shared" si="23"/>
        <v>Jan</v>
      </c>
      <c r="D1497" t="s">
        <v>372</v>
      </c>
      <c r="E1497" s="10" t="s">
        <v>63</v>
      </c>
      <c r="F1497" t="s">
        <v>17</v>
      </c>
      <c r="G1497" t="s">
        <v>33</v>
      </c>
      <c r="H1497" t="s">
        <v>34</v>
      </c>
      <c r="I1497">
        <v>8</v>
      </c>
      <c r="J1497" s="3">
        <v>168.94</v>
      </c>
      <c r="K1497" s="2">
        <v>0.15</v>
      </c>
      <c r="L1497" s="3">
        <v>1148.79</v>
      </c>
      <c r="M1497" s="3">
        <v>268.08999999999997</v>
      </c>
      <c r="N1497" t="s">
        <v>40</v>
      </c>
      <c r="O1497" s="3"/>
      <c r="P1497" s="3"/>
    </row>
    <row r="1498" spans="1:16" x14ac:dyDescent="0.3">
      <c r="A1498" t="s">
        <v>2872</v>
      </c>
      <c r="B1498" s="9" t="s">
        <v>943</v>
      </c>
      <c r="C1498" s="20" t="str">
        <f t="shared" si="23"/>
        <v>Feb</v>
      </c>
      <c r="D1498" t="s">
        <v>1237</v>
      </c>
      <c r="E1498" s="10" t="s">
        <v>1392</v>
      </c>
      <c r="F1498" t="s">
        <v>64</v>
      </c>
      <c r="G1498" t="s">
        <v>89</v>
      </c>
      <c r="H1498" t="s">
        <v>150</v>
      </c>
      <c r="I1498">
        <v>3</v>
      </c>
      <c r="J1498" s="3">
        <v>41.16</v>
      </c>
      <c r="K1498" s="2">
        <v>0.05</v>
      </c>
      <c r="L1498" s="3">
        <v>117.31</v>
      </c>
      <c r="M1498" s="3">
        <v>22.47</v>
      </c>
      <c r="N1498" t="s">
        <v>40</v>
      </c>
      <c r="O1498" s="3"/>
      <c r="P1498" s="3"/>
    </row>
    <row r="1499" spans="1:16" x14ac:dyDescent="0.3">
      <c r="A1499" t="s">
        <v>2873</v>
      </c>
      <c r="B1499" s="9" t="s">
        <v>596</v>
      </c>
      <c r="C1499" s="20" t="str">
        <f t="shared" si="23"/>
        <v>Sep</v>
      </c>
      <c r="D1499" t="s">
        <v>853</v>
      </c>
      <c r="E1499" s="10" t="s">
        <v>1106</v>
      </c>
      <c r="F1499" t="s">
        <v>32</v>
      </c>
      <c r="G1499" t="s">
        <v>18</v>
      </c>
      <c r="H1499" t="s">
        <v>19</v>
      </c>
      <c r="I1499">
        <v>1</v>
      </c>
      <c r="J1499" s="3">
        <v>230</v>
      </c>
      <c r="K1499" s="2">
        <v>0.1</v>
      </c>
      <c r="L1499" s="3">
        <v>207</v>
      </c>
      <c r="M1499" s="3">
        <v>40.68</v>
      </c>
      <c r="N1499" t="s">
        <v>40</v>
      </c>
      <c r="O1499" s="3"/>
      <c r="P1499" s="3"/>
    </row>
    <row r="1500" spans="1:16" x14ac:dyDescent="0.3">
      <c r="A1500" t="s">
        <v>2874</v>
      </c>
      <c r="B1500" s="9" t="s">
        <v>92</v>
      </c>
      <c r="C1500" s="20" t="str">
        <f t="shared" si="23"/>
        <v>Nov</v>
      </c>
      <c r="D1500" t="s">
        <v>1780</v>
      </c>
      <c r="E1500" s="10" t="s">
        <v>1809</v>
      </c>
      <c r="F1500" t="s">
        <v>17</v>
      </c>
      <c r="G1500" t="s">
        <v>89</v>
      </c>
      <c r="H1500" t="s">
        <v>150</v>
      </c>
      <c r="I1500">
        <v>7</v>
      </c>
      <c r="J1500" s="3">
        <v>24.76</v>
      </c>
      <c r="K1500" s="2">
        <v>0</v>
      </c>
      <c r="L1500" s="3">
        <v>173.32</v>
      </c>
      <c r="M1500" s="3">
        <v>50.2</v>
      </c>
      <c r="N1500" t="s">
        <v>40</v>
      </c>
      <c r="O1500" s="3"/>
      <c r="P1500" s="3"/>
    </row>
    <row r="1501" spans="1:16" x14ac:dyDescent="0.3">
      <c r="A1501" t="s">
        <v>2875</v>
      </c>
      <c r="B1501" s="9" t="s">
        <v>483</v>
      </c>
      <c r="C1501" s="20" t="str">
        <f t="shared" si="23"/>
        <v>Feb</v>
      </c>
      <c r="D1501" t="s">
        <v>257</v>
      </c>
      <c r="E1501" s="10" t="s">
        <v>2418</v>
      </c>
      <c r="F1501" t="s">
        <v>17</v>
      </c>
      <c r="G1501" t="s">
        <v>26</v>
      </c>
      <c r="H1501" t="s">
        <v>84</v>
      </c>
      <c r="I1501">
        <v>7</v>
      </c>
      <c r="J1501" s="3">
        <v>115.53</v>
      </c>
      <c r="K1501" s="2">
        <v>0</v>
      </c>
      <c r="L1501" s="3">
        <v>808.71</v>
      </c>
      <c r="M1501" s="3">
        <v>202.59</v>
      </c>
      <c r="N1501" t="s">
        <v>35</v>
      </c>
      <c r="O1501" s="3"/>
      <c r="P1501" s="3"/>
    </row>
    <row r="1502" spans="1:16" x14ac:dyDescent="0.3">
      <c r="A1502" t="s">
        <v>2876</v>
      </c>
      <c r="B1502" s="9" t="s">
        <v>554</v>
      </c>
      <c r="C1502" s="20" t="str">
        <f t="shared" si="23"/>
        <v>Sep</v>
      </c>
      <c r="D1502" t="s">
        <v>1461</v>
      </c>
      <c r="E1502" s="10" t="s">
        <v>601</v>
      </c>
      <c r="F1502" t="s">
        <v>59</v>
      </c>
      <c r="G1502" t="s">
        <v>26</v>
      </c>
      <c r="H1502" t="s">
        <v>27</v>
      </c>
      <c r="I1502">
        <v>8</v>
      </c>
      <c r="J1502" s="3">
        <v>206.72</v>
      </c>
      <c r="K1502" s="2">
        <v>0.1</v>
      </c>
      <c r="L1502" s="3">
        <v>1488.38</v>
      </c>
      <c r="M1502" s="3">
        <v>232.62</v>
      </c>
      <c r="N1502" t="s">
        <v>35</v>
      </c>
      <c r="O1502" s="3"/>
      <c r="P1502" s="3"/>
    </row>
    <row r="1503" spans="1:16" x14ac:dyDescent="0.3">
      <c r="A1503" t="s">
        <v>2877</v>
      </c>
      <c r="B1503" s="9" t="s">
        <v>548</v>
      </c>
      <c r="C1503" s="20" t="str">
        <f t="shared" si="23"/>
        <v>Aug</v>
      </c>
      <c r="D1503" t="s">
        <v>62</v>
      </c>
      <c r="E1503" s="10" t="s">
        <v>528</v>
      </c>
      <c r="F1503" t="s">
        <v>59</v>
      </c>
      <c r="G1503" t="s">
        <v>26</v>
      </c>
      <c r="H1503" t="s">
        <v>27</v>
      </c>
      <c r="I1503">
        <v>6</v>
      </c>
      <c r="J1503" s="3">
        <v>235.62</v>
      </c>
      <c r="K1503" s="2">
        <v>0</v>
      </c>
      <c r="L1503" s="3">
        <v>1413.72</v>
      </c>
      <c r="M1503" s="3">
        <v>408.11</v>
      </c>
      <c r="N1503" t="s">
        <v>40</v>
      </c>
      <c r="O1503" s="3"/>
      <c r="P1503" s="3"/>
    </row>
    <row r="1504" spans="1:16" x14ac:dyDescent="0.3">
      <c r="A1504" t="s">
        <v>2878</v>
      </c>
      <c r="B1504" s="9" t="s">
        <v>908</v>
      </c>
      <c r="C1504" s="20" t="str">
        <f t="shared" si="23"/>
        <v>Dec</v>
      </c>
      <c r="D1504" t="s">
        <v>1888</v>
      </c>
      <c r="E1504" s="10" t="s">
        <v>1463</v>
      </c>
      <c r="F1504" t="s">
        <v>59</v>
      </c>
      <c r="G1504" t="s">
        <v>33</v>
      </c>
      <c r="H1504" t="s">
        <v>50</v>
      </c>
      <c r="I1504">
        <v>5</v>
      </c>
      <c r="J1504" s="3">
        <v>90.12</v>
      </c>
      <c r="K1504" s="2">
        <v>0.15</v>
      </c>
      <c r="L1504" s="3">
        <v>383.01</v>
      </c>
      <c r="M1504" s="3">
        <v>98.25</v>
      </c>
      <c r="N1504" t="s">
        <v>35</v>
      </c>
      <c r="O1504" s="3"/>
      <c r="P1504" s="3"/>
    </row>
    <row r="1505" spans="1:16" x14ac:dyDescent="0.3">
      <c r="A1505" t="s">
        <v>2879</v>
      </c>
      <c r="B1505" s="9" t="s">
        <v>239</v>
      </c>
      <c r="C1505" s="20" t="str">
        <f t="shared" si="23"/>
        <v>Nov</v>
      </c>
      <c r="D1505" t="s">
        <v>2396</v>
      </c>
      <c r="E1505" s="10" t="s">
        <v>598</v>
      </c>
      <c r="F1505" t="s">
        <v>25</v>
      </c>
      <c r="G1505" t="s">
        <v>26</v>
      </c>
      <c r="H1505" t="s">
        <v>84</v>
      </c>
      <c r="I1505">
        <v>6</v>
      </c>
      <c r="J1505" s="3">
        <v>116.07</v>
      </c>
      <c r="K1505" s="2">
        <v>0.1</v>
      </c>
      <c r="L1505" s="3">
        <v>626.78</v>
      </c>
      <c r="M1505" s="3">
        <v>61.11</v>
      </c>
      <c r="N1505" t="s">
        <v>35</v>
      </c>
      <c r="O1505" s="3"/>
      <c r="P1505" s="3"/>
    </row>
    <row r="1506" spans="1:16" x14ac:dyDescent="0.3">
      <c r="A1506" t="s">
        <v>2880</v>
      </c>
      <c r="B1506" s="9" t="s">
        <v>620</v>
      </c>
      <c r="C1506" s="20" t="str">
        <f t="shared" si="23"/>
        <v>Sep</v>
      </c>
      <c r="D1506" t="s">
        <v>1990</v>
      </c>
      <c r="E1506" s="10" t="s">
        <v>1038</v>
      </c>
      <c r="F1506" t="s">
        <v>59</v>
      </c>
      <c r="G1506" t="s">
        <v>18</v>
      </c>
      <c r="H1506" t="s">
        <v>79</v>
      </c>
      <c r="I1506">
        <v>4</v>
      </c>
      <c r="J1506" s="3">
        <v>52.27</v>
      </c>
      <c r="K1506" s="2">
        <v>0.05</v>
      </c>
      <c r="L1506" s="3">
        <v>198.63</v>
      </c>
      <c r="M1506" s="3">
        <v>51.1</v>
      </c>
      <c r="N1506" t="s">
        <v>35</v>
      </c>
      <c r="O1506" s="3"/>
      <c r="P1506" s="3"/>
    </row>
    <row r="1507" spans="1:16" x14ac:dyDescent="0.3">
      <c r="A1507" t="s">
        <v>2881</v>
      </c>
      <c r="B1507" s="9" t="s">
        <v>260</v>
      </c>
      <c r="C1507" s="20" t="str">
        <f t="shared" si="23"/>
        <v>Sep</v>
      </c>
      <c r="D1507" t="s">
        <v>1008</v>
      </c>
      <c r="E1507" s="10" t="s">
        <v>609</v>
      </c>
      <c r="F1507" t="s">
        <v>32</v>
      </c>
      <c r="G1507" t="s">
        <v>89</v>
      </c>
      <c r="H1507" t="s">
        <v>150</v>
      </c>
      <c r="I1507">
        <v>3</v>
      </c>
      <c r="J1507" s="3">
        <v>215.01</v>
      </c>
      <c r="K1507" s="2">
        <v>0.15</v>
      </c>
      <c r="L1507" s="3">
        <v>548.28</v>
      </c>
      <c r="M1507" s="3">
        <v>63.07</v>
      </c>
      <c r="N1507" t="s">
        <v>20</v>
      </c>
      <c r="O1507" s="3"/>
      <c r="P1507" s="3"/>
    </row>
    <row r="1508" spans="1:16" x14ac:dyDescent="0.3">
      <c r="A1508" t="s">
        <v>2882</v>
      </c>
      <c r="B1508" s="9" t="s">
        <v>76</v>
      </c>
      <c r="C1508" s="20" t="str">
        <f t="shared" si="23"/>
        <v>Apr</v>
      </c>
      <c r="D1508" t="s">
        <v>1487</v>
      </c>
      <c r="E1508" s="10" t="s">
        <v>1603</v>
      </c>
      <c r="F1508" t="s">
        <v>17</v>
      </c>
      <c r="G1508" t="s">
        <v>89</v>
      </c>
      <c r="H1508" t="s">
        <v>150</v>
      </c>
      <c r="I1508">
        <v>4</v>
      </c>
      <c r="J1508" s="3">
        <v>175.07</v>
      </c>
      <c r="K1508" s="2">
        <v>0.15</v>
      </c>
      <c r="L1508" s="3">
        <v>595.24</v>
      </c>
      <c r="M1508" s="3">
        <v>72.44</v>
      </c>
      <c r="N1508" t="s">
        <v>40</v>
      </c>
      <c r="O1508" s="3"/>
      <c r="P1508" s="3"/>
    </row>
    <row r="1509" spans="1:16" x14ac:dyDescent="0.3">
      <c r="A1509" t="s">
        <v>2883</v>
      </c>
      <c r="B1509" s="9" t="s">
        <v>1037</v>
      </c>
      <c r="C1509" s="20" t="str">
        <f t="shared" si="23"/>
        <v>Oct</v>
      </c>
      <c r="D1509" t="s">
        <v>101</v>
      </c>
      <c r="E1509" s="10" t="s">
        <v>193</v>
      </c>
      <c r="F1509" t="s">
        <v>25</v>
      </c>
      <c r="G1509" t="s">
        <v>18</v>
      </c>
      <c r="H1509" t="s">
        <v>79</v>
      </c>
      <c r="I1509">
        <v>3</v>
      </c>
      <c r="J1509" s="3">
        <v>248.54</v>
      </c>
      <c r="K1509" s="2">
        <v>0.1</v>
      </c>
      <c r="L1509" s="3">
        <v>671.06</v>
      </c>
      <c r="M1509" s="3">
        <v>84.93</v>
      </c>
      <c r="N1509" t="s">
        <v>20</v>
      </c>
      <c r="O1509" s="3"/>
      <c r="P1509" s="3"/>
    </row>
    <row r="1510" spans="1:16" x14ac:dyDescent="0.3">
      <c r="A1510" t="s">
        <v>2884</v>
      </c>
      <c r="B1510" s="9" t="s">
        <v>516</v>
      </c>
      <c r="C1510" s="20" t="str">
        <f t="shared" si="23"/>
        <v>May</v>
      </c>
      <c r="D1510" t="s">
        <v>1974</v>
      </c>
      <c r="E1510" s="10" t="s">
        <v>1655</v>
      </c>
      <c r="F1510" t="s">
        <v>64</v>
      </c>
      <c r="G1510" t="s">
        <v>33</v>
      </c>
      <c r="H1510" t="s">
        <v>34</v>
      </c>
      <c r="I1510">
        <v>6</v>
      </c>
      <c r="J1510" s="3">
        <v>74.510000000000005</v>
      </c>
      <c r="K1510" s="2">
        <v>0.1</v>
      </c>
      <c r="L1510" s="3">
        <v>402.35</v>
      </c>
      <c r="M1510" s="3">
        <v>120.19</v>
      </c>
      <c r="N1510" t="s">
        <v>35</v>
      </c>
      <c r="O1510" s="3"/>
      <c r="P1510" s="3"/>
    </row>
    <row r="1511" spans="1:16" x14ac:dyDescent="0.3">
      <c r="A1511" t="s">
        <v>2885</v>
      </c>
      <c r="B1511" s="9" t="s">
        <v>268</v>
      </c>
      <c r="C1511" s="20" t="str">
        <f t="shared" si="23"/>
        <v>Jun</v>
      </c>
      <c r="D1511" t="s">
        <v>1379</v>
      </c>
      <c r="E1511" s="10" t="s">
        <v>102</v>
      </c>
      <c r="F1511" t="s">
        <v>64</v>
      </c>
      <c r="G1511" t="s">
        <v>26</v>
      </c>
      <c r="H1511" t="s">
        <v>84</v>
      </c>
      <c r="I1511">
        <v>6</v>
      </c>
      <c r="J1511" s="3">
        <v>32.14</v>
      </c>
      <c r="K1511" s="2">
        <v>0.15</v>
      </c>
      <c r="L1511" s="3">
        <v>163.91</v>
      </c>
      <c r="M1511" s="3">
        <v>28.7</v>
      </c>
      <c r="N1511" t="s">
        <v>35</v>
      </c>
      <c r="O1511" s="3"/>
      <c r="P1511" s="3"/>
    </row>
    <row r="1512" spans="1:16" x14ac:dyDescent="0.3">
      <c r="A1512" t="s">
        <v>2886</v>
      </c>
      <c r="B1512" s="9" t="s">
        <v>1773</v>
      </c>
      <c r="C1512" s="20" t="str">
        <f t="shared" si="23"/>
        <v>Nov</v>
      </c>
      <c r="D1512" t="s">
        <v>2541</v>
      </c>
      <c r="E1512" s="10" t="s">
        <v>887</v>
      </c>
      <c r="F1512" t="s">
        <v>25</v>
      </c>
      <c r="G1512" t="s">
        <v>26</v>
      </c>
      <c r="H1512" t="s">
        <v>118</v>
      </c>
      <c r="I1512">
        <v>3</v>
      </c>
      <c r="J1512" s="3">
        <v>11.41</v>
      </c>
      <c r="K1512" s="2">
        <v>0.05</v>
      </c>
      <c r="L1512" s="3">
        <v>32.520000000000003</v>
      </c>
      <c r="M1512" s="3">
        <v>4.42</v>
      </c>
      <c r="N1512" t="s">
        <v>40</v>
      </c>
      <c r="O1512" s="3"/>
      <c r="P1512" s="3"/>
    </row>
    <row r="1513" spans="1:16" x14ac:dyDescent="0.3">
      <c r="A1513" t="s">
        <v>2887</v>
      </c>
      <c r="B1513" s="9" t="s">
        <v>558</v>
      </c>
      <c r="C1513" s="20" t="str">
        <f t="shared" si="23"/>
        <v>Sep</v>
      </c>
      <c r="D1513" t="s">
        <v>1831</v>
      </c>
      <c r="E1513" s="10" t="s">
        <v>919</v>
      </c>
      <c r="F1513" t="s">
        <v>25</v>
      </c>
      <c r="G1513" t="s">
        <v>26</v>
      </c>
      <c r="H1513" t="s">
        <v>118</v>
      </c>
      <c r="I1513">
        <v>8</v>
      </c>
      <c r="J1513" s="3">
        <v>102.21</v>
      </c>
      <c r="K1513" s="2">
        <v>0.05</v>
      </c>
      <c r="L1513" s="3">
        <v>776.8</v>
      </c>
      <c r="M1513" s="3">
        <v>159.06</v>
      </c>
      <c r="N1513" t="s">
        <v>35</v>
      </c>
      <c r="O1513" s="3"/>
      <c r="P1513" s="3"/>
    </row>
    <row r="1514" spans="1:16" x14ac:dyDescent="0.3">
      <c r="A1514" t="s">
        <v>2888</v>
      </c>
      <c r="B1514" s="9" t="s">
        <v>242</v>
      </c>
      <c r="C1514" s="20" t="str">
        <f t="shared" si="23"/>
        <v>Jun</v>
      </c>
      <c r="D1514" t="s">
        <v>978</v>
      </c>
      <c r="E1514" s="10" t="s">
        <v>2239</v>
      </c>
      <c r="F1514" t="s">
        <v>59</v>
      </c>
      <c r="G1514" t="s">
        <v>33</v>
      </c>
      <c r="H1514" t="s">
        <v>69</v>
      </c>
      <c r="I1514">
        <v>6</v>
      </c>
      <c r="J1514" s="3">
        <v>114.44</v>
      </c>
      <c r="K1514" s="2">
        <v>0.1</v>
      </c>
      <c r="L1514" s="3">
        <v>617.98</v>
      </c>
      <c r="M1514" s="3">
        <v>96.95</v>
      </c>
      <c r="N1514" t="s">
        <v>35</v>
      </c>
      <c r="O1514" s="3"/>
      <c r="P1514" s="3"/>
    </row>
    <row r="1515" spans="1:16" x14ac:dyDescent="0.3">
      <c r="A1515" t="s">
        <v>2889</v>
      </c>
      <c r="B1515" s="9" t="s">
        <v>1254</v>
      </c>
      <c r="C1515" s="20" t="str">
        <f t="shared" si="23"/>
        <v>Dec</v>
      </c>
      <c r="D1515" t="s">
        <v>2541</v>
      </c>
      <c r="E1515" s="10" t="s">
        <v>1723</v>
      </c>
      <c r="F1515" t="s">
        <v>59</v>
      </c>
      <c r="G1515" t="s">
        <v>26</v>
      </c>
      <c r="H1515" t="s">
        <v>27</v>
      </c>
      <c r="I1515">
        <v>4</v>
      </c>
      <c r="J1515" s="3">
        <v>98.81</v>
      </c>
      <c r="K1515" s="2">
        <v>0.15</v>
      </c>
      <c r="L1515" s="3">
        <v>335.95</v>
      </c>
      <c r="M1515" s="3">
        <v>29.11</v>
      </c>
      <c r="N1515" t="s">
        <v>40</v>
      </c>
      <c r="O1515" s="3"/>
      <c r="P1515" s="3"/>
    </row>
    <row r="1516" spans="1:16" x14ac:dyDescent="0.3">
      <c r="A1516" t="s">
        <v>2890</v>
      </c>
      <c r="B1516" s="9" t="s">
        <v>988</v>
      </c>
      <c r="C1516" s="20" t="str">
        <f t="shared" si="23"/>
        <v>Apr</v>
      </c>
      <c r="D1516" t="s">
        <v>961</v>
      </c>
      <c r="E1516" s="10" t="s">
        <v>1245</v>
      </c>
      <c r="F1516" t="s">
        <v>32</v>
      </c>
      <c r="G1516" t="s">
        <v>33</v>
      </c>
      <c r="H1516" t="s">
        <v>50</v>
      </c>
      <c r="I1516">
        <v>7</v>
      </c>
      <c r="J1516" s="3">
        <v>12.76</v>
      </c>
      <c r="K1516" s="2">
        <v>0.15</v>
      </c>
      <c r="L1516" s="3">
        <v>75.92</v>
      </c>
      <c r="M1516" s="3">
        <v>13.11</v>
      </c>
      <c r="N1516" t="s">
        <v>20</v>
      </c>
      <c r="O1516" s="3"/>
      <c r="P1516" s="3"/>
    </row>
    <row r="1517" spans="1:16" x14ac:dyDescent="0.3">
      <c r="A1517" t="s">
        <v>2891</v>
      </c>
      <c r="B1517" s="9" t="s">
        <v>1720</v>
      </c>
      <c r="C1517" s="20" t="str">
        <f t="shared" si="23"/>
        <v>Nov</v>
      </c>
      <c r="D1517" t="s">
        <v>1220</v>
      </c>
      <c r="E1517" s="10" t="s">
        <v>1767</v>
      </c>
      <c r="F1517" t="s">
        <v>59</v>
      </c>
      <c r="G1517" t="s">
        <v>33</v>
      </c>
      <c r="H1517" t="s">
        <v>50</v>
      </c>
      <c r="I1517">
        <v>8</v>
      </c>
      <c r="J1517" s="3">
        <v>69.28</v>
      </c>
      <c r="K1517" s="2">
        <v>0.05</v>
      </c>
      <c r="L1517" s="3">
        <v>526.53</v>
      </c>
      <c r="M1517" s="3">
        <v>106.45</v>
      </c>
      <c r="N1517" t="s">
        <v>35</v>
      </c>
      <c r="O1517" s="3"/>
      <c r="P1517" s="3"/>
    </row>
    <row r="1518" spans="1:16" x14ac:dyDescent="0.3">
      <c r="A1518" t="s">
        <v>2892</v>
      </c>
      <c r="B1518" s="9" t="s">
        <v>500</v>
      </c>
      <c r="C1518" s="20" t="str">
        <f t="shared" si="23"/>
        <v>Nov</v>
      </c>
      <c r="D1518" t="s">
        <v>831</v>
      </c>
      <c r="E1518" s="10" t="s">
        <v>441</v>
      </c>
      <c r="F1518" t="s">
        <v>32</v>
      </c>
      <c r="G1518" t="s">
        <v>33</v>
      </c>
      <c r="H1518" t="s">
        <v>50</v>
      </c>
      <c r="I1518">
        <v>3</v>
      </c>
      <c r="J1518" s="3">
        <v>206.01</v>
      </c>
      <c r="K1518" s="2">
        <v>0</v>
      </c>
      <c r="L1518" s="3">
        <v>618.03</v>
      </c>
      <c r="M1518" s="3">
        <v>139.46</v>
      </c>
      <c r="N1518" t="s">
        <v>20</v>
      </c>
      <c r="O1518" s="3"/>
      <c r="P1518" s="3"/>
    </row>
    <row r="1519" spans="1:16" x14ac:dyDescent="0.3">
      <c r="A1519" t="s">
        <v>2893</v>
      </c>
      <c r="B1519" s="9" t="s">
        <v>2219</v>
      </c>
      <c r="C1519" s="20" t="str">
        <f t="shared" si="23"/>
        <v>Jan</v>
      </c>
      <c r="D1519" t="s">
        <v>1894</v>
      </c>
      <c r="E1519" s="10" t="s">
        <v>1001</v>
      </c>
      <c r="F1519" t="s">
        <v>59</v>
      </c>
      <c r="G1519" t="s">
        <v>18</v>
      </c>
      <c r="H1519" t="s">
        <v>79</v>
      </c>
      <c r="I1519">
        <v>6</v>
      </c>
      <c r="J1519" s="3">
        <v>135.5</v>
      </c>
      <c r="K1519" s="2">
        <v>0.15</v>
      </c>
      <c r="L1519" s="3">
        <v>691.05</v>
      </c>
      <c r="M1519" s="3">
        <v>65.459999999999994</v>
      </c>
      <c r="N1519" t="s">
        <v>20</v>
      </c>
      <c r="O1519" s="3"/>
      <c r="P1519" s="3"/>
    </row>
    <row r="1520" spans="1:16" x14ac:dyDescent="0.3">
      <c r="A1520" t="s">
        <v>2894</v>
      </c>
      <c r="B1520" s="9" t="s">
        <v>464</v>
      </c>
      <c r="C1520" s="20" t="str">
        <f t="shared" si="23"/>
        <v>Mar</v>
      </c>
      <c r="D1520" t="s">
        <v>1066</v>
      </c>
      <c r="E1520" s="10" t="s">
        <v>197</v>
      </c>
      <c r="F1520" t="s">
        <v>25</v>
      </c>
      <c r="G1520" t="s">
        <v>89</v>
      </c>
      <c r="H1520" t="s">
        <v>131</v>
      </c>
      <c r="I1520">
        <v>8</v>
      </c>
      <c r="J1520" s="3">
        <v>235.2</v>
      </c>
      <c r="K1520" s="2">
        <v>0.1</v>
      </c>
      <c r="L1520" s="3">
        <v>1693.44</v>
      </c>
      <c r="M1520" s="3">
        <v>496.88</v>
      </c>
      <c r="N1520" t="s">
        <v>35</v>
      </c>
      <c r="O1520" s="3"/>
      <c r="P1520" s="3"/>
    </row>
    <row r="1521" spans="1:16" x14ac:dyDescent="0.3">
      <c r="A1521" t="s">
        <v>2895</v>
      </c>
      <c r="B1521" s="9" t="s">
        <v>2207</v>
      </c>
      <c r="C1521" s="20" t="str">
        <f t="shared" si="23"/>
        <v>Feb</v>
      </c>
      <c r="D1521" t="s">
        <v>740</v>
      </c>
      <c r="E1521" s="10" t="s">
        <v>2502</v>
      </c>
      <c r="F1521" t="s">
        <v>25</v>
      </c>
      <c r="G1521" t="s">
        <v>89</v>
      </c>
      <c r="H1521" t="s">
        <v>150</v>
      </c>
      <c r="I1521">
        <v>3</v>
      </c>
      <c r="J1521" s="3">
        <v>208.27</v>
      </c>
      <c r="K1521" s="2">
        <v>0</v>
      </c>
      <c r="L1521" s="3">
        <v>624.80999999999995</v>
      </c>
      <c r="M1521" s="3">
        <v>100.07</v>
      </c>
      <c r="N1521" t="s">
        <v>40</v>
      </c>
      <c r="O1521" s="3"/>
      <c r="P1521" s="3"/>
    </row>
    <row r="1522" spans="1:16" x14ac:dyDescent="0.3">
      <c r="A1522" t="s">
        <v>2896</v>
      </c>
      <c r="B1522" s="9" t="s">
        <v>2228</v>
      </c>
      <c r="C1522" s="20" t="str">
        <f t="shared" si="23"/>
        <v>Oct</v>
      </c>
      <c r="D1522" t="s">
        <v>890</v>
      </c>
      <c r="E1522" s="10" t="s">
        <v>1520</v>
      </c>
      <c r="F1522" t="s">
        <v>17</v>
      </c>
      <c r="G1522" t="s">
        <v>26</v>
      </c>
      <c r="H1522" t="s">
        <v>84</v>
      </c>
      <c r="I1522">
        <v>2</v>
      </c>
      <c r="J1522" s="3">
        <v>234.78</v>
      </c>
      <c r="K1522" s="2">
        <v>0.15</v>
      </c>
      <c r="L1522" s="3">
        <v>399.13</v>
      </c>
      <c r="M1522" s="3">
        <v>45.78</v>
      </c>
      <c r="N1522" t="s">
        <v>20</v>
      </c>
      <c r="O1522" s="3"/>
      <c r="P1522" s="3"/>
    </row>
    <row r="1523" spans="1:16" x14ac:dyDescent="0.3">
      <c r="A1523" t="s">
        <v>2897</v>
      </c>
      <c r="B1523" s="9" t="s">
        <v>242</v>
      </c>
      <c r="C1523" s="20" t="str">
        <f t="shared" si="23"/>
        <v>Jun</v>
      </c>
      <c r="D1523" t="s">
        <v>1322</v>
      </c>
      <c r="E1523" s="10" t="s">
        <v>2253</v>
      </c>
      <c r="F1523" t="s">
        <v>64</v>
      </c>
      <c r="G1523" t="s">
        <v>89</v>
      </c>
      <c r="H1523" t="s">
        <v>150</v>
      </c>
      <c r="I1523">
        <v>4</v>
      </c>
      <c r="J1523" s="3">
        <v>180.73</v>
      </c>
      <c r="K1523" s="2">
        <v>0.15</v>
      </c>
      <c r="L1523" s="3">
        <v>614.48</v>
      </c>
      <c r="M1523" s="3">
        <v>133.09</v>
      </c>
      <c r="N1523" t="s">
        <v>20</v>
      </c>
      <c r="O1523" s="3"/>
      <c r="P1523" s="3"/>
    </row>
    <row r="1524" spans="1:16" x14ac:dyDescent="0.3">
      <c r="A1524" t="s">
        <v>2898</v>
      </c>
      <c r="B1524" s="9" t="s">
        <v>104</v>
      </c>
      <c r="C1524" s="20" t="str">
        <f t="shared" si="23"/>
        <v>May</v>
      </c>
      <c r="D1524" t="s">
        <v>1932</v>
      </c>
      <c r="E1524" s="10" t="s">
        <v>2173</v>
      </c>
      <c r="F1524" t="s">
        <v>59</v>
      </c>
      <c r="G1524" t="s">
        <v>89</v>
      </c>
      <c r="H1524" t="s">
        <v>90</v>
      </c>
      <c r="I1524">
        <v>8</v>
      </c>
      <c r="J1524" s="3">
        <v>83.38</v>
      </c>
      <c r="K1524" s="2">
        <v>0</v>
      </c>
      <c r="L1524" s="3">
        <v>667.04</v>
      </c>
      <c r="M1524" s="3">
        <v>124.48</v>
      </c>
      <c r="N1524" t="s">
        <v>35</v>
      </c>
      <c r="O1524" s="3"/>
      <c r="P1524" s="3"/>
    </row>
    <row r="1525" spans="1:16" x14ac:dyDescent="0.3">
      <c r="A1525" t="s">
        <v>2899</v>
      </c>
      <c r="B1525" s="9" t="s">
        <v>1684</v>
      </c>
      <c r="C1525" s="20" t="str">
        <f t="shared" si="23"/>
        <v>Nov</v>
      </c>
      <c r="D1525" t="s">
        <v>1679</v>
      </c>
      <c r="E1525" s="10" t="s">
        <v>718</v>
      </c>
      <c r="F1525" t="s">
        <v>64</v>
      </c>
      <c r="G1525" t="s">
        <v>18</v>
      </c>
      <c r="H1525" t="s">
        <v>19</v>
      </c>
      <c r="I1525">
        <v>4</v>
      </c>
      <c r="J1525" s="3">
        <v>203.39</v>
      </c>
      <c r="K1525" s="2">
        <v>0.15</v>
      </c>
      <c r="L1525" s="3">
        <v>691.53</v>
      </c>
      <c r="M1525" s="3">
        <v>172.41</v>
      </c>
      <c r="N1525" t="s">
        <v>20</v>
      </c>
      <c r="O1525" s="3"/>
      <c r="P1525" s="3"/>
    </row>
    <row r="1526" spans="1:16" x14ac:dyDescent="0.3">
      <c r="A1526" t="s">
        <v>2900</v>
      </c>
      <c r="B1526" s="9" t="s">
        <v>2264</v>
      </c>
      <c r="C1526" s="20" t="str">
        <f t="shared" si="23"/>
        <v>Mar</v>
      </c>
      <c r="D1526" t="s">
        <v>2901</v>
      </c>
      <c r="E1526" s="10" t="s">
        <v>910</v>
      </c>
      <c r="F1526" t="s">
        <v>32</v>
      </c>
      <c r="G1526" t="s">
        <v>33</v>
      </c>
      <c r="H1526" t="s">
        <v>74</v>
      </c>
      <c r="I1526">
        <v>3</v>
      </c>
      <c r="J1526" s="3">
        <v>34.64</v>
      </c>
      <c r="K1526" s="2">
        <v>0.05</v>
      </c>
      <c r="L1526" s="3">
        <v>98.72</v>
      </c>
      <c r="M1526" s="3">
        <v>20.27</v>
      </c>
      <c r="N1526" t="s">
        <v>40</v>
      </c>
      <c r="O1526" s="3"/>
      <c r="P1526" s="3"/>
    </row>
    <row r="1527" spans="1:16" x14ac:dyDescent="0.3">
      <c r="A1527" t="s">
        <v>2902</v>
      </c>
      <c r="B1527" s="9" t="s">
        <v>1925</v>
      </c>
      <c r="C1527" s="20" t="str">
        <f t="shared" si="23"/>
        <v>May</v>
      </c>
      <c r="D1527" t="s">
        <v>644</v>
      </c>
      <c r="E1527" s="10" t="s">
        <v>427</v>
      </c>
      <c r="F1527" t="s">
        <v>17</v>
      </c>
      <c r="G1527" t="s">
        <v>18</v>
      </c>
      <c r="H1527" t="s">
        <v>19</v>
      </c>
      <c r="I1527">
        <v>6</v>
      </c>
      <c r="J1527" s="3">
        <v>74.5</v>
      </c>
      <c r="K1527" s="2">
        <v>0.05</v>
      </c>
      <c r="L1527" s="3">
        <v>424.65</v>
      </c>
      <c r="M1527" s="3">
        <v>74.540000000000006</v>
      </c>
      <c r="N1527" t="s">
        <v>20</v>
      </c>
      <c r="O1527" s="3"/>
      <c r="P1527" s="3"/>
    </row>
    <row r="1528" spans="1:16" x14ac:dyDescent="0.3">
      <c r="A1528" t="s">
        <v>2903</v>
      </c>
      <c r="B1528" s="9" t="s">
        <v>2904</v>
      </c>
      <c r="C1528" s="20" t="str">
        <f t="shared" si="23"/>
        <v>Jul</v>
      </c>
      <c r="D1528" t="s">
        <v>2522</v>
      </c>
      <c r="E1528" s="10" t="s">
        <v>1819</v>
      </c>
      <c r="F1528" t="s">
        <v>59</v>
      </c>
      <c r="G1528" t="s">
        <v>89</v>
      </c>
      <c r="H1528" t="s">
        <v>131</v>
      </c>
      <c r="I1528">
        <v>6</v>
      </c>
      <c r="J1528" s="3">
        <v>55.94</v>
      </c>
      <c r="K1528" s="2">
        <v>0.05</v>
      </c>
      <c r="L1528" s="3">
        <v>318.86</v>
      </c>
      <c r="M1528" s="3">
        <v>74.45</v>
      </c>
      <c r="N1528" t="s">
        <v>40</v>
      </c>
      <c r="O1528" s="3"/>
      <c r="P1528" s="3"/>
    </row>
    <row r="1529" spans="1:16" x14ac:dyDescent="0.3">
      <c r="A1529" t="s">
        <v>2905</v>
      </c>
      <c r="B1529" s="9" t="s">
        <v>2264</v>
      </c>
      <c r="C1529" s="20" t="str">
        <f t="shared" si="23"/>
        <v>Mar</v>
      </c>
      <c r="D1529" t="s">
        <v>1978</v>
      </c>
      <c r="E1529" s="10" t="s">
        <v>2085</v>
      </c>
      <c r="F1529" t="s">
        <v>64</v>
      </c>
      <c r="G1529" t="s">
        <v>18</v>
      </c>
      <c r="H1529" t="s">
        <v>19</v>
      </c>
      <c r="I1529">
        <v>8</v>
      </c>
      <c r="J1529" s="3">
        <v>78.06</v>
      </c>
      <c r="K1529" s="2">
        <v>0.15</v>
      </c>
      <c r="L1529" s="3">
        <v>530.80999999999995</v>
      </c>
      <c r="M1529" s="3">
        <v>155.16999999999999</v>
      </c>
      <c r="N1529" t="s">
        <v>35</v>
      </c>
      <c r="O1529" s="3"/>
      <c r="P1529" s="3"/>
    </row>
    <row r="1530" spans="1:16" x14ac:dyDescent="0.3">
      <c r="A1530" t="s">
        <v>2906</v>
      </c>
      <c r="B1530" s="9" t="s">
        <v>1879</v>
      </c>
      <c r="C1530" s="20" t="str">
        <f t="shared" si="23"/>
        <v>Jul</v>
      </c>
      <c r="D1530" t="s">
        <v>1257</v>
      </c>
      <c r="E1530" s="10" t="s">
        <v>452</v>
      </c>
      <c r="F1530" t="s">
        <v>17</v>
      </c>
      <c r="G1530" t="s">
        <v>89</v>
      </c>
      <c r="H1530" t="s">
        <v>150</v>
      </c>
      <c r="I1530">
        <v>8</v>
      </c>
      <c r="J1530" s="3">
        <v>87.65</v>
      </c>
      <c r="K1530" s="2">
        <v>0.05</v>
      </c>
      <c r="L1530" s="3">
        <v>666.14</v>
      </c>
      <c r="M1530" s="3">
        <v>161.19999999999999</v>
      </c>
      <c r="N1530" t="s">
        <v>40</v>
      </c>
      <c r="O1530" s="3"/>
      <c r="P1530" s="3"/>
    </row>
    <row r="1531" spans="1:16" x14ac:dyDescent="0.3">
      <c r="A1531" t="s">
        <v>2907</v>
      </c>
      <c r="B1531" s="9" t="s">
        <v>2801</v>
      </c>
      <c r="C1531" s="20" t="str">
        <f t="shared" si="23"/>
        <v>Sep</v>
      </c>
      <c r="D1531" t="s">
        <v>1411</v>
      </c>
      <c r="E1531" s="10" t="s">
        <v>528</v>
      </c>
      <c r="F1531" t="s">
        <v>32</v>
      </c>
      <c r="G1531" t="s">
        <v>33</v>
      </c>
      <c r="H1531" t="s">
        <v>50</v>
      </c>
      <c r="I1531">
        <v>2</v>
      </c>
      <c r="J1531" s="3">
        <v>43.98</v>
      </c>
      <c r="K1531" s="2">
        <v>0.05</v>
      </c>
      <c r="L1531" s="3">
        <v>83.56</v>
      </c>
      <c r="M1531" s="3">
        <v>17.579999999999998</v>
      </c>
      <c r="N1531" t="s">
        <v>20</v>
      </c>
      <c r="O1531" s="3"/>
      <c r="P1531" s="3"/>
    </row>
    <row r="1532" spans="1:16" x14ac:dyDescent="0.3">
      <c r="A1532" t="s">
        <v>2908</v>
      </c>
      <c r="B1532" s="9" t="s">
        <v>663</v>
      </c>
      <c r="C1532" s="20" t="str">
        <f t="shared" si="23"/>
        <v>Oct</v>
      </c>
      <c r="D1532" t="s">
        <v>2120</v>
      </c>
      <c r="E1532" s="10" t="s">
        <v>186</v>
      </c>
      <c r="F1532" t="s">
        <v>32</v>
      </c>
      <c r="G1532" t="s">
        <v>33</v>
      </c>
      <c r="H1532" t="s">
        <v>50</v>
      </c>
      <c r="I1532">
        <v>4</v>
      </c>
      <c r="J1532" s="3">
        <v>67.760000000000005</v>
      </c>
      <c r="K1532" s="2">
        <v>0.15</v>
      </c>
      <c r="L1532" s="3">
        <v>230.38</v>
      </c>
      <c r="M1532" s="3">
        <v>47.09</v>
      </c>
      <c r="N1532" t="s">
        <v>35</v>
      </c>
      <c r="O1532" s="3"/>
      <c r="P1532" s="3"/>
    </row>
    <row r="1533" spans="1:16" x14ac:dyDescent="0.3">
      <c r="A1533" t="s">
        <v>2909</v>
      </c>
      <c r="B1533" s="9" t="s">
        <v>943</v>
      </c>
      <c r="C1533" s="20" t="str">
        <f t="shared" si="23"/>
        <v>Feb</v>
      </c>
      <c r="D1533" t="s">
        <v>769</v>
      </c>
      <c r="E1533" s="10" t="s">
        <v>1130</v>
      </c>
      <c r="F1533" t="s">
        <v>17</v>
      </c>
      <c r="G1533" t="s">
        <v>26</v>
      </c>
      <c r="H1533" t="s">
        <v>84</v>
      </c>
      <c r="I1533">
        <v>1</v>
      </c>
      <c r="J1533" s="3">
        <v>119.2</v>
      </c>
      <c r="K1533" s="2">
        <v>0.15</v>
      </c>
      <c r="L1533" s="3">
        <v>101.32</v>
      </c>
      <c r="M1533" s="3">
        <v>17.170000000000002</v>
      </c>
      <c r="N1533" t="s">
        <v>40</v>
      </c>
      <c r="O1533" s="3"/>
      <c r="P1533" s="3"/>
    </row>
    <row r="1534" spans="1:16" x14ac:dyDescent="0.3">
      <c r="A1534" t="s">
        <v>2910</v>
      </c>
      <c r="B1534" s="9" t="s">
        <v>1634</v>
      </c>
      <c r="C1534" s="20" t="str">
        <f t="shared" si="23"/>
        <v>Dec</v>
      </c>
      <c r="D1534" t="s">
        <v>221</v>
      </c>
      <c r="E1534" s="10" t="s">
        <v>1130</v>
      </c>
      <c r="F1534" t="s">
        <v>17</v>
      </c>
      <c r="G1534" t="s">
        <v>26</v>
      </c>
      <c r="H1534" t="s">
        <v>27</v>
      </c>
      <c r="I1534">
        <v>6</v>
      </c>
      <c r="J1534" s="3">
        <v>70.510000000000005</v>
      </c>
      <c r="K1534" s="2">
        <v>0</v>
      </c>
      <c r="L1534" s="3">
        <v>423.06</v>
      </c>
      <c r="M1534" s="3">
        <v>110.35</v>
      </c>
      <c r="N1534" t="s">
        <v>40</v>
      </c>
      <c r="O1534" s="3"/>
      <c r="P1534" s="3"/>
    </row>
    <row r="1535" spans="1:16" x14ac:dyDescent="0.3">
      <c r="A1535" t="s">
        <v>2911</v>
      </c>
      <c r="B1535" s="9" t="s">
        <v>260</v>
      </c>
      <c r="C1535" s="20" t="str">
        <f t="shared" si="23"/>
        <v>Sep</v>
      </c>
      <c r="D1535" t="s">
        <v>517</v>
      </c>
      <c r="E1535" s="10" t="s">
        <v>1303</v>
      </c>
      <c r="F1535" t="s">
        <v>32</v>
      </c>
      <c r="G1535" t="s">
        <v>33</v>
      </c>
      <c r="H1535" t="s">
        <v>74</v>
      </c>
      <c r="I1535">
        <v>7</v>
      </c>
      <c r="J1535" s="3">
        <v>198.35</v>
      </c>
      <c r="K1535" s="2">
        <v>0</v>
      </c>
      <c r="L1535" s="3">
        <v>1388.45</v>
      </c>
      <c r="M1535" s="3">
        <v>115.98</v>
      </c>
      <c r="N1535" t="s">
        <v>20</v>
      </c>
      <c r="O1535" s="3"/>
      <c r="P1535" s="3"/>
    </row>
    <row r="1536" spans="1:16" x14ac:dyDescent="0.3">
      <c r="A1536" t="s">
        <v>2912</v>
      </c>
      <c r="B1536" s="9" t="s">
        <v>1997</v>
      </c>
      <c r="C1536" s="20" t="str">
        <f t="shared" si="23"/>
        <v>Sep</v>
      </c>
      <c r="D1536" t="s">
        <v>1737</v>
      </c>
      <c r="E1536" s="10" t="s">
        <v>141</v>
      </c>
      <c r="F1536" t="s">
        <v>32</v>
      </c>
      <c r="G1536" t="s">
        <v>18</v>
      </c>
      <c r="H1536" t="s">
        <v>19</v>
      </c>
      <c r="I1536">
        <v>1</v>
      </c>
      <c r="J1536" s="3">
        <v>180.15</v>
      </c>
      <c r="K1536" s="2">
        <v>0.05</v>
      </c>
      <c r="L1536" s="3">
        <v>171.14</v>
      </c>
      <c r="M1536" s="3">
        <v>28.66</v>
      </c>
      <c r="N1536" t="s">
        <v>35</v>
      </c>
      <c r="O1536" s="3"/>
      <c r="P1536" s="3"/>
    </row>
    <row r="1537" spans="1:16" x14ac:dyDescent="0.3">
      <c r="A1537" t="s">
        <v>2913</v>
      </c>
      <c r="B1537" s="9" t="s">
        <v>439</v>
      </c>
      <c r="C1537" s="20" t="str">
        <f t="shared" si="23"/>
        <v>May</v>
      </c>
      <c r="D1537" t="s">
        <v>1033</v>
      </c>
      <c r="E1537" s="10" t="s">
        <v>1286</v>
      </c>
      <c r="F1537" t="s">
        <v>64</v>
      </c>
      <c r="G1537" t="s">
        <v>18</v>
      </c>
      <c r="H1537" t="s">
        <v>45</v>
      </c>
      <c r="I1537">
        <v>3</v>
      </c>
      <c r="J1537" s="3">
        <v>214.23</v>
      </c>
      <c r="K1537" s="2">
        <v>0.1</v>
      </c>
      <c r="L1537" s="3">
        <v>578.41999999999996</v>
      </c>
      <c r="M1537" s="3">
        <v>55.6</v>
      </c>
      <c r="N1537" t="s">
        <v>35</v>
      </c>
      <c r="O1537" s="3"/>
      <c r="P1537" s="3"/>
    </row>
    <row r="1538" spans="1:16" x14ac:dyDescent="0.3">
      <c r="A1538" t="s">
        <v>2914</v>
      </c>
      <c r="B1538" s="9" t="s">
        <v>988</v>
      </c>
      <c r="C1538" s="20" t="str">
        <f t="shared" ref="C1538:C1601" si="24">TEXT(B:B, "mmm")</f>
        <v>Apr</v>
      </c>
      <c r="D1538" t="s">
        <v>1152</v>
      </c>
      <c r="E1538" s="10" t="s">
        <v>601</v>
      </c>
      <c r="F1538" t="s">
        <v>25</v>
      </c>
      <c r="G1538" t="s">
        <v>33</v>
      </c>
      <c r="H1538" t="s">
        <v>69</v>
      </c>
      <c r="I1538">
        <v>4</v>
      </c>
      <c r="J1538" s="3">
        <v>50.94</v>
      </c>
      <c r="K1538" s="2">
        <v>0</v>
      </c>
      <c r="L1538" s="3">
        <v>203.76</v>
      </c>
      <c r="M1538" s="3">
        <v>50.3</v>
      </c>
      <c r="N1538" t="s">
        <v>20</v>
      </c>
      <c r="O1538" s="3"/>
      <c r="P1538" s="3"/>
    </row>
    <row r="1539" spans="1:16" x14ac:dyDescent="0.3">
      <c r="A1539" t="s">
        <v>2915</v>
      </c>
      <c r="B1539" s="9" t="s">
        <v>1358</v>
      </c>
      <c r="C1539" s="20" t="str">
        <f t="shared" si="24"/>
        <v>Mar</v>
      </c>
      <c r="D1539" t="s">
        <v>2916</v>
      </c>
      <c r="E1539" s="10" t="s">
        <v>2193</v>
      </c>
      <c r="F1539" t="s">
        <v>32</v>
      </c>
      <c r="G1539" t="s">
        <v>89</v>
      </c>
      <c r="H1539" t="s">
        <v>150</v>
      </c>
      <c r="I1539">
        <v>8</v>
      </c>
      <c r="J1539" s="3">
        <v>242.67</v>
      </c>
      <c r="K1539" s="2">
        <v>0.1</v>
      </c>
      <c r="L1539" s="3">
        <v>1747.22</v>
      </c>
      <c r="M1539" s="3">
        <v>459.56</v>
      </c>
      <c r="N1539" t="s">
        <v>20</v>
      </c>
      <c r="O1539" s="3"/>
      <c r="P1539" s="3"/>
    </row>
    <row r="1540" spans="1:16" x14ac:dyDescent="0.3">
      <c r="A1540" t="s">
        <v>2919</v>
      </c>
      <c r="B1540" s="9" t="s">
        <v>1691</v>
      </c>
      <c r="C1540" s="20" t="str">
        <f t="shared" si="24"/>
        <v>Nov</v>
      </c>
      <c r="D1540" t="s">
        <v>409</v>
      </c>
      <c r="E1540" s="10" t="s">
        <v>2118</v>
      </c>
      <c r="F1540" t="s">
        <v>17</v>
      </c>
      <c r="G1540" t="s">
        <v>18</v>
      </c>
      <c r="H1540" t="s">
        <v>45</v>
      </c>
      <c r="I1540">
        <v>8</v>
      </c>
      <c r="J1540" s="3">
        <v>167.81</v>
      </c>
      <c r="K1540" s="2">
        <v>0.05</v>
      </c>
      <c r="L1540" s="3">
        <v>1275.3599999999999</v>
      </c>
      <c r="M1540" s="3">
        <v>332.24</v>
      </c>
      <c r="N1540" t="s">
        <v>35</v>
      </c>
      <c r="O1540" s="3"/>
      <c r="P1540" s="3"/>
    </row>
    <row r="1541" spans="1:16" x14ac:dyDescent="0.3">
      <c r="A1541" t="s">
        <v>2920</v>
      </c>
      <c r="B1541" s="9" t="s">
        <v>22</v>
      </c>
      <c r="C1541" s="20" t="str">
        <f t="shared" si="24"/>
        <v>Sep</v>
      </c>
      <c r="D1541" t="s">
        <v>454</v>
      </c>
      <c r="E1541" s="10" t="s">
        <v>754</v>
      </c>
      <c r="F1541" t="s">
        <v>64</v>
      </c>
      <c r="G1541" t="s">
        <v>89</v>
      </c>
      <c r="H1541" t="s">
        <v>150</v>
      </c>
      <c r="I1541">
        <v>2</v>
      </c>
      <c r="J1541" s="3">
        <v>85.51</v>
      </c>
      <c r="K1541" s="2">
        <v>0.15</v>
      </c>
      <c r="L1541" s="3">
        <v>145.37</v>
      </c>
      <c r="M1541" s="3">
        <v>24.89</v>
      </c>
      <c r="N1541" t="s">
        <v>35</v>
      </c>
      <c r="O1541" s="3"/>
      <c r="P1541" s="3"/>
    </row>
    <row r="1542" spans="1:16" x14ac:dyDescent="0.3">
      <c r="A1542" t="s">
        <v>2921</v>
      </c>
      <c r="B1542" s="9" t="s">
        <v>1260</v>
      </c>
      <c r="C1542" s="20" t="str">
        <f t="shared" si="24"/>
        <v>May</v>
      </c>
      <c r="D1542" t="s">
        <v>2922</v>
      </c>
      <c r="E1542" s="10" t="s">
        <v>944</v>
      </c>
      <c r="F1542" t="s">
        <v>32</v>
      </c>
      <c r="G1542" t="s">
        <v>89</v>
      </c>
      <c r="H1542" t="s">
        <v>150</v>
      </c>
      <c r="I1542">
        <v>6</v>
      </c>
      <c r="J1542" s="3">
        <v>22.38</v>
      </c>
      <c r="K1542" s="2">
        <v>0.15</v>
      </c>
      <c r="L1542" s="3">
        <v>114.14</v>
      </c>
      <c r="M1542" s="3">
        <v>13.45</v>
      </c>
      <c r="N1542" t="s">
        <v>20</v>
      </c>
      <c r="O1542" s="3"/>
      <c r="P1542" s="3"/>
    </row>
    <row r="1543" spans="1:16" x14ac:dyDescent="0.3">
      <c r="A1543" t="s">
        <v>2923</v>
      </c>
      <c r="B1543" s="9" t="s">
        <v>86</v>
      </c>
      <c r="C1543" s="20" t="str">
        <f t="shared" si="24"/>
        <v>Feb</v>
      </c>
      <c r="D1543" t="s">
        <v>1166</v>
      </c>
      <c r="E1543" s="10" t="s">
        <v>1553</v>
      </c>
      <c r="F1543" t="s">
        <v>59</v>
      </c>
      <c r="G1543" t="s">
        <v>33</v>
      </c>
      <c r="H1543" t="s">
        <v>34</v>
      </c>
      <c r="I1543">
        <v>7</v>
      </c>
      <c r="J1543" s="3">
        <v>135.54</v>
      </c>
      <c r="K1543" s="2">
        <v>0.15</v>
      </c>
      <c r="L1543" s="3">
        <v>806.46</v>
      </c>
      <c r="M1543" s="3">
        <v>140.41999999999999</v>
      </c>
      <c r="N1543" t="s">
        <v>35</v>
      </c>
      <c r="O1543" s="3"/>
      <c r="P1543" s="3"/>
    </row>
    <row r="1544" spans="1:16" x14ac:dyDescent="0.3">
      <c r="A1544" t="s">
        <v>2924</v>
      </c>
      <c r="B1544" s="9" t="s">
        <v>2490</v>
      </c>
      <c r="C1544" s="20" t="str">
        <f t="shared" si="24"/>
        <v>Sep</v>
      </c>
      <c r="D1544" t="s">
        <v>2925</v>
      </c>
      <c r="E1544" s="10" t="s">
        <v>1269</v>
      </c>
      <c r="F1544" t="s">
        <v>32</v>
      </c>
      <c r="G1544" t="s">
        <v>89</v>
      </c>
      <c r="H1544" t="s">
        <v>150</v>
      </c>
      <c r="I1544">
        <v>6</v>
      </c>
      <c r="J1544" s="3">
        <v>230.21</v>
      </c>
      <c r="K1544" s="2">
        <v>0.15</v>
      </c>
      <c r="L1544" s="3">
        <v>1174.07</v>
      </c>
      <c r="M1544" s="3">
        <v>134.31</v>
      </c>
      <c r="N1544" t="s">
        <v>35</v>
      </c>
      <c r="O1544" s="3"/>
      <c r="P1544" s="3"/>
    </row>
    <row r="1545" spans="1:16" x14ac:dyDescent="0.3">
      <c r="A1545" t="s">
        <v>2926</v>
      </c>
      <c r="B1545" s="9" t="s">
        <v>1896</v>
      </c>
      <c r="C1545" s="20" t="str">
        <f t="shared" si="24"/>
        <v>Jun</v>
      </c>
      <c r="D1545" t="s">
        <v>1404</v>
      </c>
      <c r="E1545" s="10" t="s">
        <v>1047</v>
      </c>
      <c r="F1545" t="s">
        <v>59</v>
      </c>
      <c r="G1545" t="s">
        <v>26</v>
      </c>
      <c r="H1545" t="s">
        <v>118</v>
      </c>
      <c r="I1545">
        <v>7</v>
      </c>
      <c r="J1545" s="3">
        <v>21.03</v>
      </c>
      <c r="K1545" s="2">
        <v>0.15</v>
      </c>
      <c r="L1545" s="3">
        <v>125.13</v>
      </c>
      <c r="M1545" s="3">
        <v>34.19</v>
      </c>
      <c r="N1545" t="s">
        <v>35</v>
      </c>
      <c r="O1545" s="3"/>
      <c r="P1545" s="3"/>
    </row>
    <row r="1546" spans="1:16" x14ac:dyDescent="0.3">
      <c r="A1546" t="s">
        <v>2927</v>
      </c>
      <c r="B1546" s="9" t="s">
        <v>2168</v>
      </c>
      <c r="C1546" s="20" t="str">
        <f t="shared" si="24"/>
        <v>Jan</v>
      </c>
      <c r="D1546" t="s">
        <v>2498</v>
      </c>
      <c r="E1546" s="10" t="s">
        <v>985</v>
      </c>
      <c r="F1546" t="s">
        <v>25</v>
      </c>
      <c r="G1546" t="s">
        <v>89</v>
      </c>
      <c r="H1546" t="s">
        <v>90</v>
      </c>
      <c r="I1546">
        <v>2</v>
      </c>
      <c r="J1546" s="3">
        <v>120.44</v>
      </c>
      <c r="K1546" s="2">
        <v>0.1</v>
      </c>
      <c r="L1546" s="3">
        <v>216.79</v>
      </c>
      <c r="M1546" s="3">
        <v>42.57</v>
      </c>
      <c r="N1546" t="s">
        <v>35</v>
      </c>
      <c r="O1546" s="3"/>
      <c r="P1546" s="3"/>
    </row>
    <row r="1547" spans="1:16" x14ac:dyDescent="0.3">
      <c r="A1547" t="s">
        <v>2928</v>
      </c>
      <c r="B1547" s="9" t="s">
        <v>657</v>
      </c>
      <c r="C1547" s="20" t="str">
        <f t="shared" si="24"/>
        <v>Dec</v>
      </c>
      <c r="D1547" t="s">
        <v>984</v>
      </c>
      <c r="E1547" s="10" t="s">
        <v>1114</v>
      </c>
      <c r="F1547" t="s">
        <v>32</v>
      </c>
      <c r="G1547" t="s">
        <v>18</v>
      </c>
      <c r="H1547" t="s">
        <v>19</v>
      </c>
      <c r="I1547">
        <v>3</v>
      </c>
      <c r="J1547" s="3">
        <v>195.49</v>
      </c>
      <c r="K1547" s="2">
        <v>0.1</v>
      </c>
      <c r="L1547" s="3">
        <v>527.82000000000005</v>
      </c>
      <c r="M1547" s="3">
        <v>78.5</v>
      </c>
      <c r="N1547" t="s">
        <v>40</v>
      </c>
      <c r="O1547" s="3"/>
      <c r="P1547" s="3"/>
    </row>
    <row r="1548" spans="1:16" x14ac:dyDescent="0.3">
      <c r="A1548" t="s">
        <v>2929</v>
      </c>
      <c r="B1548" s="9" t="s">
        <v>392</v>
      </c>
      <c r="C1548" s="20" t="str">
        <f t="shared" si="24"/>
        <v>Jan</v>
      </c>
      <c r="D1548" t="s">
        <v>1404</v>
      </c>
      <c r="E1548" s="10" t="s">
        <v>1592</v>
      </c>
      <c r="F1548" t="s">
        <v>64</v>
      </c>
      <c r="G1548" t="s">
        <v>89</v>
      </c>
      <c r="H1548" t="s">
        <v>150</v>
      </c>
      <c r="I1548">
        <v>6</v>
      </c>
      <c r="J1548" s="3">
        <v>69.34</v>
      </c>
      <c r="K1548" s="2">
        <v>0</v>
      </c>
      <c r="L1548" s="3">
        <v>416.04</v>
      </c>
      <c r="M1548" s="3">
        <v>71.34</v>
      </c>
      <c r="N1548" t="s">
        <v>35</v>
      </c>
      <c r="O1548" s="3"/>
      <c r="P1548" s="3"/>
    </row>
    <row r="1549" spans="1:16" x14ac:dyDescent="0.3">
      <c r="A1549" t="s">
        <v>2930</v>
      </c>
      <c r="B1549" s="9" t="s">
        <v>1607</v>
      </c>
      <c r="C1549" s="20" t="str">
        <f t="shared" si="24"/>
        <v>Feb</v>
      </c>
      <c r="D1549" t="s">
        <v>936</v>
      </c>
      <c r="E1549" s="10" t="s">
        <v>459</v>
      </c>
      <c r="F1549" t="s">
        <v>17</v>
      </c>
      <c r="G1549" t="s">
        <v>33</v>
      </c>
      <c r="H1549" t="s">
        <v>50</v>
      </c>
      <c r="I1549">
        <v>1</v>
      </c>
      <c r="J1549" s="3">
        <v>98.08</v>
      </c>
      <c r="K1549" s="2">
        <v>0.1</v>
      </c>
      <c r="L1549" s="3">
        <v>88.27</v>
      </c>
      <c r="M1549" s="3">
        <v>7.94</v>
      </c>
      <c r="N1549" t="s">
        <v>40</v>
      </c>
      <c r="O1549" s="3"/>
      <c r="P1549" s="3"/>
    </row>
    <row r="1550" spans="1:16" x14ac:dyDescent="0.3">
      <c r="A1550" t="s">
        <v>2931</v>
      </c>
      <c r="B1550" s="9" t="s">
        <v>2615</v>
      </c>
      <c r="C1550" s="20" t="str">
        <f t="shared" si="24"/>
        <v>Apr</v>
      </c>
      <c r="D1550" t="s">
        <v>1998</v>
      </c>
      <c r="E1550" s="10" t="s">
        <v>621</v>
      </c>
      <c r="F1550" t="s">
        <v>64</v>
      </c>
      <c r="G1550" t="s">
        <v>89</v>
      </c>
      <c r="H1550" t="s">
        <v>150</v>
      </c>
      <c r="I1550">
        <v>6</v>
      </c>
      <c r="J1550" s="3">
        <v>159.88</v>
      </c>
      <c r="K1550" s="2">
        <v>0.05</v>
      </c>
      <c r="L1550" s="3">
        <v>911.32</v>
      </c>
      <c r="M1550" s="3">
        <v>206.03</v>
      </c>
      <c r="N1550" t="s">
        <v>35</v>
      </c>
      <c r="O1550" s="3"/>
      <c r="P1550" s="3"/>
    </row>
    <row r="1551" spans="1:16" x14ac:dyDescent="0.3">
      <c r="A1551" t="s">
        <v>2932</v>
      </c>
      <c r="B1551" s="9" t="s">
        <v>620</v>
      </c>
      <c r="C1551" s="20" t="str">
        <f t="shared" si="24"/>
        <v>Sep</v>
      </c>
      <c r="D1551" t="s">
        <v>2181</v>
      </c>
      <c r="E1551" s="10" t="s">
        <v>1269</v>
      </c>
      <c r="F1551" t="s">
        <v>59</v>
      </c>
      <c r="G1551" t="s">
        <v>18</v>
      </c>
      <c r="H1551" t="s">
        <v>45</v>
      </c>
      <c r="I1551">
        <v>6</v>
      </c>
      <c r="J1551" s="3">
        <v>71.81</v>
      </c>
      <c r="K1551" s="2">
        <v>0</v>
      </c>
      <c r="L1551" s="3">
        <v>430.86</v>
      </c>
      <c r="M1551" s="3">
        <v>121.11</v>
      </c>
      <c r="N1551" t="s">
        <v>20</v>
      </c>
      <c r="O1551" s="3"/>
      <c r="P1551" s="3"/>
    </row>
    <row r="1552" spans="1:16" x14ac:dyDescent="0.3">
      <c r="A1552" t="s">
        <v>2933</v>
      </c>
      <c r="B1552" s="9" t="s">
        <v>620</v>
      </c>
      <c r="C1552" s="20" t="str">
        <f t="shared" si="24"/>
        <v>Sep</v>
      </c>
      <c r="D1552" t="s">
        <v>818</v>
      </c>
      <c r="E1552" s="10" t="s">
        <v>1218</v>
      </c>
      <c r="F1552" t="s">
        <v>17</v>
      </c>
      <c r="G1552" t="s">
        <v>89</v>
      </c>
      <c r="H1552" t="s">
        <v>150</v>
      </c>
      <c r="I1552">
        <v>7</v>
      </c>
      <c r="J1552" s="3">
        <v>63.1</v>
      </c>
      <c r="K1552" s="2">
        <v>0</v>
      </c>
      <c r="L1552" s="3">
        <v>441.7</v>
      </c>
      <c r="M1552" s="3">
        <v>132.25</v>
      </c>
      <c r="N1552" t="s">
        <v>40</v>
      </c>
      <c r="O1552" s="3"/>
      <c r="P1552" s="3"/>
    </row>
    <row r="1553" spans="1:16" x14ac:dyDescent="0.3">
      <c r="A1553" t="s">
        <v>2934</v>
      </c>
      <c r="B1553" s="9" t="s">
        <v>278</v>
      </c>
      <c r="C1553" s="20" t="str">
        <f t="shared" si="24"/>
        <v>Jul</v>
      </c>
      <c r="D1553" t="s">
        <v>507</v>
      </c>
      <c r="E1553" s="10" t="s">
        <v>2625</v>
      </c>
      <c r="F1553" t="s">
        <v>32</v>
      </c>
      <c r="G1553" t="s">
        <v>33</v>
      </c>
      <c r="H1553" t="s">
        <v>74</v>
      </c>
      <c r="I1553">
        <v>1</v>
      </c>
      <c r="J1553" s="3">
        <v>129.94</v>
      </c>
      <c r="K1553" s="2">
        <v>0.05</v>
      </c>
      <c r="L1553" s="3">
        <v>123.44</v>
      </c>
      <c r="M1553" s="3">
        <v>36.71</v>
      </c>
      <c r="N1553" t="s">
        <v>40</v>
      </c>
      <c r="O1553" s="3"/>
      <c r="P1553" s="3"/>
    </row>
    <row r="1554" spans="1:16" x14ac:dyDescent="0.3">
      <c r="A1554" t="s">
        <v>2935</v>
      </c>
      <c r="B1554" s="9" t="s">
        <v>626</v>
      </c>
      <c r="C1554" s="20" t="str">
        <f t="shared" si="24"/>
        <v>Nov</v>
      </c>
      <c r="D1554" t="s">
        <v>1327</v>
      </c>
      <c r="E1554" s="10" t="s">
        <v>182</v>
      </c>
      <c r="F1554" t="s">
        <v>32</v>
      </c>
      <c r="G1554" t="s">
        <v>33</v>
      </c>
      <c r="H1554" t="s">
        <v>74</v>
      </c>
      <c r="I1554">
        <v>3</v>
      </c>
      <c r="J1554" s="3">
        <v>173.48</v>
      </c>
      <c r="K1554" s="2">
        <v>0</v>
      </c>
      <c r="L1554" s="3">
        <v>520.44000000000005</v>
      </c>
      <c r="M1554" s="3">
        <v>109.08</v>
      </c>
      <c r="N1554" t="s">
        <v>35</v>
      </c>
      <c r="O1554" s="3"/>
      <c r="P1554" s="3"/>
    </row>
    <row r="1555" spans="1:16" x14ac:dyDescent="0.3">
      <c r="A1555" t="s">
        <v>2936</v>
      </c>
      <c r="B1555" s="9" t="s">
        <v>681</v>
      </c>
      <c r="C1555" s="20" t="str">
        <f t="shared" si="24"/>
        <v>Jan</v>
      </c>
      <c r="D1555" t="s">
        <v>794</v>
      </c>
      <c r="E1555" s="10" t="s">
        <v>325</v>
      </c>
      <c r="F1555" t="s">
        <v>32</v>
      </c>
      <c r="G1555" t="s">
        <v>33</v>
      </c>
      <c r="H1555" t="s">
        <v>50</v>
      </c>
      <c r="I1555">
        <v>5</v>
      </c>
      <c r="J1555" s="3">
        <v>213.58</v>
      </c>
      <c r="K1555" s="2">
        <v>0.05</v>
      </c>
      <c r="L1555" s="3">
        <v>1014.5</v>
      </c>
      <c r="M1555" s="3">
        <v>286.48</v>
      </c>
      <c r="N1555" t="s">
        <v>40</v>
      </c>
      <c r="O1555" s="3"/>
      <c r="P1555" s="3"/>
    </row>
    <row r="1556" spans="1:16" x14ac:dyDescent="0.3">
      <c r="A1556" t="s">
        <v>2937</v>
      </c>
      <c r="B1556" s="9" t="s">
        <v>207</v>
      </c>
      <c r="C1556" s="20" t="str">
        <f t="shared" si="24"/>
        <v>Mar</v>
      </c>
      <c r="D1556" t="s">
        <v>1591</v>
      </c>
      <c r="E1556" s="10" t="s">
        <v>791</v>
      </c>
      <c r="F1556" t="s">
        <v>64</v>
      </c>
      <c r="G1556" t="s">
        <v>26</v>
      </c>
      <c r="H1556" t="s">
        <v>84</v>
      </c>
      <c r="I1556">
        <v>6</v>
      </c>
      <c r="J1556" s="3">
        <v>19.82</v>
      </c>
      <c r="K1556" s="2">
        <v>0.15</v>
      </c>
      <c r="L1556" s="3">
        <v>101.08</v>
      </c>
      <c r="M1556" s="3">
        <v>11.27</v>
      </c>
      <c r="N1556" t="s">
        <v>35</v>
      </c>
      <c r="O1556" s="3"/>
      <c r="P1556" s="3"/>
    </row>
    <row r="1557" spans="1:16" x14ac:dyDescent="0.3">
      <c r="A1557" t="s">
        <v>2938</v>
      </c>
      <c r="B1557" s="9" t="s">
        <v>1883</v>
      </c>
      <c r="C1557" s="20" t="str">
        <f t="shared" si="24"/>
        <v>Jun</v>
      </c>
      <c r="D1557" t="s">
        <v>1046</v>
      </c>
      <c r="E1557" s="10" t="s">
        <v>601</v>
      </c>
      <c r="F1557" t="s">
        <v>25</v>
      </c>
      <c r="G1557" t="s">
        <v>18</v>
      </c>
      <c r="H1557" t="s">
        <v>19</v>
      </c>
      <c r="I1557">
        <v>7</v>
      </c>
      <c r="J1557" s="3">
        <v>226.14</v>
      </c>
      <c r="K1557" s="2">
        <v>0.1</v>
      </c>
      <c r="L1557" s="3">
        <v>1424.68</v>
      </c>
      <c r="M1557" s="3">
        <v>253.09</v>
      </c>
      <c r="N1557" t="s">
        <v>40</v>
      </c>
      <c r="O1557" s="3"/>
      <c r="P1557" s="3"/>
    </row>
    <row r="1558" spans="1:16" x14ac:dyDescent="0.3">
      <c r="A1558" t="s">
        <v>2939</v>
      </c>
      <c r="B1558" s="9" t="s">
        <v>686</v>
      </c>
      <c r="C1558" s="20" t="str">
        <f t="shared" si="24"/>
        <v>Aug</v>
      </c>
      <c r="D1558" t="s">
        <v>38</v>
      </c>
      <c r="E1558" s="10" t="s">
        <v>851</v>
      </c>
      <c r="F1558" t="s">
        <v>64</v>
      </c>
      <c r="G1558" t="s">
        <v>18</v>
      </c>
      <c r="H1558" t="s">
        <v>45</v>
      </c>
      <c r="I1558">
        <v>1</v>
      </c>
      <c r="J1558" s="3">
        <v>202.43</v>
      </c>
      <c r="K1558" s="2">
        <v>0</v>
      </c>
      <c r="L1558" s="3">
        <v>202.43</v>
      </c>
      <c r="M1558" s="3">
        <v>44.18</v>
      </c>
      <c r="N1558" t="s">
        <v>35</v>
      </c>
      <c r="O1558" s="3"/>
      <c r="P1558" s="3"/>
    </row>
    <row r="1559" spans="1:16" x14ac:dyDescent="0.3">
      <c r="A1559" t="s">
        <v>2940</v>
      </c>
      <c r="B1559" s="9" t="s">
        <v>345</v>
      </c>
      <c r="C1559" s="20" t="str">
        <f t="shared" si="24"/>
        <v>Apr</v>
      </c>
      <c r="D1559" t="s">
        <v>2070</v>
      </c>
      <c r="E1559" s="10" t="s">
        <v>1167</v>
      </c>
      <c r="F1559" t="s">
        <v>32</v>
      </c>
      <c r="G1559" t="s">
        <v>89</v>
      </c>
      <c r="H1559" t="s">
        <v>150</v>
      </c>
      <c r="I1559">
        <v>5</v>
      </c>
      <c r="J1559" s="3">
        <v>13.16</v>
      </c>
      <c r="K1559" s="2">
        <v>0</v>
      </c>
      <c r="L1559" s="3">
        <v>65.8</v>
      </c>
      <c r="M1559" s="3">
        <v>10.84</v>
      </c>
      <c r="N1559" t="s">
        <v>35</v>
      </c>
      <c r="O1559" s="3"/>
      <c r="P1559" s="3"/>
    </row>
    <row r="1560" spans="1:16" x14ac:dyDescent="0.3">
      <c r="A1560" t="s">
        <v>2941</v>
      </c>
      <c r="B1560" s="9" t="s">
        <v>2034</v>
      </c>
      <c r="C1560" s="20" t="str">
        <f t="shared" si="24"/>
        <v>Jan</v>
      </c>
      <c r="D1560" t="s">
        <v>1920</v>
      </c>
      <c r="E1560" s="10" t="s">
        <v>874</v>
      </c>
      <c r="F1560" t="s">
        <v>64</v>
      </c>
      <c r="G1560" t="s">
        <v>26</v>
      </c>
      <c r="H1560" t="s">
        <v>27</v>
      </c>
      <c r="I1560">
        <v>5</v>
      </c>
      <c r="J1560" s="3">
        <v>218.41</v>
      </c>
      <c r="K1560" s="2">
        <v>0.05</v>
      </c>
      <c r="L1560" s="3">
        <v>1037.45</v>
      </c>
      <c r="M1560" s="3">
        <v>297.33</v>
      </c>
      <c r="N1560" t="s">
        <v>20</v>
      </c>
      <c r="O1560" s="3"/>
      <c r="P1560" s="3"/>
    </row>
    <row r="1561" spans="1:16" x14ac:dyDescent="0.3">
      <c r="A1561" t="s">
        <v>2942</v>
      </c>
      <c r="B1561" s="9" t="s">
        <v>461</v>
      </c>
      <c r="C1561" s="20" t="str">
        <f t="shared" si="24"/>
        <v>Nov</v>
      </c>
      <c r="D1561" t="s">
        <v>527</v>
      </c>
      <c r="E1561" s="10" t="s">
        <v>832</v>
      </c>
      <c r="F1561" t="s">
        <v>25</v>
      </c>
      <c r="G1561" t="s">
        <v>18</v>
      </c>
      <c r="H1561" t="s">
        <v>19</v>
      </c>
      <c r="I1561">
        <v>5</v>
      </c>
      <c r="J1561" s="3">
        <v>157.68</v>
      </c>
      <c r="K1561" s="2">
        <v>0.05</v>
      </c>
      <c r="L1561" s="3">
        <v>748.98</v>
      </c>
      <c r="M1561" s="3">
        <v>102.85</v>
      </c>
      <c r="N1561" t="s">
        <v>40</v>
      </c>
      <c r="O1561" s="3"/>
      <c r="P1561" s="3"/>
    </row>
    <row r="1562" spans="1:16" x14ac:dyDescent="0.3">
      <c r="A1562" t="s">
        <v>2943</v>
      </c>
      <c r="B1562" s="9" t="s">
        <v>1624</v>
      </c>
      <c r="C1562" s="20" t="str">
        <f t="shared" si="24"/>
        <v>May</v>
      </c>
      <c r="D1562" t="s">
        <v>1571</v>
      </c>
      <c r="E1562" s="10" t="s">
        <v>333</v>
      </c>
      <c r="F1562" t="s">
        <v>59</v>
      </c>
      <c r="G1562" t="s">
        <v>89</v>
      </c>
      <c r="H1562" t="s">
        <v>90</v>
      </c>
      <c r="I1562">
        <v>7</v>
      </c>
      <c r="J1562" s="3">
        <v>33.49</v>
      </c>
      <c r="K1562" s="2">
        <v>0.15</v>
      </c>
      <c r="L1562" s="3">
        <v>199.27</v>
      </c>
      <c r="M1562" s="3">
        <v>38.85</v>
      </c>
      <c r="N1562" t="s">
        <v>20</v>
      </c>
      <c r="O1562" s="3"/>
      <c r="P1562" s="3"/>
    </row>
    <row r="1563" spans="1:16" x14ac:dyDescent="0.3">
      <c r="A1563" t="s">
        <v>2944</v>
      </c>
      <c r="B1563" s="9" t="s">
        <v>2168</v>
      </c>
      <c r="C1563" s="20" t="str">
        <f t="shared" si="24"/>
        <v>Jan</v>
      </c>
      <c r="D1563" t="s">
        <v>1288</v>
      </c>
      <c r="E1563" s="10" t="s">
        <v>1583</v>
      </c>
      <c r="F1563" t="s">
        <v>17</v>
      </c>
      <c r="G1563" t="s">
        <v>89</v>
      </c>
      <c r="H1563" t="s">
        <v>131</v>
      </c>
      <c r="I1563">
        <v>8</v>
      </c>
      <c r="J1563" s="3">
        <v>13.79</v>
      </c>
      <c r="K1563" s="2">
        <v>0</v>
      </c>
      <c r="L1563" s="3">
        <v>110.32</v>
      </c>
      <c r="M1563" s="3">
        <v>26.41</v>
      </c>
      <c r="N1563" t="s">
        <v>20</v>
      </c>
      <c r="O1563" s="3"/>
      <c r="P1563" s="3"/>
    </row>
    <row r="1564" spans="1:16" x14ac:dyDescent="0.3">
      <c r="A1564" t="s">
        <v>2945</v>
      </c>
      <c r="B1564" s="9" t="s">
        <v>1961</v>
      </c>
      <c r="C1564" s="20" t="str">
        <f t="shared" si="24"/>
        <v>Feb</v>
      </c>
      <c r="D1564" t="s">
        <v>2916</v>
      </c>
      <c r="E1564" s="10" t="s">
        <v>1347</v>
      </c>
      <c r="F1564" t="s">
        <v>17</v>
      </c>
      <c r="G1564" t="s">
        <v>89</v>
      </c>
      <c r="H1564" t="s">
        <v>150</v>
      </c>
      <c r="I1564">
        <v>6</v>
      </c>
      <c r="J1564" s="3">
        <v>103.45</v>
      </c>
      <c r="K1564" s="2">
        <v>0.05</v>
      </c>
      <c r="L1564" s="3">
        <v>589.66</v>
      </c>
      <c r="M1564" s="3">
        <v>134.19</v>
      </c>
      <c r="N1564" t="s">
        <v>20</v>
      </c>
      <c r="O1564" s="3"/>
      <c r="P1564" s="3"/>
    </row>
    <row r="1565" spans="1:16" x14ac:dyDescent="0.3">
      <c r="A1565" t="s">
        <v>2946</v>
      </c>
      <c r="B1565" s="9" t="s">
        <v>396</v>
      </c>
      <c r="C1565" s="20" t="str">
        <f t="shared" si="24"/>
        <v>May</v>
      </c>
      <c r="D1565" t="s">
        <v>2482</v>
      </c>
      <c r="E1565" s="10" t="s">
        <v>808</v>
      </c>
      <c r="F1565" t="s">
        <v>64</v>
      </c>
      <c r="G1565" t="s">
        <v>26</v>
      </c>
      <c r="H1565" t="s">
        <v>27</v>
      </c>
      <c r="I1565">
        <v>4</v>
      </c>
      <c r="J1565" s="3">
        <v>182.97</v>
      </c>
      <c r="K1565" s="2">
        <v>0.15</v>
      </c>
      <c r="L1565" s="3">
        <v>622.1</v>
      </c>
      <c r="M1565" s="3">
        <v>134.22999999999999</v>
      </c>
      <c r="N1565" t="s">
        <v>40</v>
      </c>
      <c r="O1565" s="3"/>
      <c r="P1565" s="3"/>
    </row>
    <row r="1566" spans="1:16" x14ac:dyDescent="0.3">
      <c r="A1566" t="s">
        <v>2947</v>
      </c>
      <c r="B1566" s="9" t="s">
        <v>1547</v>
      </c>
      <c r="C1566" s="20" t="str">
        <f t="shared" si="24"/>
        <v>Aug</v>
      </c>
      <c r="D1566" t="s">
        <v>1817</v>
      </c>
      <c r="E1566" s="10" t="s">
        <v>906</v>
      </c>
      <c r="F1566" t="s">
        <v>25</v>
      </c>
      <c r="G1566" t="s">
        <v>89</v>
      </c>
      <c r="H1566" t="s">
        <v>150</v>
      </c>
      <c r="I1566">
        <v>3</v>
      </c>
      <c r="J1566" s="3">
        <v>70.260000000000005</v>
      </c>
      <c r="K1566" s="2">
        <v>0.1</v>
      </c>
      <c r="L1566" s="3">
        <v>189.7</v>
      </c>
      <c r="M1566" s="3">
        <v>27.56</v>
      </c>
      <c r="N1566" t="s">
        <v>35</v>
      </c>
      <c r="O1566" s="3"/>
      <c r="P1566" s="3"/>
    </row>
    <row r="1567" spans="1:16" x14ac:dyDescent="0.3">
      <c r="A1567" t="s">
        <v>2948</v>
      </c>
      <c r="B1567" s="9" t="s">
        <v>2458</v>
      </c>
      <c r="C1567" s="20" t="str">
        <f t="shared" si="24"/>
        <v>Jan</v>
      </c>
      <c r="D1567" t="s">
        <v>1213</v>
      </c>
      <c r="E1567" s="10" t="s">
        <v>1072</v>
      </c>
      <c r="F1567" t="s">
        <v>17</v>
      </c>
      <c r="G1567" t="s">
        <v>33</v>
      </c>
      <c r="H1567" t="s">
        <v>74</v>
      </c>
      <c r="I1567">
        <v>3</v>
      </c>
      <c r="J1567" s="3">
        <v>225.37</v>
      </c>
      <c r="K1567" s="2">
        <v>0.1</v>
      </c>
      <c r="L1567" s="3">
        <v>608.5</v>
      </c>
      <c r="M1567" s="3">
        <v>153.32</v>
      </c>
      <c r="N1567" t="s">
        <v>20</v>
      </c>
      <c r="O1567" s="3"/>
      <c r="P1567" s="3"/>
    </row>
    <row r="1568" spans="1:16" x14ac:dyDescent="0.3">
      <c r="A1568" t="s">
        <v>2949</v>
      </c>
      <c r="B1568" s="9" t="s">
        <v>2588</v>
      </c>
      <c r="C1568" s="20" t="str">
        <f t="shared" si="24"/>
        <v>May</v>
      </c>
      <c r="D1568" t="s">
        <v>2065</v>
      </c>
      <c r="E1568" s="10" t="s">
        <v>651</v>
      </c>
      <c r="F1568" t="s">
        <v>25</v>
      </c>
      <c r="G1568" t="s">
        <v>33</v>
      </c>
      <c r="H1568" t="s">
        <v>34</v>
      </c>
      <c r="I1568">
        <v>2</v>
      </c>
      <c r="J1568" s="3">
        <v>50.34</v>
      </c>
      <c r="K1568" s="2">
        <v>0</v>
      </c>
      <c r="L1568" s="3">
        <v>100.68</v>
      </c>
      <c r="M1568" s="3">
        <v>11.28</v>
      </c>
      <c r="N1568" t="s">
        <v>40</v>
      </c>
      <c r="O1568" s="3"/>
      <c r="P1568" s="3"/>
    </row>
    <row r="1569" spans="1:16" x14ac:dyDescent="0.3">
      <c r="A1569" t="s">
        <v>2950</v>
      </c>
      <c r="B1569" s="9" t="s">
        <v>1868</v>
      </c>
      <c r="C1569" s="20" t="str">
        <f t="shared" si="24"/>
        <v>Nov</v>
      </c>
      <c r="D1569" t="s">
        <v>744</v>
      </c>
      <c r="E1569" s="10" t="s">
        <v>300</v>
      </c>
      <c r="F1569" t="s">
        <v>25</v>
      </c>
      <c r="G1569" t="s">
        <v>26</v>
      </c>
      <c r="H1569" t="s">
        <v>84</v>
      </c>
      <c r="I1569">
        <v>6</v>
      </c>
      <c r="J1569" s="3">
        <v>57.04</v>
      </c>
      <c r="K1569" s="2">
        <v>0</v>
      </c>
      <c r="L1569" s="3">
        <v>342.24</v>
      </c>
      <c r="M1569" s="3">
        <v>34.97</v>
      </c>
      <c r="N1569" t="s">
        <v>40</v>
      </c>
      <c r="O1569" s="3"/>
      <c r="P1569" s="3"/>
    </row>
    <row r="1570" spans="1:16" x14ac:dyDescent="0.3">
      <c r="A1570" t="s">
        <v>2951</v>
      </c>
      <c r="B1570" s="9" t="s">
        <v>1118</v>
      </c>
      <c r="C1570" s="20" t="str">
        <f t="shared" si="24"/>
        <v>Feb</v>
      </c>
      <c r="D1570" t="s">
        <v>1861</v>
      </c>
      <c r="E1570" s="10" t="s">
        <v>1687</v>
      </c>
      <c r="F1570" t="s">
        <v>64</v>
      </c>
      <c r="G1570" t="s">
        <v>89</v>
      </c>
      <c r="H1570" t="s">
        <v>150</v>
      </c>
      <c r="I1570">
        <v>5</v>
      </c>
      <c r="J1570" s="3">
        <v>107.56</v>
      </c>
      <c r="K1570" s="2">
        <v>0.05</v>
      </c>
      <c r="L1570" s="3">
        <v>510.91</v>
      </c>
      <c r="M1570" s="3">
        <v>41.65</v>
      </c>
      <c r="N1570" t="s">
        <v>20</v>
      </c>
      <c r="O1570" s="3"/>
      <c r="P1570" s="3"/>
    </row>
    <row r="1571" spans="1:16" x14ac:dyDescent="0.3">
      <c r="A1571" t="s">
        <v>2952</v>
      </c>
      <c r="B1571" s="9" t="s">
        <v>1035</v>
      </c>
      <c r="C1571" s="20" t="str">
        <f t="shared" si="24"/>
        <v>Apr</v>
      </c>
      <c r="D1571" t="s">
        <v>614</v>
      </c>
      <c r="E1571" s="10" t="s">
        <v>430</v>
      </c>
      <c r="F1571" t="s">
        <v>25</v>
      </c>
      <c r="G1571" t="s">
        <v>26</v>
      </c>
      <c r="H1571" t="s">
        <v>27</v>
      </c>
      <c r="I1571">
        <v>4</v>
      </c>
      <c r="J1571" s="3">
        <v>236.73</v>
      </c>
      <c r="K1571" s="2">
        <v>0.15</v>
      </c>
      <c r="L1571" s="3">
        <v>804.88</v>
      </c>
      <c r="M1571" s="3">
        <v>174.73</v>
      </c>
      <c r="N1571" t="s">
        <v>40</v>
      </c>
      <c r="O1571" s="3"/>
      <c r="P1571" s="3"/>
    </row>
    <row r="1572" spans="1:16" x14ac:dyDescent="0.3">
      <c r="A1572" t="s">
        <v>2953</v>
      </c>
      <c r="B1572" s="9" t="s">
        <v>1242</v>
      </c>
      <c r="C1572" s="20" t="str">
        <f t="shared" si="24"/>
        <v>Jun</v>
      </c>
      <c r="D1572" t="s">
        <v>1836</v>
      </c>
      <c r="E1572" s="10" t="s">
        <v>880</v>
      </c>
      <c r="F1572" t="s">
        <v>64</v>
      </c>
      <c r="G1572" t="s">
        <v>33</v>
      </c>
      <c r="H1572" t="s">
        <v>50</v>
      </c>
      <c r="I1572">
        <v>3</v>
      </c>
      <c r="J1572" s="3">
        <v>165.58</v>
      </c>
      <c r="K1572" s="2">
        <v>0.15</v>
      </c>
      <c r="L1572" s="3">
        <v>422.23</v>
      </c>
      <c r="M1572" s="3">
        <v>56.3</v>
      </c>
      <c r="N1572" t="s">
        <v>40</v>
      </c>
      <c r="O1572" s="3"/>
      <c r="P1572" s="3"/>
    </row>
    <row r="1573" spans="1:16" x14ac:dyDescent="0.3">
      <c r="A1573" t="s">
        <v>2954</v>
      </c>
      <c r="B1573" s="9" t="s">
        <v>335</v>
      </c>
      <c r="C1573" s="20" t="str">
        <f t="shared" si="24"/>
        <v>Oct</v>
      </c>
      <c r="D1573" t="s">
        <v>1302</v>
      </c>
      <c r="E1573" s="10" t="s">
        <v>1245</v>
      </c>
      <c r="F1573" t="s">
        <v>25</v>
      </c>
      <c r="G1573" t="s">
        <v>18</v>
      </c>
      <c r="H1573" t="s">
        <v>45</v>
      </c>
      <c r="I1573">
        <v>4</v>
      </c>
      <c r="J1573" s="3">
        <v>63.04</v>
      </c>
      <c r="K1573" s="2">
        <v>0.15</v>
      </c>
      <c r="L1573" s="3">
        <v>214.34</v>
      </c>
      <c r="M1573" s="3">
        <v>47.81</v>
      </c>
      <c r="N1573" t="s">
        <v>35</v>
      </c>
      <c r="O1573" s="3"/>
      <c r="P1573" s="3"/>
    </row>
    <row r="1574" spans="1:16" x14ac:dyDescent="0.3">
      <c r="A1574" t="s">
        <v>2955</v>
      </c>
      <c r="B1574" s="9" t="s">
        <v>443</v>
      </c>
      <c r="C1574" s="20" t="str">
        <f t="shared" si="24"/>
        <v>Oct</v>
      </c>
      <c r="D1574" t="s">
        <v>818</v>
      </c>
      <c r="E1574" s="10" t="s">
        <v>601</v>
      </c>
      <c r="F1574" t="s">
        <v>64</v>
      </c>
      <c r="G1574" t="s">
        <v>26</v>
      </c>
      <c r="H1574" t="s">
        <v>118</v>
      </c>
      <c r="I1574">
        <v>3</v>
      </c>
      <c r="J1574" s="3">
        <v>50.28</v>
      </c>
      <c r="K1574" s="2">
        <v>0.15</v>
      </c>
      <c r="L1574" s="3">
        <v>128.21</v>
      </c>
      <c r="M1574" s="3">
        <v>15.32</v>
      </c>
      <c r="N1574" t="s">
        <v>40</v>
      </c>
      <c r="O1574" s="3"/>
      <c r="P1574" s="3"/>
    </row>
    <row r="1575" spans="1:16" x14ac:dyDescent="0.3">
      <c r="A1575" t="s">
        <v>2956</v>
      </c>
      <c r="B1575" s="9" t="s">
        <v>957</v>
      </c>
      <c r="C1575" s="20" t="str">
        <f t="shared" si="24"/>
        <v>Nov</v>
      </c>
      <c r="D1575" t="s">
        <v>2026</v>
      </c>
      <c r="E1575" s="10" t="s">
        <v>1664</v>
      </c>
      <c r="F1575" t="s">
        <v>17</v>
      </c>
      <c r="G1575" t="s">
        <v>89</v>
      </c>
      <c r="H1575" t="s">
        <v>150</v>
      </c>
      <c r="I1575">
        <v>5</v>
      </c>
      <c r="J1575" s="3">
        <v>155.24</v>
      </c>
      <c r="K1575" s="2">
        <v>0</v>
      </c>
      <c r="L1575" s="3">
        <v>776.2</v>
      </c>
      <c r="M1575" s="3">
        <v>232.32</v>
      </c>
      <c r="N1575" t="s">
        <v>35</v>
      </c>
      <c r="O1575" s="3"/>
      <c r="P1575" s="3"/>
    </row>
    <row r="1576" spans="1:16" x14ac:dyDescent="0.3">
      <c r="A1576" t="s">
        <v>2957</v>
      </c>
      <c r="B1576" s="9" t="s">
        <v>1626</v>
      </c>
      <c r="C1576" s="20" t="str">
        <f t="shared" si="24"/>
        <v>Oct</v>
      </c>
      <c r="D1576" t="s">
        <v>1166</v>
      </c>
      <c r="E1576" s="10" t="s">
        <v>258</v>
      </c>
      <c r="F1576" t="s">
        <v>17</v>
      </c>
      <c r="G1576" t="s">
        <v>33</v>
      </c>
      <c r="H1576" t="s">
        <v>50</v>
      </c>
      <c r="I1576">
        <v>8</v>
      </c>
      <c r="J1576" s="3">
        <v>93.32</v>
      </c>
      <c r="K1576" s="2">
        <v>0.15</v>
      </c>
      <c r="L1576" s="3">
        <v>634.58000000000004</v>
      </c>
      <c r="M1576" s="3">
        <v>176.19</v>
      </c>
      <c r="N1576" t="s">
        <v>35</v>
      </c>
      <c r="O1576" s="3"/>
      <c r="P1576" s="3"/>
    </row>
    <row r="1577" spans="1:16" x14ac:dyDescent="0.3">
      <c r="A1577" t="s">
        <v>2958</v>
      </c>
      <c r="B1577" s="9" t="s">
        <v>298</v>
      </c>
      <c r="C1577" s="20" t="str">
        <f t="shared" si="24"/>
        <v>Jul</v>
      </c>
      <c r="D1577" t="s">
        <v>545</v>
      </c>
      <c r="E1577" s="10" t="s">
        <v>94</v>
      </c>
      <c r="F1577" t="s">
        <v>25</v>
      </c>
      <c r="G1577" t="s">
        <v>89</v>
      </c>
      <c r="H1577" t="s">
        <v>90</v>
      </c>
      <c r="I1577">
        <v>4</v>
      </c>
      <c r="J1577" s="3">
        <v>199.92</v>
      </c>
      <c r="K1577" s="2">
        <v>0.15</v>
      </c>
      <c r="L1577" s="3">
        <v>679.73</v>
      </c>
      <c r="M1577" s="3">
        <v>186.93</v>
      </c>
      <c r="N1577" t="s">
        <v>20</v>
      </c>
      <c r="O1577" s="3"/>
      <c r="P1577" s="3"/>
    </row>
    <row r="1578" spans="1:16" x14ac:dyDescent="0.3">
      <c r="A1578" t="s">
        <v>2959</v>
      </c>
      <c r="B1578" s="9" t="s">
        <v>918</v>
      </c>
      <c r="C1578" s="20" t="str">
        <f t="shared" si="24"/>
        <v>May</v>
      </c>
      <c r="D1578" t="s">
        <v>1802</v>
      </c>
      <c r="E1578" s="10" t="s">
        <v>1392</v>
      </c>
      <c r="F1578" t="s">
        <v>25</v>
      </c>
      <c r="G1578" t="s">
        <v>18</v>
      </c>
      <c r="H1578" t="s">
        <v>79</v>
      </c>
      <c r="I1578">
        <v>2</v>
      </c>
      <c r="J1578" s="3">
        <v>247.99</v>
      </c>
      <c r="K1578" s="2">
        <v>0.1</v>
      </c>
      <c r="L1578" s="3">
        <v>446.38</v>
      </c>
      <c r="M1578" s="3">
        <v>126.15</v>
      </c>
      <c r="N1578" t="s">
        <v>20</v>
      </c>
      <c r="O1578" s="3"/>
      <c r="P1578" s="3"/>
    </row>
    <row r="1579" spans="1:16" x14ac:dyDescent="0.3">
      <c r="A1579" t="s">
        <v>2960</v>
      </c>
      <c r="B1579" s="9" t="s">
        <v>1536</v>
      </c>
      <c r="C1579" s="20" t="str">
        <f t="shared" si="24"/>
        <v>Oct</v>
      </c>
      <c r="D1579" t="s">
        <v>1692</v>
      </c>
      <c r="E1579" s="10" t="s">
        <v>1341</v>
      </c>
      <c r="F1579" t="s">
        <v>59</v>
      </c>
      <c r="G1579" t="s">
        <v>89</v>
      </c>
      <c r="H1579" t="s">
        <v>150</v>
      </c>
      <c r="I1579">
        <v>3</v>
      </c>
      <c r="J1579" s="3">
        <v>212.64</v>
      </c>
      <c r="K1579" s="2">
        <v>0.05</v>
      </c>
      <c r="L1579" s="3">
        <v>606.02</v>
      </c>
      <c r="M1579" s="3">
        <v>147.13</v>
      </c>
      <c r="N1579" t="s">
        <v>20</v>
      </c>
      <c r="O1579" s="3"/>
      <c r="P1579" s="3"/>
    </row>
    <row r="1580" spans="1:16" x14ac:dyDescent="0.3">
      <c r="A1580" t="s">
        <v>2961</v>
      </c>
      <c r="B1580" s="9" t="s">
        <v>722</v>
      </c>
      <c r="C1580" s="20" t="str">
        <f t="shared" si="24"/>
        <v>Feb</v>
      </c>
      <c r="D1580" t="s">
        <v>1030</v>
      </c>
      <c r="E1580" s="10" t="s">
        <v>805</v>
      </c>
      <c r="F1580" t="s">
        <v>17</v>
      </c>
      <c r="G1580" t="s">
        <v>26</v>
      </c>
      <c r="H1580" t="s">
        <v>118</v>
      </c>
      <c r="I1580">
        <v>2</v>
      </c>
      <c r="J1580" s="3">
        <v>51.99</v>
      </c>
      <c r="K1580" s="2">
        <v>0</v>
      </c>
      <c r="L1580" s="3">
        <v>103.98</v>
      </c>
      <c r="M1580" s="3">
        <v>26.22</v>
      </c>
      <c r="N1580" t="s">
        <v>20</v>
      </c>
      <c r="O1580" s="3"/>
      <c r="P1580" s="3"/>
    </row>
    <row r="1581" spans="1:16" x14ac:dyDescent="0.3">
      <c r="A1581" t="s">
        <v>2962</v>
      </c>
      <c r="B1581" s="9" t="s">
        <v>1144</v>
      </c>
      <c r="C1581" s="20" t="str">
        <f t="shared" si="24"/>
        <v>May</v>
      </c>
      <c r="D1581" t="s">
        <v>1754</v>
      </c>
      <c r="E1581" s="10" t="s">
        <v>1315</v>
      </c>
      <c r="F1581" t="s">
        <v>25</v>
      </c>
      <c r="G1581" t="s">
        <v>18</v>
      </c>
      <c r="H1581" t="s">
        <v>45</v>
      </c>
      <c r="I1581">
        <v>7</v>
      </c>
      <c r="J1581" s="3">
        <v>88.29</v>
      </c>
      <c r="K1581" s="2">
        <v>0.05</v>
      </c>
      <c r="L1581" s="3">
        <v>587.13</v>
      </c>
      <c r="M1581" s="3">
        <v>109.12</v>
      </c>
      <c r="N1581" t="s">
        <v>40</v>
      </c>
      <c r="O1581" s="3"/>
      <c r="P1581" s="3"/>
    </row>
    <row r="1582" spans="1:16" x14ac:dyDescent="0.3">
      <c r="A1582" t="s">
        <v>2963</v>
      </c>
      <c r="B1582" s="9" t="s">
        <v>217</v>
      </c>
      <c r="C1582" s="20" t="str">
        <f t="shared" si="24"/>
        <v>Dec</v>
      </c>
      <c r="D1582" t="s">
        <v>2104</v>
      </c>
      <c r="E1582" s="10" t="s">
        <v>887</v>
      </c>
      <c r="F1582" t="s">
        <v>25</v>
      </c>
      <c r="G1582" t="s">
        <v>26</v>
      </c>
      <c r="H1582" t="s">
        <v>118</v>
      </c>
      <c r="I1582">
        <v>6</v>
      </c>
      <c r="J1582" s="3">
        <v>25.39</v>
      </c>
      <c r="K1582" s="2">
        <v>0.1</v>
      </c>
      <c r="L1582" s="3">
        <v>137.11000000000001</v>
      </c>
      <c r="M1582" s="3">
        <v>18.39</v>
      </c>
      <c r="N1582" t="s">
        <v>35</v>
      </c>
      <c r="O1582" s="3"/>
      <c r="P1582" s="3"/>
    </row>
    <row r="1583" spans="1:16" x14ac:dyDescent="0.3">
      <c r="A1583" t="s">
        <v>2964</v>
      </c>
      <c r="B1583" s="9" t="s">
        <v>29</v>
      </c>
      <c r="C1583" s="20" t="str">
        <f t="shared" si="24"/>
        <v>Jun</v>
      </c>
      <c r="D1583" t="s">
        <v>691</v>
      </c>
      <c r="E1583" s="10" t="s">
        <v>462</v>
      </c>
      <c r="F1583" t="s">
        <v>64</v>
      </c>
      <c r="G1583" t="s">
        <v>33</v>
      </c>
      <c r="H1583" t="s">
        <v>34</v>
      </c>
      <c r="I1583">
        <v>5</v>
      </c>
      <c r="J1583" s="3">
        <v>29.58</v>
      </c>
      <c r="K1583" s="2">
        <v>0.15</v>
      </c>
      <c r="L1583" s="3">
        <v>125.71</v>
      </c>
      <c r="M1583" s="3">
        <v>21.29</v>
      </c>
      <c r="N1583" t="s">
        <v>20</v>
      </c>
      <c r="O1583" s="3"/>
      <c r="P1583" s="3"/>
    </row>
    <row r="1584" spans="1:16" x14ac:dyDescent="0.3">
      <c r="A1584" t="s">
        <v>2965</v>
      </c>
      <c r="B1584" s="9" t="s">
        <v>1025</v>
      </c>
      <c r="C1584" s="20" t="str">
        <f t="shared" si="24"/>
        <v>Aug</v>
      </c>
      <c r="D1584" t="s">
        <v>1006</v>
      </c>
      <c r="E1584" s="10" t="s">
        <v>1224</v>
      </c>
      <c r="F1584" t="s">
        <v>32</v>
      </c>
      <c r="G1584" t="s">
        <v>26</v>
      </c>
      <c r="H1584" t="s">
        <v>27</v>
      </c>
      <c r="I1584">
        <v>8</v>
      </c>
      <c r="J1584" s="3">
        <v>163.07</v>
      </c>
      <c r="K1584" s="2">
        <v>0</v>
      </c>
      <c r="L1584" s="3">
        <v>1304.56</v>
      </c>
      <c r="M1584" s="3">
        <v>238.52</v>
      </c>
      <c r="N1584" t="s">
        <v>20</v>
      </c>
      <c r="O1584" s="3"/>
      <c r="P1584" s="3"/>
    </row>
    <row r="1585" spans="1:16" x14ac:dyDescent="0.3">
      <c r="A1585" t="s">
        <v>2966</v>
      </c>
      <c r="B1585" s="9" t="s">
        <v>1418</v>
      </c>
      <c r="C1585" s="20" t="str">
        <f t="shared" si="24"/>
        <v>Sep</v>
      </c>
      <c r="D1585" t="s">
        <v>1782</v>
      </c>
      <c r="E1585" s="10" t="s">
        <v>1466</v>
      </c>
      <c r="F1585" t="s">
        <v>17</v>
      </c>
      <c r="G1585" t="s">
        <v>26</v>
      </c>
      <c r="H1585" t="s">
        <v>84</v>
      </c>
      <c r="I1585">
        <v>3</v>
      </c>
      <c r="J1585" s="3">
        <v>245.45</v>
      </c>
      <c r="K1585" s="2">
        <v>0.15</v>
      </c>
      <c r="L1585" s="3">
        <v>625.9</v>
      </c>
      <c r="M1585" s="3">
        <v>66.59</v>
      </c>
      <c r="N1585" t="s">
        <v>20</v>
      </c>
      <c r="O1585" s="3"/>
      <c r="P1585" s="3"/>
    </row>
    <row r="1586" spans="1:16" x14ac:dyDescent="0.3">
      <c r="A1586" t="s">
        <v>2967</v>
      </c>
      <c r="B1586" s="9" t="s">
        <v>523</v>
      </c>
      <c r="C1586" s="20" t="str">
        <f t="shared" si="24"/>
        <v>Dec</v>
      </c>
      <c r="D1586" t="s">
        <v>1920</v>
      </c>
      <c r="E1586" s="10" t="s">
        <v>94</v>
      </c>
      <c r="F1586" t="s">
        <v>64</v>
      </c>
      <c r="G1586" t="s">
        <v>33</v>
      </c>
      <c r="H1586" t="s">
        <v>74</v>
      </c>
      <c r="I1586">
        <v>7</v>
      </c>
      <c r="J1586" s="3">
        <v>99.15</v>
      </c>
      <c r="K1586" s="2">
        <v>0.15</v>
      </c>
      <c r="L1586" s="3">
        <v>589.94000000000005</v>
      </c>
      <c r="M1586" s="3">
        <v>50.53</v>
      </c>
      <c r="N1586" t="s">
        <v>35</v>
      </c>
      <c r="O1586" s="3"/>
      <c r="P1586" s="3"/>
    </row>
    <row r="1587" spans="1:16" x14ac:dyDescent="0.3">
      <c r="A1587" t="s">
        <v>2968</v>
      </c>
      <c r="B1587" s="9" t="s">
        <v>271</v>
      </c>
      <c r="C1587" s="20" t="str">
        <f t="shared" si="24"/>
        <v>Nov</v>
      </c>
      <c r="D1587" t="s">
        <v>2744</v>
      </c>
      <c r="E1587" s="10" t="s">
        <v>130</v>
      </c>
      <c r="F1587" t="s">
        <v>32</v>
      </c>
      <c r="G1587" t="s">
        <v>89</v>
      </c>
      <c r="H1587" t="s">
        <v>131</v>
      </c>
      <c r="I1587">
        <v>7</v>
      </c>
      <c r="J1587" s="3">
        <v>99.79</v>
      </c>
      <c r="K1587" s="2">
        <v>0.05</v>
      </c>
      <c r="L1587" s="3">
        <v>663.6</v>
      </c>
      <c r="M1587" s="3">
        <v>115.14</v>
      </c>
      <c r="N1587" t="s">
        <v>40</v>
      </c>
      <c r="O1587" s="3"/>
      <c r="P1587" s="3"/>
    </row>
    <row r="1588" spans="1:16" x14ac:dyDescent="0.3">
      <c r="A1588" t="s">
        <v>2969</v>
      </c>
      <c r="B1588" s="9" t="s">
        <v>798</v>
      </c>
      <c r="C1588" s="20" t="str">
        <f t="shared" si="24"/>
        <v>Jul</v>
      </c>
      <c r="D1588" t="s">
        <v>890</v>
      </c>
      <c r="E1588" s="10" t="s">
        <v>1612</v>
      </c>
      <c r="F1588" t="s">
        <v>25</v>
      </c>
      <c r="G1588" t="s">
        <v>18</v>
      </c>
      <c r="H1588" t="s">
        <v>79</v>
      </c>
      <c r="I1588">
        <v>3</v>
      </c>
      <c r="J1588" s="3">
        <v>191.57</v>
      </c>
      <c r="K1588" s="2">
        <v>0.05</v>
      </c>
      <c r="L1588" s="3">
        <v>545.97</v>
      </c>
      <c r="M1588" s="3">
        <v>51.03</v>
      </c>
      <c r="N1588" t="s">
        <v>20</v>
      </c>
      <c r="O1588" s="3"/>
      <c r="P1588" s="3"/>
    </row>
    <row r="1589" spans="1:16" x14ac:dyDescent="0.3">
      <c r="A1589" t="s">
        <v>2970</v>
      </c>
      <c r="B1589" s="9" t="s">
        <v>918</v>
      </c>
      <c r="C1589" s="20" t="str">
        <f t="shared" si="24"/>
        <v>May</v>
      </c>
      <c r="D1589" t="s">
        <v>218</v>
      </c>
      <c r="E1589" s="10" t="s">
        <v>2971</v>
      </c>
      <c r="F1589" t="s">
        <v>64</v>
      </c>
      <c r="G1589" t="s">
        <v>26</v>
      </c>
      <c r="H1589" t="s">
        <v>84</v>
      </c>
      <c r="I1589">
        <v>8</v>
      </c>
      <c r="J1589" s="3">
        <v>58.03</v>
      </c>
      <c r="K1589" s="2">
        <v>0</v>
      </c>
      <c r="L1589" s="3">
        <v>464.24</v>
      </c>
      <c r="M1589" s="3">
        <v>51.47</v>
      </c>
      <c r="N1589" t="s">
        <v>35</v>
      </c>
      <c r="O1589" s="3"/>
      <c r="P1589" s="3"/>
    </row>
    <row r="1590" spans="1:16" x14ac:dyDescent="0.3">
      <c r="A1590" t="s">
        <v>2972</v>
      </c>
      <c r="B1590" s="9" t="s">
        <v>1956</v>
      </c>
      <c r="C1590" s="20" t="str">
        <f t="shared" si="24"/>
        <v>Jun</v>
      </c>
      <c r="D1590" t="s">
        <v>1802</v>
      </c>
      <c r="E1590" s="10" t="s">
        <v>2971</v>
      </c>
      <c r="F1590" t="s">
        <v>32</v>
      </c>
      <c r="G1590" t="s">
        <v>18</v>
      </c>
      <c r="H1590" t="s">
        <v>79</v>
      </c>
      <c r="I1590">
        <v>5</v>
      </c>
      <c r="J1590" s="3">
        <v>51.97</v>
      </c>
      <c r="K1590" s="2">
        <v>0.15</v>
      </c>
      <c r="L1590" s="3">
        <v>220.87</v>
      </c>
      <c r="M1590" s="3">
        <v>55.02</v>
      </c>
      <c r="N1590" t="s">
        <v>35</v>
      </c>
      <c r="O1590" s="3"/>
      <c r="P1590" s="3"/>
    </row>
    <row r="1591" spans="1:16" x14ac:dyDescent="0.3">
      <c r="A1591" t="s">
        <v>2973</v>
      </c>
      <c r="B1591" s="9" t="s">
        <v>2974</v>
      </c>
      <c r="C1591" s="20" t="str">
        <f t="shared" si="24"/>
        <v>Nov</v>
      </c>
      <c r="D1591" t="s">
        <v>783</v>
      </c>
      <c r="E1591" s="10" t="s">
        <v>2413</v>
      </c>
      <c r="F1591" t="s">
        <v>59</v>
      </c>
      <c r="G1591" t="s">
        <v>18</v>
      </c>
      <c r="H1591" t="s">
        <v>79</v>
      </c>
      <c r="I1591">
        <v>6</v>
      </c>
      <c r="J1591" s="3">
        <v>123.42</v>
      </c>
      <c r="K1591" s="2">
        <v>0.15</v>
      </c>
      <c r="L1591" s="3">
        <v>629.44000000000005</v>
      </c>
      <c r="M1591" s="3">
        <v>162.94</v>
      </c>
      <c r="N1591" t="s">
        <v>20</v>
      </c>
      <c r="O1591" s="3"/>
      <c r="P1591" s="3"/>
    </row>
    <row r="1592" spans="1:16" x14ac:dyDescent="0.3">
      <c r="A1592" t="s">
        <v>2975</v>
      </c>
      <c r="B1592" s="9" t="s">
        <v>957</v>
      </c>
      <c r="C1592" s="20" t="str">
        <f t="shared" si="24"/>
        <v>Nov</v>
      </c>
      <c r="D1592" t="s">
        <v>424</v>
      </c>
      <c r="E1592" s="10" t="s">
        <v>1884</v>
      </c>
      <c r="F1592" t="s">
        <v>32</v>
      </c>
      <c r="G1592" t="s">
        <v>89</v>
      </c>
      <c r="H1592" t="s">
        <v>131</v>
      </c>
      <c r="I1592">
        <v>5</v>
      </c>
      <c r="J1592" s="3">
        <v>38.26</v>
      </c>
      <c r="K1592" s="2">
        <v>0.15</v>
      </c>
      <c r="L1592" s="3">
        <v>162.6</v>
      </c>
      <c r="M1592" s="3">
        <v>38.94</v>
      </c>
      <c r="N1592" t="s">
        <v>35</v>
      </c>
      <c r="O1592" s="3"/>
      <c r="P1592" s="3"/>
    </row>
    <row r="1593" spans="1:16" x14ac:dyDescent="0.3">
      <c r="A1593" t="s">
        <v>2976</v>
      </c>
      <c r="B1593" s="9" t="s">
        <v>2974</v>
      </c>
      <c r="C1593" s="20" t="str">
        <f t="shared" si="24"/>
        <v>Nov</v>
      </c>
      <c r="D1593" t="s">
        <v>1268</v>
      </c>
      <c r="E1593" s="10" t="s">
        <v>655</v>
      </c>
      <c r="F1593" t="s">
        <v>25</v>
      </c>
      <c r="G1593" t="s">
        <v>18</v>
      </c>
      <c r="H1593" t="s">
        <v>19</v>
      </c>
      <c r="I1593">
        <v>1</v>
      </c>
      <c r="J1593" s="3">
        <v>30.52</v>
      </c>
      <c r="K1593" s="2">
        <v>0</v>
      </c>
      <c r="L1593" s="3">
        <v>30.52</v>
      </c>
      <c r="M1593" s="3">
        <v>3.01</v>
      </c>
      <c r="N1593" t="s">
        <v>20</v>
      </c>
      <c r="O1593" s="3"/>
      <c r="P1593" s="3"/>
    </row>
    <row r="1594" spans="1:16" x14ac:dyDescent="0.3">
      <c r="A1594" t="s">
        <v>2977</v>
      </c>
      <c r="B1594" s="9" t="s">
        <v>771</v>
      </c>
      <c r="C1594" s="20" t="str">
        <f t="shared" si="24"/>
        <v>Jun</v>
      </c>
      <c r="D1594" t="s">
        <v>2330</v>
      </c>
      <c r="E1594" s="10" t="s">
        <v>2978</v>
      </c>
      <c r="F1594" t="s">
        <v>32</v>
      </c>
      <c r="G1594" t="s">
        <v>26</v>
      </c>
      <c r="H1594" t="s">
        <v>118</v>
      </c>
      <c r="I1594">
        <v>7</v>
      </c>
      <c r="J1594" s="3">
        <v>131.97999999999999</v>
      </c>
      <c r="K1594" s="2">
        <v>0.05</v>
      </c>
      <c r="L1594" s="3">
        <v>877.67</v>
      </c>
      <c r="M1594" s="3">
        <v>145.32</v>
      </c>
      <c r="N1594" t="s">
        <v>20</v>
      </c>
      <c r="O1594" s="3"/>
      <c r="P1594" s="3"/>
    </row>
    <row r="1595" spans="1:16" x14ac:dyDescent="0.3">
      <c r="A1595" t="s">
        <v>2981</v>
      </c>
      <c r="B1595" s="9" t="s">
        <v>338</v>
      </c>
      <c r="C1595" s="20" t="str">
        <f t="shared" si="24"/>
        <v>Dec</v>
      </c>
      <c r="D1595" t="s">
        <v>1044</v>
      </c>
      <c r="E1595" s="10" t="s">
        <v>910</v>
      </c>
      <c r="F1595" t="s">
        <v>32</v>
      </c>
      <c r="G1595" t="s">
        <v>89</v>
      </c>
      <c r="H1595" t="s">
        <v>131</v>
      </c>
      <c r="I1595">
        <v>5</v>
      </c>
      <c r="J1595" s="3">
        <v>205.69</v>
      </c>
      <c r="K1595" s="2">
        <v>0</v>
      </c>
      <c r="L1595" s="3">
        <v>1028.45</v>
      </c>
      <c r="M1595" s="3">
        <v>151.47999999999999</v>
      </c>
      <c r="N1595" t="s">
        <v>20</v>
      </c>
      <c r="O1595" s="3"/>
      <c r="P1595" s="3"/>
    </row>
    <row r="1596" spans="1:16" x14ac:dyDescent="0.3">
      <c r="A1596" t="s">
        <v>2982</v>
      </c>
      <c r="B1596" s="9" t="s">
        <v>52</v>
      </c>
      <c r="C1596" s="20" t="str">
        <f t="shared" si="24"/>
        <v>Jan</v>
      </c>
      <c r="D1596" t="s">
        <v>1185</v>
      </c>
      <c r="E1596" s="10" t="s">
        <v>947</v>
      </c>
      <c r="F1596" t="s">
        <v>59</v>
      </c>
      <c r="G1596" t="s">
        <v>26</v>
      </c>
      <c r="H1596" t="s">
        <v>118</v>
      </c>
      <c r="I1596">
        <v>1</v>
      </c>
      <c r="J1596" s="3">
        <v>62.37</v>
      </c>
      <c r="K1596" s="2">
        <v>0.15</v>
      </c>
      <c r="L1596" s="3">
        <v>53.01</v>
      </c>
      <c r="M1596" s="3">
        <v>9.7899999999999991</v>
      </c>
      <c r="N1596" t="s">
        <v>20</v>
      </c>
      <c r="O1596" s="3"/>
      <c r="P1596" s="3"/>
    </row>
    <row r="1597" spans="1:16" x14ac:dyDescent="0.3">
      <c r="A1597" t="s">
        <v>2983</v>
      </c>
      <c r="B1597" s="9" t="s">
        <v>349</v>
      </c>
      <c r="C1597" s="20" t="str">
        <f t="shared" si="24"/>
        <v>May</v>
      </c>
      <c r="D1597" t="s">
        <v>2039</v>
      </c>
      <c r="E1597" s="10" t="s">
        <v>1731</v>
      </c>
      <c r="F1597" t="s">
        <v>64</v>
      </c>
      <c r="G1597" t="s">
        <v>26</v>
      </c>
      <c r="H1597" t="s">
        <v>84</v>
      </c>
      <c r="I1597">
        <v>4</v>
      </c>
      <c r="J1597" s="3">
        <v>216.68</v>
      </c>
      <c r="K1597" s="2">
        <v>0.05</v>
      </c>
      <c r="L1597" s="3">
        <v>823.38</v>
      </c>
      <c r="M1597" s="3">
        <v>79.989999999999995</v>
      </c>
      <c r="N1597" t="s">
        <v>35</v>
      </c>
      <c r="O1597" s="3"/>
      <c r="P1597" s="3"/>
    </row>
    <row r="1598" spans="1:16" x14ac:dyDescent="0.3">
      <c r="A1598" t="s">
        <v>2984</v>
      </c>
      <c r="B1598" s="9" t="s">
        <v>915</v>
      </c>
      <c r="C1598" s="20" t="str">
        <f t="shared" si="24"/>
        <v>Mar</v>
      </c>
      <c r="D1598" t="s">
        <v>272</v>
      </c>
      <c r="E1598" s="10" t="s">
        <v>2669</v>
      </c>
      <c r="F1598" t="s">
        <v>59</v>
      </c>
      <c r="G1598" t="s">
        <v>89</v>
      </c>
      <c r="H1598" t="s">
        <v>131</v>
      </c>
      <c r="I1598">
        <v>1</v>
      </c>
      <c r="J1598" s="3">
        <v>104.81</v>
      </c>
      <c r="K1598" s="2">
        <v>0.1</v>
      </c>
      <c r="L1598" s="3">
        <v>94.33</v>
      </c>
      <c r="M1598" s="3">
        <v>27.47</v>
      </c>
      <c r="N1598" t="s">
        <v>35</v>
      </c>
      <c r="O1598" s="3"/>
      <c r="P1598" s="3"/>
    </row>
    <row r="1599" spans="1:16" x14ac:dyDescent="0.3">
      <c r="A1599" t="s">
        <v>2985</v>
      </c>
      <c r="B1599" s="9" t="s">
        <v>22</v>
      </c>
      <c r="C1599" s="20" t="str">
        <f t="shared" si="24"/>
        <v>Sep</v>
      </c>
      <c r="D1599" t="s">
        <v>1922</v>
      </c>
      <c r="E1599" s="10" t="s">
        <v>1347</v>
      </c>
      <c r="F1599" t="s">
        <v>25</v>
      </c>
      <c r="G1599" t="s">
        <v>89</v>
      </c>
      <c r="H1599" t="s">
        <v>131</v>
      </c>
      <c r="I1599">
        <v>6</v>
      </c>
      <c r="J1599" s="3">
        <v>140.5</v>
      </c>
      <c r="K1599" s="2">
        <v>0.15</v>
      </c>
      <c r="L1599" s="3">
        <v>716.55</v>
      </c>
      <c r="M1599" s="3">
        <v>87.41</v>
      </c>
      <c r="N1599" t="s">
        <v>40</v>
      </c>
      <c r="O1599" s="3"/>
      <c r="P1599" s="3"/>
    </row>
    <row r="1600" spans="1:16" x14ac:dyDescent="0.3">
      <c r="A1600" t="s">
        <v>2986</v>
      </c>
      <c r="B1600" s="9" t="s">
        <v>483</v>
      </c>
      <c r="C1600" s="20" t="str">
        <f t="shared" si="24"/>
        <v>Feb</v>
      </c>
      <c r="D1600" t="s">
        <v>1030</v>
      </c>
      <c r="E1600" s="10" t="s">
        <v>2271</v>
      </c>
      <c r="F1600" t="s">
        <v>32</v>
      </c>
      <c r="G1600" t="s">
        <v>26</v>
      </c>
      <c r="H1600" t="s">
        <v>84</v>
      </c>
      <c r="I1600">
        <v>2</v>
      </c>
      <c r="J1600" s="3">
        <v>238.65</v>
      </c>
      <c r="K1600" s="2">
        <v>0.15</v>
      </c>
      <c r="L1600" s="3">
        <v>405.7</v>
      </c>
      <c r="M1600" s="3">
        <v>67.61</v>
      </c>
      <c r="N1600" t="s">
        <v>20</v>
      </c>
      <c r="O1600" s="3"/>
      <c r="P1600" s="3"/>
    </row>
    <row r="1601" spans="1:16" x14ac:dyDescent="0.3">
      <c r="A1601" t="s">
        <v>2987</v>
      </c>
      <c r="B1601" s="9" t="s">
        <v>388</v>
      </c>
      <c r="C1601" s="20" t="str">
        <f t="shared" si="24"/>
        <v>Aug</v>
      </c>
      <c r="D1601" t="s">
        <v>1145</v>
      </c>
      <c r="E1601" s="10" t="s">
        <v>1362</v>
      </c>
      <c r="F1601" t="s">
        <v>64</v>
      </c>
      <c r="G1601" t="s">
        <v>18</v>
      </c>
      <c r="H1601" t="s">
        <v>79</v>
      </c>
      <c r="I1601">
        <v>8</v>
      </c>
      <c r="J1601" s="3">
        <v>104.53</v>
      </c>
      <c r="K1601" s="2">
        <v>0</v>
      </c>
      <c r="L1601" s="3">
        <v>836.24</v>
      </c>
      <c r="M1601" s="3">
        <v>149.72</v>
      </c>
      <c r="N1601" t="s">
        <v>35</v>
      </c>
      <c r="O1601" s="3"/>
      <c r="P1601" s="3"/>
    </row>
    <row r="1602" spans="1:16" x14ac:dyDescent="0.3">
      <c r="A1602" t="s">
        <v>2988</v>
      </c>
      <c r="B1602" s="9" t="s">
        <v>1216</v>
      </c>
      <c r="C1602" s="20" t="str">
        <f t="shared" ref="C1602:C1665" si="25">TEXT(B:B, "mmm")</f>
        <v>Oct</v>
      </c>
      <c r="D1602" t="s">
        <v>514</v>
      </c>
      <c r="E1602" s="10" t="s">
        <v>2413</v>
      </c>
      <c r="F1602" t="s">
        <v>64</v>
      </c>
      <c r="G1602" t="s">
        <v>89</v>
      </c>
      <c r="H1602" t="s">
        <v>150</v>
      </c>
      <c r="I1602">
        <v>7</v>
      </c>
      <c r="J1602" s="3">
        <v>109.43</v>
      </c>
      <c r="K1602" s="2">
        <v>0</v>
      </c>
      <c r="L1602" s="3">
        <v>766.01</v>
      </c>
      <c r="M1602" s="3">
        <v>92.81</v>
      </c>
      <c r="N1602" t="s">
        <v>40</v>
      </c>
      <c r="O1602" s="3"/>
      <c r="P1602" s="3"/>
    </row>
    <row r="1603" spans="1:16" x14ac:dyDescent="0.3">
      <c r="A1603" t="s">
        <v>2989</v>
      </c>
      <c r="B1603" s="9" t="s">
        <v>275</v>
      </c>
      <c r="C1603" s="20" t="str">
        <f t="shared" si="25"/>
        <v>Oct</v>
      </c>
      <c r="D1603" t="s">
        <v>1373</v>
      </c>
      <c r="E1603" s="10" t="s">
        <v>868</v>
      </c>
      <c r="F1603" t="s">
        <v>59</v>
      </c>
      <c r="G1603" t="s">
        <v>33</v>
      </c>
      <c r="H1603" t="s">
        <v>69</v>
      </c>
      <c r="I1603">
        <v>8</v>
      </c>
      <c r="J1603" s="3">
        <v>64.03</v>
      </c>
      <c r="K1603" s="2">
        <v>0.15</v>
      </c>
      <c r="L1603" s="3">
        <v>435.4</v>
      </c>
      <c r="M1603" s="3">
        <v>79.55</v>
      </c>
      <c r="N1603" t="s">
        <v>35</v>
      </c>
      <c r="O1603" s="3"/>
      <c r="P1603" s="3"/>
    </row>
    <row r="1604" spans="1:16" x14ac:dyDescent="0.3">
      <c r="A1604" t="s">
        <v>2990</v>
      </c>
      <c r="B1604" s="9" t="s">
        <v>1155</v>
      </c>
      <c r="C1604" s="20" t="str">
        <f t="shared" si="25"/>
        <v>Sep</v>
      </c>
      <c r="D1604" t="s">
        <v>1894</v>
      </c>
      <c r="E1604" s="10" t="s">
        <v>2087</v>
      </c>
      <c r="F1604" t="s">
        <v>59</v>
      </c>
      <c r="G1604" t="s">
        <v>26</v>
      </c>
      <c r="H1604" t="s">
        <v>84</v>
      </c>
      <c r="I1604">
        <v>7</v>
      </c>
      <c r="J1604" s="3">
        <v>235.15</v>
      </c>
      <c r="K1604" s="2">
        <v>0.05</v>
      </c>
      <c r="L1604" s="3">
        <v>1563.75</v>
      </c>
      <c r="M1604" s="3">
        <v>289.51</v>
      </c>
      <c r="N1604" t="s">
        <v>40</v>
      </c>
      <c r="O1604" s="3"/>
      <c r="P1604" s="3"/>
    </row>
    <row r="1605" spans="1:16" x14ac:dyDescent="0.3">
      <c r="A1605" t="s">
        <v>2991</v>
      </c>
      <c r="B1605" s="9" t="s">
        <v>1136</v>
      </c>
      <c r="C1605" s="20" t="str">
        <f t="shared" si="25"/>
        <v>Apr</v>
      </c>
      <c r="D1605" t="s">
        <v>1299</v>
      </c>
      <c r="E1605" s="10" t="s">
        <v>94</v>
      </c>
      <c r="F1605" t="s">
        <v>59</v>
      </c>
      <c r="G1605" t="s">
        <v>33</v>
      </c>
      <c r="H1605" t="s">
        <v>69</v>
      </c>
      <c r="I1605">
        <v>7</v>
      </c>
      <c r="J1605" s="3">
        <v>192.32</v>
      </c>
      <c r="K1605" s="2">
        <v>0.1</v>
      </c>
      <c r="L1605" s="3">
        <v>1211.6199999999999</v>
      </c>
      <c r="M1605" s="3">
        <v>227.72</v>
      </c>
      <c r="N1605" t="s">
        <v>40</v>
      </c>
      <c r="O1605" s="3"/>
      <c r="P1605" s="3"/>
    </row>
    <row r="1606" spans="1:16" x14ac:dyDescent="0.3">
      <c r="A1606" t="s">
        <v>2992</v>
      </c>
      <c r="B1606" s="9" t="s">
        <v>104</v>
      </c>
      <c r="C1606" s="20" t="str">
        <f t="shared" si="25"/>
        <v>May</v>
      </c>
      <c r="D1606" t="s">
        <v>1744</v>
      </c>
      <c r="E1606" s="10" t="s">
        <v>406</v>
      </c>
      <c r="F1606" t="s">
        <v>32</v>
      </c>
      <c r="G1606" t="s">
        <v>18</v>
      </c>
      <c r="H1606" t="s">
        <v>45</v>
      </c>
      <c r="I1606">
        <v>8</v>
      </c>
      <c r="J1606" s="3">
        <v>208.94</v>
      </c>
      <c r="K1606" s="2">
        <v>0</v>
      </c>
      <c r="L1606" s="3">
        <v>1671.52</v>
      </c>
      <c r="M1606" s="3">
        <v>336.02</v>
      </c>
      <c r="N1606" t="s">
        <v>20</v>
      </c>
      <c r="O1606" s="3"/>
      <c r="P1606" s="3"/>
    </row>
    <row r="1607" spans="1:16" x14ac:dyDescent="0.3">
      <c r="A1607" t="s">
        <v>2993</v>
      </c>
      <c r="B1607" s="9" t="s">
        <v>530</v>
      </c>
      <c r="C1607" s="20" t="str">
        <f t="shared" si="25"/>
        <v>Mar</v>
      </c>
      <c r="D1607" t="s">
        <v>77</v>
      </c>
      <c r="E1607" s="10" t="s">
        <v>968</v>
      </c>
      <c r="F1607" t="s">
        <v>17</v>
      </c>
      <c r="G1607" t="s">
        <v>33</v>
      </c>
      <c r="H1607" t="s">
        <v>74</v>
      </c>
      <c r="I1607">
        <v>3</v>
      </c>
      <c r="J1607" s="3">
        <v>96.79</v>
      </c>
      <c r="K1607" s="2">
        <v>0.15</v>
      </c>
      <c r="L1607" s="3">
        <v>246.81</v>
      </c>
      <c r="M1607" s="3">
        <v>37.69</v>
      </c>
      <c r="N1607" t="s">
        <v>40</v>
      </c>
      <c r="O1607" s="3"/>
      <c r="P1607" s="3"/>
    </row>
    <row r="1608" spans="1:16" x14ac:dyDescent="0.3">
      <c r="A1608" t="s">
        <v>2994</v>
      </c>
      <c r="B1608" s="9" t="s">
        <v>1105</v>
      </c>
      <c r="C1608" s="20" t="str">
        <f t="shared" si="25"/>
        <v>Oct</v>
      </c>
      <c r="D1608" t="s">
        <v>737</v>
      </c>
      <c r="E1608" s="10" t="s">
        <v>31</v>
      </c>
      <c r="F1608" t="s">
        <v>17</v>
      </c>
      <c r="G1608" t="s">
        <v>18</v>
      </c>
      <c r="H1608" t="s">
        <v>45</v>
      </c>
      <c r="I1608">
        <v>3</v>
      </c>
      <c r="J1608" s="3">
        <v>50.92</v>
      </c>
      <c r="K1608" s="2">
        <v>0.05</v>
      </c>
      <c r="L1608" s="3">
        <v>145.12</v>
      </c>
      <c r="M1608" s="3">
        <v>14.87</v>
      </c>
      <c r="N1608" t="s">
        <v>40</v>
      </c>
      <c r="O1608" s="3"/>
      <c r="P1608" s="3"/>
    </row>
    <row r="1609" spans="1:16" x14ac:dyDescent="0.3">
      <c r="A1609" t="s">
        <v>2995</v>
      </c>
      <c r="B1609" s="9" t="s">
        <v>2223</v>
      </c>
      <c r="C1609" s="20" t="str">
        <f t="shared" si="25"/>
        <v>Dec</v>
      </c>
      <c r="D1609" t="s">
        <v>654</v>
      </c>
      <c r="E1609" s="10" t="s">
        <v>1910</v>
      </c>
      <c r="F1609" t="s">
        <v>25</v>
      </c>
      <c r="G1609" t="s">
        <v>33</v>
      </c>
      <c r="H1609" t="s">
        <v>69</v>
      </c>
      <c r="I1609">
        <v>3</v>
      </c>
      <c r="J1609" s="3">
        <v>246.53</v>
      </c>
      <c r="K1609" s="2">
        <v>0</v>
      </c>
      <c r="L1609" s="3">
        <v>739.59</v>
      </c>
      <c r="M1609" s="3">
        <v>216.97</v>
      </c>
      <c r="N1609" t="s">
        <v>20</v>
      </c>
      <c r="O1609" s="3"/>
      <c r="P1609" s="3"/>
    </row>
    <row r="1610" spans="1:16" x14ac:dyDescent="0.3">
      <c r="A1610" t="s">
        <v>2996</v>
      </c>
      <c r="B1610" s="9" t="s">
        <v>108</v>
      </c>
      <c r="C1610" s="20" t="str">
        <f t="shared" si="25"/>
        <v>May</v>
      </c>
      <c r="D1610" t="s">
        <v>640</v>
      </c>
      <c r="E1610" s="10" t="s">
        <v>976</v>
      </c>
      <c r="F1610" t="s">
        <v>59</v>
      </c>
      <c r="G1610" t="s">
        <v>33</v>
      </c>
      <c r="H1610" t="s">
        <v>69</v>
      </c>
      <c r="I1610">
        <v>8</v>
      </c>
      <c r="J1610" s="3">
        <v>89.36</v>
      </c>
      <c r="K1610" s="2">
        <v>0.1</v>
      </c>
      <c r="L1610" s="3">
        <v>643.39</v>
      </c>
      <c r="M1610" s="3">
        <v>51.67</v>
      </c>
      <c r="N1610" t="s">
        <v>35</v>
      </c>
      <c r="O1610" s="3"/>
      <c r="P1610" s="3"/>
    </row>
    <row r="1611" spans="1:16" x14ac:dyDescent="0.3">
      <c r="A1611" t="s">
        <v>2997</v>
      </c>
      <c r="B1611" s="9" t="s">
        <v>1684</v>
      </c>
      <c r="C1611" s="20" t="str">
        <f t="shared" si="25"/>
        <v>Nov</v>
      </c>
      <c r="D1611" t="s">
        <v>226</v>
      </c>
      <c r="E1611" s="10" t="s">
        <v>1466</v>
      </c>
      <c r="F1611" t="s">
        <v>25</v>
      </c>
      <c r="G1611" t="s">
        <v>26</v>
      </c>
      <c r="H1611" t="s">
        <v>118</v>
      </c>
      <c r="I1611">
        <v>3</v>
      </c>
      <c r="J1611" s="3">
        <v>199.07</v>
      </c>
      <c r="K1611" s="2">
        <v>0.15</v>
      </c>
      <c r="L1611" s="3">
        <v>507.63</v>
      </c>
      <c r="M1611" s="3">
        <v>73.23</v>
      </c>
      <c r="N1611" t="s">
        <v>35</v>
      </c>
      <c r="O1611" s="3"/>
      <c r="P1611" s="3"/>
    </row>
    <row r="1612" spans="1:16" x14ac:dyDescent="0.3">
      <c r="A1612" t="s">
        <v>2998</v>
      </c>
      <c r="B1612" s="9" t="s">
        <v>924</v>
      </c>
      <c r="C1612" s="20" t="str">
        <f t="shared" si="25"/>
        <v>Apr</v>
      </c>
      <c r="D1612" t="s">
        <v>160</v>
      </c>
      <c r="E1612" s="10" t="s">
        <v>117</v>
      </c>
      <c r="F1612" t="s">
        <v>64</v>
      </c>
      <c r="G1612" t="s">
        <v>26</v>
      </c>
      <c r="H1612" t="s">
        <v>84</v>
      </c>
      <c r="I1612">
        <v>3</v>
      </c>
      <c r="J1612" s="3">
        <v>172.1</v>
      </c>
      <c r="K1612" s="2">
        <v>0.05</v>
      </c>
      <c r="L1612" s="3">
        <v>490.48</v>
      </c>
      <c r="M1612" s="3">
        <v>128.69</v>
      </c>
      <c r="N1612" t="s">
        <v>35</v>
      </c>
      <c r="O1612" s="3"/>
      <c r="P1612" s="3"/>
    </row>
    <row r="1613" spans="1:16" x14ac:dyDescent="0.3">
      <c r="A1613" t="s">
        <v>2999</v>
      </c>
      <c r="B1613" s="9" t="s">
        <v>349</v>
      </c>
      <c r="C1613" s="20" t="str">
        <f t="shared" si="25"/>
        <v>May</v>
      </c>
      <c r="D1613" t="s">
        <v>2482</v>
      </c>
      <c r="E1613" s="10" t="s">
        <v>1475</v>
      </c>
      <c r="F1613" t="s">
        <v>17</v>
      </c>
      <c r="G1613" t="s">
        <v>33</v>
      </c>
      <c r="H1613" t="s">
        <v>69</v>
      </c>
      <c r="I1613">
        <v>8</v>
      </c>
      <c r="J1613" s="3">
        <v>155.69999999999999</v>
      </c>
      <c r="K1613" s="2">
        <v>0.1</v>
      </c>
      <c r="L1613" s="3">
        <v>1121.04</v>
      </c>
      <c r="M1613" s="3">
        <v>205.18</v>
      </c>
      <c r="N1613" t="s">
        <v>20</v>
      </c>
      <c r="O1613" s="3"/>
      <c r="P1613" s="3"/>
    </row>
    <row r="1614" spans="1:16" x14ac:dyDescent="0.3">
      <c r="A1614" t="s">
        <v>3000</v>
      </c>
      <c r="B1614" s="9" t="s">
        <v>457</v>
      </c>
      <c r="C1614" s="20" t="str">
        <f t="shared" si="25"/>
        <v>Jan</v>
      </c>
      <c r="D1614" t="s">
        <v>1990</v>
      </c>
      <c r="E1614" s="10" t="s">
        <v>1600</v>
      </c>
      <c r="F1614" t="s">
        <v>64</v>
      </c>
      <c r="G1614" t="s">
        <v>26</v>
      </c>
      <c r="H1614" t="s">
        <v>118</v>
      </c>
      <c r="I1614">
        <v>8</v>
      </c>
      <c r="J1614" s="3">
        <v>133.41</v>
      </c>
      <c r="K1614" s="2">
        <v>0.15</v>
      </c>
      <c r="L1614" s="3">
        <v>907.19</v>
      </c>
      <c r="M1614" s="3">
        <v>171.08</v>
      </c>
      <c r="N1614" t="s">
        <v>20</v>
      </c>
      <c r="O1614" s="3"/>
      <c r="P1614" s="3"/>
    </row>
    <row r="1615" spans="1:16" x14ac:dyDescent="0.3">
      <c r="A1615" t="s">
        <v>3001</v>
      </c>
      <c r="B1615" s="9" t="s">
        <v>1384</v>
      </c>
      <c r="C1615" s="20" t="str">
        <f t="shared" si="25"/>
        <v>Jun</v>
      </c>
      <c r="D1615" t="s">
        <v>980</v>
      </c>
      <c r="E1615" s="10" t="s">
        <v>1856</v>
      </c>
      <c r="F1615" t="s">
        <v>32</v>
      </c>
      <c r="G1615" t="s">
        <v>33</v>
      </c>
      <c r="H1615" t="s">
        <v>69</v>
      </c>
      <c r="I1615">
        <v>4</v>
      </c>
      <c r="J1615" s="3">
        <v>156.13</v>
      </c>
      <c r="K1615" s="2">
        <v>0.05</v>
      </c>
      <c r="L1615" s="3">
        <v>593.29</v>
      </c>
      <c r="M1615" s="3">
        <v>119.69</v>
      </c>
      <c r="N1615" t="s">
        <v>35</v>
      </c>
      <c r="O1615" s="3"/>
      <c r="P1615" s="3"/>
    </row>
    <row r="1616" spans="1:16" x14ac:dyDescent="0.3">
      <c r="A1616" t="s">
        <v>3002</v>
      </c>
      <c r="B1616" s="9" t="s">
        <v>1657</v>
      </c>
      <c r="C1616" s="20" t="str">
        <f t="shared" si="25"/>
        <v>May</v>
      </c>
      <c r="D1616" t="s">
        <v>1747</v>
      </c>
      <c r="E1616" s="10" t="s">
        <v>1889</v>
      </c>
      <c r="F1616" t="s">
        <v>32</v>
      </c>
      <c r="G1616" t="s">
        <v>89</v>
      </c>
      <c r="H1616" t="s">
        <v>150</v>
      </c>
      <c r="I1616">
        <v>7</v>
      </c>
      <c r="J1616" s="3">
        <v>23.16</v>
      </c>
      <c r="K1616" s="2">
        <v>0</v>
      </c>
      <c r="L1616" s="3">
        <v>162.12</v>
      </c>
      <c r="M1616" s="3">
        <v>37.15</v>
      </c>
      <c r="N1616" t="s">
        <v>35</v>
      </c>
      <c r="O1616" s="3"/>
      <c r="P1616" s="3"/>
    </row>
    <row r="1617" spans="1:16" x14ac:dyDescent="0.3">
      <c r="A1617" t="s">
        <v>3003</v>
      </c>
      <c r="B1617" s="9" t="s">
        <v>1335</v>
      </c>
      <c r="C1617" s="20" t="str">
        <f t="shared" si="25"/>
        <v>Apr</v>
      </c>
      <c r="D1617" t="s">
        <v>243</v>
      </c>
      <c r="E1617" s="10" t="s">
        <v>296</v>
      </c>
      <c r="F1617" t="s">
        <v>17</v>
      </c>
      <c r="G1617" t="s">
        <v>33</v>
      </c>
      <c r="H1617" t="s">
        <v>50</v>
      </c>
      <c r="I1617">
        <v>1</v>
      </c>
      <c r="J1617" s="3">
        <v>109.12</v>
      </c>
      <c r="K1617" s="2">
        <v>0</v>
      </c>
      <c r="L1617" s="3">
        <v>109.12</v>
      </c>
      <c r="M1617" s="3">
        <v>23.43</v>
      </c>
      <c r="N1617" t="s">
        <v>20</v>
      </c>
      <c r="O1617" s="3"/>
      <c r="P1617" s="3"/>
    </row>
    <row r="1618" spans="1:16" x14ac:dyDescent="0.3">
      <c r="A1618" t="s">
        <v>3004</v>
      </c>
      <c r="B1618" s="9" t="s">
        <v>970</v>
      </c>
      <c r="C1618" s="20" t="str">
        <f t="shared" si="25"/>
        <v>Oct</v>
      </c>
      <c r="D1618" t="s">
        <v>2416</v>
      </c>
      <c r="E1618" s="10" t="s">
        <v>2413</v>
      </c>
      <c r="F1618" t="s">
        <v>59</v>
      </c>
      <c r="G1618" t="s">
        <v>33</v>
      </c>
      <c r="H1618" t="s">
        <v>69</v>
      </c>
      <c r="I1618">
        <v>1</v>
      </c>
      <c r="J1618" s="3">
        <v>178.65</v>
      </c>
      <c r="K1618" s="2">
        <v>0.15</v>
      </c>
      <c r="L1618" s="3">
        <v>151.85</v>
      </c>
      <c r="M1618" s="3">
        <v>44.67</v>
      </c>
      <c r="N1618" t="s">
        <v>35</v>
      </c>
      <c r="O1618" s="3"/>
      <c r="P1618" s="3"/>
    </row>
    <row r="1619" spans="1:16" x14ac:dyDescent="0.3">
      <c r="A1619" t="s">
        <v>3005</v>
      </c>
      <c r="B1619" s="9" t="s">
        <v>2572</v>
      </c>
      <c r="C1619" s="20" t="str">
        <f t="shared" si="25"/>
        <v>Sep</v>
      </c>
      <c r="D1619" t="s">
        <v>897</v>
      </c>
      <c r="E1619" s="10" t="s">
        <v>63</v>
      </c>
      <c r="F1619" t="s">
        <v>64</v>
      </c>
      <c r="G1619" t="s">
        <v>33</v>
      </c>
      <c r="H1619" t="s">
        <v>34</v>
      </c>
      <c r="I1619">
        <v>6</v>
      </c>
      <c r="J1619" s="3">
        <v>66.430000000000007</v>
      </c>
      <c r="K1619" s="2">
        <v>0</v>
      </c>
      <c r="L1619" s="3">
        <v>398.58</v>
      </c>
      <c r="M1619" s="3">
        <v>56.42</v>
      </c>
      <c r="N1619" t="s">
        <v>40</v>
      </c>
      <c r="O1619" s="3"/>
      <c r="P1619" s="3"/>
    </row>
    <row r="1620" spans="1:16" x14ac:dyDescent="0.3">
      <c r="A1620" t="s">
        <v>3006</v>
      </c>
      <c r="B1620" s="9" t="s">
        <v>760</v>
      </c>
      <c r="C1620" s="20" t="str">
        <f t="shared" si="25"/>
        <v>Dec</v>
      </c>
      <c r="D1620" t="s">
        <v>196</v>
      </c>
      <c r="E1620" s="10" t="s">
        <v>414</v>
      </c>
      <c r="F1620" t="s">
        <v>32</v>
      </c>
      <c r="G1620" t="s">
        <v>89</v>
      </c>
      <c r="H1620" t="s">
        <v>90</v>
      </c>
      <c r="I1620">
        <v>7</v>
      </c>
      <c r="J1620" s="3">
        <v>242.94</v>
      </c>
      <c r="K1620" s="2">
        <v>0</v>
      </c>
      <c r="L1620" s="3">
        <v>1700.58</v>
      </c>
      <c r="M1620" s="3">
        <v>285.89999999999998</v>
      </c>
      <c r="N1620" t="s">
        <v>35</v>
      </c>
      <c r="O1620" s="3"/>
      <c r="P1620" s="3"/>
    </row>
    <row r="1621" spans="1:16" x14ac:dyDescent="0.3">
      <c r="A1621" t="s">
        <v>3007</v>
      </c>
      <c r="B1621" s="9" t="s">
        <v>1489</v>
      </c>
      <c r="C1621" s="20" t="str">
        <f t="shared" si="25"/>
        <v>Jun</v>
      </c>
      <c r="D1621" t="s">
        <v>1102</v>
      </c>
      <c r="E1621" s="10" t="s">
        <v>390</v>
      </c>
      <c r="F1621" t="s">
        <v>32</v>
      </c>
      <c r="G1621" t="s">
        <v>18</v>
      </c>
      <c r="H1621" t="s">
        <v>45</v>
      </c>
      <c r="I1621">
        <v>7</v>
      </c>
      <c r="J1621" s="3">
        <v>105.1</v>
      </c>
      <c r="K1621" s="2">
        <v>0.1</v>
      </c>
      <c r="L1621" s="3">
        <v>662.13</v>
      </c>
      <c r="M1621" s="3">
        <v>110.9</v>
      </c>
      <c r="N1621" t="s">
        <v>35</v>
      </c>
      <c r="O1621" s="3"/>
      <c r="P1621" s="3"/>
    </row>
    <row r="1622" spans="1:16" x14ac:dyDescent="0.3">
      <c r="A1622" t="s">
        <v>3008</v>
      </c>
      <c r="B1622" s="9" t="s">
        <v>2223</v>
      </c>
      <c r="C1622" s="20" t="str">
        <f t="shared" si="25"/>
        <v>Dec</v>
      </c>
      <c r="D1622" t="s">
        <v>2111</v>
      </c>
      <c r="E1622" s="10" t="s">
        <v>205</v>
      </c>
      <c r="F1622" t="s">
        <v>64</v>
      </c>
      <c r="G1622" t="s">
        <v>33</v>
      </c>
      <c r="H1622" t="s">
        <v>34</v>
      </c>
      <c r="I1622">
        <v>6</v>
      </c>
      <c r="J1622" s="3">
        <v>189.3</v>
      </c>
      <c r="K1622" s="2">
        <v>0.05</v>
      </c>
      <c r="L1622" s="3">
        <v>1079.01</v>
      </c>
      <c r="M1622" s="3">
        <v>91.92</v>
      </c>
      <c r="N1622" t="s">
        <v>35</v>
      </c>
      <c r="O1622" s="3"/>
      <c r="P1622" s="3"/>
    </row>
    <row r="1623" spans="1:16" x14ac:dyDescent="0.3">
      <c r="A1623" t="s">
        <v>3009</v>
      </c>
      <c r="B1623" s="9" t="s">
        <v>1025</v>
      </c>
      <c r="C1623" s="20" t="str">
        <f t="shared" si="25"/>
        <v>Aug</v>
      </c>
      <c r="D1623" t="s">
        <v>2537</v>
      </c>
      <c r="E1623" s="10" t="s">
        <v>186</v>
      </c>
      <c r="F1623" t="s">
        <v>17</v>
      </c>
      <c r="G1623" t="s">
        <v>18</v>
      </c>
      <c r="H1623" t="s">
        <v>19</v>
      </c>
      <c r="I1623">
        <v>2</v>
      </c>
      <c r="J1623" s="3">
        <v>122.28</v>
      </c>
      <c r="K1623" s="2">
        <v>0.1</v>
      </c>
      <c r="L1623" s="3">
        <v>220.1</v>
      </c>
      <c r="M1623" s="3">
        <v>39.65</v>
      </c>
      <c r="N1623" t="s">
        <v>35</v>
      </c>
      <c r="O1623" s="3"/>
      <c r="P1623" s="3"/>
    </row>
    <row r="1624" spans="1:16" x14ac:dyDescent="0.3">
      <c r="A1624" t="s">
        <v>3010</v>
      </c>
      <c r="B1624" s="9" t="s">
        <v>798</v>
      </c>
      <c r="C1624" s="20" t="str">
        <f t="shared" si="25"/>
        <v>Jul</v>
      </c>
      <c r="D1624" t="s">
        <v>1635</v>
      </c>
      <c r="E1624" s="10" t="s">
        <v>383</v>
      </c>
      <c r="F1624" t="s">
        <v>17</v>
      </c>
      <c r="G1624" t="s">
        <v>18</v>
      </c>
      <c r="H1624" t="s">
        <v>19</v>
      </c>
      <c r="I1624">
        <v>6</v>
      </c>
      <c r="J1624" s="3">
        <v>46.66</v>
      </c>
      <c r="K1624" s="2">
        <v>0</v>
      </c>
      <c r="L1624" s="3">
        <v>279.95999999999998</v>
      </c>
      <c r="M1624" s="3">
        <v>24.01</v>
      </c>
      <c r="N1624" t="s">
        <v>40</v>
      </c>
      <c r="O1624" s="3"/>
      <c r="P1624" s="3"/>
    </row>
    <row r="1625" spans="1:16" x14ac:dyDescent="0.3">
      <c r="A1625" t="s">
        <v>3011</v>
      </c>
      <c r="B1625" s="9" t="s">
        <v>2627</v>
      </c>
      <c r="C1625" s="20" t="str">
        <f t="shared" si="25"/>
        <v>Apr</v>
      </c>
      <c r="D1625" t="s">
        <v>831</v>
      </c>
      <c r="E1625" s="10" t="s">
        <v>2130</v>
      </c>
      <c r="F1625" t="s">
        <v>59</v>
      </c>
      <c r="G1625" t="s">
        <v>89</v>
      </c>
      <c r="H1625" t="s">
        <v>90</v>
      </c>
      <c r="I1625">
        <v>7</v>
      </c>
      <c r="J1625" s="3">
        <v>157</v>
      </c>
      <c r="K1625" s="2">
        <v>0.05</v>
      </c>
      <c r="L1625" s="3">
        <v>1044.05</v>
      </c>
      <c r="M1625" s="3">
        <v>118.01</v>
      </c>
      <c r="N1625" t="s">
        <v>35</v>
      </c>
      <c r="O1625" s="3"/>
      <c r="P1625" s="3"/>
    </row>
    <row r="1626" spans="1:16" x14ac:dyDescent="0.3">
      <c r="A1626" t="s">
        <v>3012</v>
      </c>
      <c r="B1626" s="9" t="s">
        <v>1609</v>
      </c>
      <c r="C1626" s="20" t="str">
        <f t="shared" si="25"/>
        <v>May</v>
      </c>
      <c r="D1626" t="s">
        <v>863</v>
      </c>
      <c r="E1626" s="10" t="s">
        <v>965</v>
      </c>
      <c r="F1626" t="s">
        <v>32</v>
      </c>
      <c r="G1626" t="s">
        <v>26</v>
      </c>
      <c r="H1626" t="s">
        <v>27</v>
      </c>
      <c r="I1626">
        <v>2</v>
      </c>
      <c r="J1626" s="3">
        <v>80.760000000000005</v>
      </c>
      <c r="K1626" s="2">
        <v>0.15</v>
      </c>
      <c r="L1626" s="3">
        <v>137.29</v>
      </c>
      <c r="M1626" s="3">
        <v>20.11</v>
      </c>
      <c r="N1626" t="s">
        <v>35</v>
      </c>
      <c r="O1626" s="3"/>
      <c r="P1626" s="3"/>
    </row>
    <row r="1627" spans="1:16" x14ac:dyDescent="0.3">
      <c r="A1627" t="s">
        <v>3013</v>
      </c>
      <c r="B1627" s="9" t="s">
        <v>493</v>
      </c>
      <c r="C1627" s="20" t="str">
        <f t="shared" si="25"/>
        <v>Jan</v>
      </c>
      <c r="D1627" t="s">
        <v>440</v>
      </c>
      <c r="E1627" s="10" t="s">
        <v>1308</v>
      </c>
      <c r="F1627" t="s">
        <v>64</v>
      </c>
      <c r="G1627" t="s">
        <v>89</v>
      </c>
      <c r="H1627" t="s">
        <v>90</v>
      </c>
      <c r="I1627">
        <v>4</v>
      </c>
      <c r="J1627" s="3">
        <v>148.35</v>
      </c>
      <c r="K1627" s="2">
        <v>0.05</v>
      </c>
      <c r="L1627" s="3">
        <v>563.73</v>
      </c>
      <c r="M1627" s="3">
        <v>48.74</v>
      </c>
      <c r="N1627" t="s">
        <v>20</v>
      </c>
      <c r="O1627" s="3"/>
      <c r="P1627" s="3"/>
    </row>
    <row r="1628" spans="1:16" x14ac:dyDescent="0.3">
      <c r="A1628" t="s">
        <v>3014</v>
      </c>
      <c r="B1628" s="9" t="s">
        <v>1018</v>
      </c>
      <c r="C1628" s="20" t="str">
        <f t="shared" si="25"/>
        <v>Jul</v>
      </c>
      <c r="D1628" t="s">
        <v>1327</v>
      </c>
      <c r="E1628" s="10" t="s">
        <v>3015</v>
      </c>
      <c r="F1628" t="s">
        <v>64</v>
      </c>
      <c r="G1628" t="s">
        <v>18</v>
      </c>
      <c r="H1628" t="s">
        <v>79</v>
      </c>
      <c r="I1628">
        <v>1</v>
      </c>
      <c r="J1628" s="3">
        <v>232.37</v>
      </c>
      <c r="K1628" s="2">
        <v>0.05</v>
      </c>
      <c r="L1628" s="3">
        <v>220.75</v>
      </c>
      <c r="M1628" s="3">
        <v>37.96</v>
      </c>
      <c r="N1628" t="s">
        <v>20</v>
      </c>
      <c r="O1628" s="3"/>
      <c r="P1628" s="3"/>
    </row>
    <row r="1629" spans="1:16" x14ac:dyDescent="0.3">
      <c r="A1629" t="s">
        <v>3016</v>
      </c>
      <c r="B1629" s="9" t="s">
        <v>1805</v>
      </c>
      <c r="C1629" s="20" t="str">
        <f t="shared" si="25"/>
        <v>May</v>
      </c>
      <c r="D1629" t="s">
        <v>174</v>
      </c>
      <c r="E1629" s="10" t="s">
        <v>2619</v>
      </c>
      <c r="F1629" t="s">
        <v>64</v>
      </c>
      <c r="G1629" t="s">
        <v>33</v>
      </c>
      <c r="H1629" t="s">
        <v>74</v>
      </c>
      <c r="I1629">
        <v>1</v>
      </c>
      <c r="J1629" s="3">
        <v>36.65</v>
      </c>
      <c r="K1629" s="2">
        <v>0.1</v>
      </c>
      <c r="L1629" s="3">
        <v>32.979999999999997</v>
      </c>
      <c r="M1629" s="3">
        <v>3.12</v>
      </c>
      <c r="N1629" t="s">
        <v>35</v>
      </c>
      <c r="O1629" s="3"/>
      <c r="P1629" s="3"/>
    </row>
    <row r="1630" spans="1:16" x14ac:dyDescent="0.3">
      <c r="A1630" t="s">
        <v>3017</v>
      </c>
      <c r="B1630" s="9" t="s">
        <v>749</v>
      </c>
      <c r="C1630" s="20" t="str">
        <f t="shared" si="25"/>
        <v>Mar</v>
      </c>
      <c r="D1630" t="s">
        <v>1074</v>
      </c>
      <c r="E1630" s="10" t="s">
        <v>2462</v>
      </c>
      <c r="F1630" t="s">
        <v>32</v>
      </c>
      <c r="G1630" t="s">
        <v>33</v>
      </c>
      <c r="H1630" t="s">
        <v>69</v>
      </c>
      <c r="I1630">
        <v>4</v>
      </c>
      <c r="J1630" s="3">
        <v>33.49</v>
      </c>
      <c r="K1630" s="2">
        <v>0</v>
      </c>
      <c r="L1630" s="3">
        <v>133.96</v>
      </c>
      <c r="M1630" s="3">
        <v>14.92</v>
      </c>
      <c r="N1630" t="s">
        <v>20</v>
      </c>
      <c r="O1630" s="3"/>
      <c r="P1630" s="3"/>
    </row>
    <row r="1631" spans="1:16" x14ac:dyDescent="0.3">
      <c r="A1631" t="s">
        <v>3018</v>
      </c>
      <c r="B1631" s="9" t="s">
        <v>412</v>
      </c>
      <c r="C1631" s="20" t="str">
        <f t="shared" si="25"/>
        <v>Feb</v>
      </c>
      <c r="D1631" t="s">
        <v>276</v>
      </c>
      <c r="E1631" s="10" t="s">
        <v>550</v>
      </c>
      <c r="F1631" t="s">
        <v>64</v>
      </c>
      <c r="G1631" t="s">
        <v>33</v>
      </c>
      <c r="H1631" t="s">
        <v>69</v>
      </c>
      <c r="I1631">
        <v>8</v>
      </c>
      <c r="J1631" s="3">
        <v>24.44</v>
      </c>
      <c r="K1631" s="2">
        <v>0.1</v>
      </c>
      <c r="L1631" s="3">
        <v>175.97</v>
      </c>
      <c r="M1631" s="3">
        <v>46.87</v>
      </c>
      <c r="N1631" t="s">
        <v>35</v>
      </c>
      <c r="O1631" s="3"/>
      <c r="P1631" s="3"/>
    </row>
    <row r="1632" spans="1:16" x14ac:dyDescent="0.3">
      <c r="A1632" t="s">
        <v>3019</v>
      </c>
      <c r="B1632" s="9" t="s">
        <v>1112</v>
      </c>
      <c r="C1632" s="20" t="str">
        <f t="shared" si="25"/>
        <v>May</v>
      </c>
      <c r="D1632" t="s">
        <v>2135</v>
      </c>
      <c r="E1632" s="10" t="s">
        <v>269</v>
      </c>
      <c r="F1632" t="s">
        <v>17</v>
      </c>
      <c r="G1632" t="s">
        <v>33</v>
      </c>
      <c r="H1632" t="s">
        <v>50</v>
      </c>
      <c r="I1632">
        <v>7</v>
      </c>
      <c r="J1632" s="3">
        <v>137.69</v>
      </c>
      <c r="K1632" s="2">
        <v>0</v>
      </c>
      <c r="L1632" s="3">
        <v>963.83</v>
      </c>
      <c r="M1632" s="3">
        <v>281.26</v>
      </c>
      <c r="N1632" t="s">
        <v>40</v>
      </c>
      <c r="O1632" s="3"/>
      <c r="P1632" s="3"/>
    </row>
    <row r="1633" spans="1:16" x14ac:dyDescent="0.3">
      <c r="A1633" t="s">
        <v>3020</v>
      </c>
      <c r="B1633" s="9" t="s">
        <v>412</v>
      </c>
      <c r="C1633" s="20" t="str">
        <f t="shared" si="25"/>
        <v>Feb</v>
      </c>
      <c r="D1633" t="s">
        <v>1006</v>
      </c>
      <c r="E1633" s="10" t="s">
        <v>3021</v>
      </c>
      <c r="F1633" t="s">
        <v>25</v>
      </c>
      <c r="G1633" t="s">
        <v>33</v>
      </c>
      <c r="H1633" t="s">
        <v>50</v>
      </c>
      <c r="I1633">
        <v>4</v>
      </c>
      <c r="J1633" s="3">
        <v>225.46</v>
      </c>
      <c r="K1633" s="2">
        <v>0.05</v>
      </c>
      <c r="L1633" s="3">
        <v>856.75</v>
      </c>
      <c r="M1633" s="3">
        <v>165.84</v>
      </c>
      <c r="N1633" t="s">
        <v>35</v>
      </c>
      <c r="O1633" s="3"/>
      <c r="P1633" s="3"/>
    </row>
    <row r="1634" spans="1:16" x14ac:dyDescent="0.3">
      <c r="A1634" t="s">
        <v>3024</v>
      </c>
      <c r="B1634" s="9" t="s">
        <v>1696</v>
      </c>
      <c r="C1634" s="20" t="str">
        <f t="shared" si="25"/>
        <v>Jun</v>
      </c>
      <c r="D1634" t="s">
        <v>1385</v>
      </c>
      <c r="E1634" s="10" t="s">
        <v>1224</v>
      </c>
      <c r="F1634" t="s">
        <v>59</v>
      </c>
      <c r="G1634" t="s">
        <v>18</v>
      </c>
      <c r="H1634" t="s">
        <v>45</v>
      </c>
      <c r="I1634">
        <v>3</v>
      </c>
      <c r="J1634" s="3">
        <v>169.43</v>
      </c>
      <c r="K1634" s="2">
        <v>0.15</v>
      </c>
      <c r="L1634" s="3">
        <v>432.05</v>
      </c>
      <c r="M1634" s="3">
        <v>36.32</v>
      </c>
      <c r="N1634" t="s">
        <v>20</v>
      </c>
      <c r="O1634" s="3"/>
      <c r="P1634" s="3"/>
    </row>
    <row r="1635" spans="1:16" x14ac:dyDescent="0.3">
      <c r="A1635" t="s">
        <v>3025</v>
      </c>
      <c r="B1635" s="9" t="s">
        <v>712</v>
      </c>
      <c r="C1635" s="20" t="str">
        <f t="shared" si="25"/>
        <v>Jul</v>
      </c>
      <c r="D1635" t="s">
        <v>1110</v>
      </c>
      <c r="E1635" s="10" t="s">
        <v>2118</v>
      </c>
      <c r="F1635" t="s">
        <v>32</v>
      </c>
      <c r="G1635" t="s">
        <v>26</v>
      </c>
      <c r="H1635" t="s">
        <v>118</v>
      </c>
      <c r="I1635">
        <v>7</v>
      </c>
      <c r="J1635" s="3">
        <v>132.66999999999999</v>
      </c>
      <c r="K1635" s="2">
        <v>0.05</v>
      </c>
      <c r="L1635" s="3">
        <v>882.26</v>
      </c>
      <c r="M1635" s="3">
        <v>226.87</v>
      </c>
      <c r="N1635" t="s">
        <v>40</v>
      </c>
      <c r="O1635" s="3"/>
      <c r="P1635" s="3"/>
    </row>
    <row r="1636" spans="1:16" x14ac:dyDescent="0.3">
      <c r="A1636" t="s">
        <v>3026</v>
      </c>
      <c r="B1636" s="9" t="s">
        <v>850</v>
      </c>
      <c r="C1636" s="20" t="str">
        <f t="shared" si="25"/>
        <v>Mar</v>
      </c>
      <c r="D1636" t="s">
        <v>1433</v>
      </c>
      <c r="E1636" s="10" t="s">
        <v>1001</v>
      </c>
      <c r="F1636" t="s">
        <v>25</v>
      </c>
      <c r="G1636" t="s">
        <v>33</v>
      </c>
      <c r="H1636" t="s">
        <v>50</v>
      </c>
      <c r="I1636">
        <v>8</v>
      </c>
      <c r="J1636" s="3">
        <v>58.35</v>
      </c>
      <c r="K1636" s="2">
        <v>0.15</v>
      </c>
      <c r="L1636" s="3">
        <v>396.78</v>
      </c>
      <c r="M1636" s="3">
        <v>101.06</v>
      </c>
      <c r="N1636" t="s">
        <v>20</v>
      </c>
      <c r="O1636" s="3"/>
      <c r="P1636" s="3"/>
    </row>
    <row r="1637" spans="1:16" x14ac:dyDescent="0.3">
      <c r="A1637" t="s">
        <v>3027</v>
      </c>
      <c r="B1637" s="9" t="s">
        <v>788</v>
      </c>
      <c r="C1637" s="20" t="str">
        <f t="shared" si="25"/>
        <v>May</v>
      </c>
      <c r="D1637" t="s">
        <v>1487</v>
      </c>
      <c r="E1637" s="10" t="s">
        <v>934</v>
      </c>
      <c r="F1637" t="s">
        <v>59</v>
      </c>
      <c r="G1637" t="s">
        <v>18</v>
      </c>
      <c r="H1637" t="s">
        <v>19</v>
      </c>
      <c r="I1637">
        <v>7</v>
      </c>
      <c r="J1637" s="3">
        <v>43.61</v>
      </c>
      <c r="K1637" s="2">
        <v>0.05</v>
      </c>
      <c r="L1637" s="3">
        <v>290.01</v>
      </c>
      <c r="M1637" s="3">
        <v>85.92</v>
      </c>
      <c r="N1637" t="s">
        <v>40</v>
      </c>
      <c r="O1637" s="3"/>
      <c r="P1637" s="3"/>
    </row>
    <row r="1638" spans="1:16" x14ac:dyDescent="0.3">
      <c r="A1638" t="s">
        <v>3028</v>
      </c>
      <c r="B1638" s="9" t="s">
        <v>676</v>
      </c>
      <c r="C1638" s="20" t="str">
        <f t="shared" si="25"/>
        <v>Dec</v>
      </c>
      <c r="D1638" t="s">
        <v>637</v>
      </c>
      <c r="E1638" s="10" t="s">
        <v>621</v>
      </c>
      <c r="F1638" t="s">
        <v>64</v>
      </c>
      <c r="G1638" t="s">
        <v>26</v>
      </c>
      <c r="H1638" t="s">
        <v>27</v>
      </c>
      <c r="I1638">
        <v>7</v>
      </c>
      <c r="J1638" s="3">
        <v>185.85</v>
      </c>
      <c r="K1638" s="2">
        <v>0.05</v>
      </c>
      <c r="L1638" s="3">
        <v>1235.9000000000001</v>
      </c>
      <c r="M1638" s="3">
        <v>146.63</v>
      </c>
      <c r="N1638" t="s">
        <v>35</v>
      </c>
      <c r="O1638" s="3"/>
      <c r="P1638" s="3"/>
    </row>
    <row r="1639" spans="1:16" x14ac:dyDescent="0.3">
      <c r="A1639" t="s">
        <v>3029</v>
      </c>
      <c r="B1639" s="9" t="s">
        <v>1489</v>
      </c>
      <c r="C1639" s="20" t="str">
        <f t="shared" si="25"/>
        <v>Jun</v>
      </c>
      <c r="D1639" t="s">
        <v>1422</v>
      </c>
      <c r="E1639" s="10" t="s">
        <v>648</v>
      </c>
      <c r="F1639" t="s">
        <v>17</v>
      </c>
      <c r="G1639" t="s">
        <v>26</v>
      </c>
      <c r="H1639" t="s">
        <v>118</v>
      </c>
      <c r="I1639">
        <v>5</v>
      </c>
      <c r="J1639" s="3">
        <v>78.05</v>
      </c>
      <c r="K1639" s="2">
        <v>0.05</v>
      </c>
      <c r="L1639" s="3">
        <v>370.74</v>
      </c>
      <c r="M1639" s="3">
        <v>56.17</v>
      </c>
      <c r="N1639" t="s">
        <v>40</v>
      </c>
      <c r="O1639" s="3"/>
      <c r="P1639" s="3"/>
    </row>
    <row r="1640" spans="1:16" x14ac:dyDescent="0.3">
      <c r="A1640" t="s">
        <v>3030</v>
      </c>
      <c r="B1640" s="9" t="s">
        <v>1029</v>
      </c>
      <c r="C1640" s="20" t="str">
        <f t="shared" si="25"/>
        <v>Dec</v>
      </c>
      <c r="D1640" t="s">
        <v>1728</v>
      </c>
      <c r="E1640" s="10" t="s">
        <v>1103</v>
      </c>
      <c r="F1640" t="s">
        <v>32</v>
      </c>
      <c r="G1640" t="s">
        <v>33</v>
      </c>
      <c r="H1640" t="s">
        <v>69</v>
      </c>
      <c r="I1640">
        <v>1</v>
      </c>
      <c r="J1640" s="3">
        <v>18.93</v>
      </c>
      <c r="K1640" s="2">
        <v>0.05</v>
      </c>
      <c r="L1640" s="3">
        <v>17.98</v>
      </c>
      <c r="M1640" s="3">
        <v>2.61</v>
      </c>
      <c r="N1640" t="s">
        <v>20</v>
      </c>
      <c r="O1640" s="3"/>
      <c r="P1640" s="3"/>
    </row>
    <row r="1641" spans="1:16" x14ac:dyDescent="0.3">
      <c r="A1641" t="s">
        <v>3031</v>
      </c>
      <c r="B1641" s="9" t="s">
        <v>1381</v>
      </c>
      <c r="C1641" s="20" t="str">
        <f t="shared" si="25"/>
        <v>May</v>
      </c>
      <c r="D1641" t="s">
        <v>1451</v>
      </c>
      <c r="E1641" s="10" t="s">
        <v>2978</v>
      </c>
      <c r="F1641" t="s">
        <v>59</v>
      </c>
      <c r="G1641" t="s">
        <v>18</v>
      </c>
      <c r="H1641" t="s">
        <v>45</v>
      </c>
      <c r="I1641">
        <v>2</v>
      </c>
      <c r="J1641" s="3">
        <v>127.31</v>
      </c>
      <c r="K1641" s="2">
        <v>0.1</v>
      </c>
      <c r="L1641" s="3">
        <v>229.16</v>
      </c>
      <c r="M1641" s="3">
        <v>21.28</v>
      </c>
      <c r="N1641" t="s">
        <v>40</v>
      </c>
      <c r="O1641" s="3"/>
      <c r="P1641" s="3"/>
    </row>
    <row r="1642" spans="1:16" x14ac:dyDescent="0.3">
      <c r="A1642" t="s">
        <v>3032</v>
      </c>
      <c r="B1642" s="9" t="s">
        <v>1931</v>
      </c>
      <c r="C1642" s="20" t="str">
        <f t="shared" si="25"/>
        <v>Jul</v>
      </c>
      <c r="D1642" t="s">
        <v>134</v>
      </c>
      <c r="E1642" s="10" t="s">
        <v>761</v>
      </c>
      <c r="F1642" t="s">
        <v>59</v>
      </c>
      <c r="G1642" t="s">
        <v>26</v>
      </c>
      <c r="H1642" t="s">
        <v>27</v>
      </c>
      <c r="I1642">
        <v>3</v>
      </c>
      <c r="J1642" s="3">
        <v>223.05</v>
      </c>
      <c r="K1642" s="2">
        <v>0.05</v>
      </c>
      <c r="L1642" s="3">
        <v>635.69000000000005</v>
      </c>
      <c r="M1642" s="3">
        <v>126.17</v>
      </c>
      <c r="N1642" t="s">
        <v>20</v>
      </c>
      <c r="O1642" s="3"/>
      <c r="P1642" s="3"/>
    </row>
    <row r="1643" spans="1:16" x14ac:dyDescent="0.3">
      <c r="A1643" t="s">
        <v>3033</v>
      </c>
      <c r="B1643" s="9" t="s">
        <v>128</v>
      </c>
      <c r="C1643" s="20" t="str">
        <f t="shared" si="25"/>
        <v>Jul</v>
      </c>
      <c r="D1643" t="s">
        <v>2916</v>
      </c>
      <c r="E1643" s="10" t="s">
        <v>1803</v>
      </c>
      <c r="F1643" t="s">
        <v>17</v>
      </c>
      <c r="G1643" t="s">
        <v>26</v>
      </c>
      <c r="H1643" t="s">
        <v>84</v>
      </c>
      <c r="I1643">
        <v>4</v>
      </c>
      <c r="J1643" s="3">
        <v>193</v>
      </c>
      <c r="K1643" s="2">
        <v>0.1</v>
      </c>
      <c r="L1643" s="3">
        <v>694.8</v>
      </c>
      <c r="M1643" s="3">
        <v>161.32</v>
      </c>
      <c r="N1643" t="s">
        <v>40</v>
      </c>
      <c r="O1643" s="3"/>
      <c r="P1643" s="3"/>
    </row>
    <row r="1644" spans="1:16" x14ac:dyDescent="0.3">
      <c r="A1644" t="s">
        <v>3034</v>
      </c>
      <c r="B1644" s="9" t="s">
        <v>2151</v>
      </c>
      <c r="C1644" s="20" t="str">
        <f t="shared" si="25"/>
        <v>Jul</v>
      </c>
      <c r="D1644" t="s">
        <v>1646</v>
      </c>
      <c r="E1644" s="10" t="s">
        <v>363</v>
      </c>
      <c r="F1644" t="s">
        <v>25</v>
      </c>
      <c r="G1644" t="s">
        <v>89</v>
      </c>
      <c r="H1644" t="s">
        <v>90</v>
      </c>
      <c r="I1644">
        <v>6</v>
      </c>
      <c r="J1644" s="3">
        <v>218.75</v>
      </c>
      <c r="K1644" s="2">
        <v>0</v>
      </c>
      <c r="L1644" s="3">
        <v>1312.5</v>
      </c>
      <c r="M1644" s="3">
        <v>149.80000000000001</v>
      </c>
      <c r="N1644" t="s">
        <v>40</v>
      </c>
      <c r="O1644" s="3"/>
      <c r="P1644" s="3"/>
    </row>
    <row r="1645" spans="1:16" x14ac:dyDescent="0.3">
      <c r="A1645" t="s">
        <v>3035</v>
      </c>
      <c r="B1645" s="9" t="s">
        <v>1931</v>
      </c>
      <c r="C1645" s="20" t="str">
        <f t="shared" si="25"/>
        <v>Jul</v>
      </c>
      <c r="D1645" t="s">
        <v>2048</v>
      </c>
      <c r="E1645" s="10" t="s">
        <v>2805</v>
      </c>
      <c r="F1645" t="s">
        <v>25</v>
      </c>
      <c r="G1645" t="s">
        <v>89</v>
      </c>
      <c r="H1645" t="s">
        <v>150</v>
      </c>
      <c r="I1645">
        <v>4</v>
      </c>
      <c r="J1645" s="3">
        <v>40.26</v>
      </c>
      <c r="K1645" s="2">
        <v>0.1</v>
      </c>
      <c r="L1645" s="3">
        <v>144.94</v>
      </c>
      <c r="M1645" s="3">
        <v>17.309999999999999</v>
      </c>
      <c r="N1645" t="s">
        <v>35</v>
      </c>
      <c r="O1645" s="3"/>
      <c r="P1645" s="3"/>
    </row>
    <row r="1646" spans="1:16" x14ac:dyDescent="0.3">
      <c r="A1646" t="s">
        <v>3036</v>
      </c>
      <c r="B1646" s="9" t="s">
        <v>1868</v>
      </c>
      <c r="C1646" s="20" t="str">
        <f t="shared" si="25"/>
        <v>Nov</v>
      </c>
      <c r="D1646" t="s">
        <v>160</v>
      </c>
      <c r="E1646" s="10" t="s">
        <v>1224</v>
      </c>
      <c r="F1646" t="s">
        <v>59</v>
      </c>
      <c r="G1646" t="s">
        <v>26</v>
      </c>
      <c r="H1646" t="s">
        <v>84</v>
      </c>
      <c r="I1646">
        <v>2</v>
      </c>
      <c r="J1646" s="3">
        <v>219.57</v>
      </c>
      <c r="K1646" s="2">
        <v>0.05</v>
      </c>
      <c r="L1646" s="3">
        <v>417.18</v>
      </c>
      <c r="M1646" s="3">
        <v>113.97</v>
      </c>
      <c r="N1646" t="s">
        <v>20</v>
      </c>
      <c r="O1646" s="3"/>
      <c r="P1646" s="3"/>
    </row>
    <row r="1647" spans="1:16" x14ac:dyDescent="0.3">
      <c r="A1647" t="s">
        <v>3037</v>
      </c>
      <c r="B1647" s="9" t="s">
        <v>191</v>
      </c>
      <c r="C1647" s="20" t="str">
        <f t="shared" si="25"/>
        <v>Apr</v>
      </c>
      <c r="D1647" t="s">
        <v>1006</v>
      </c>
      <c r="E1647" s="10" t="s">
        <v>2279</v>
      </c>
      <c r="F1647" t="s">
        <v>64</v>
      </c>
      <c r="G1647" t="s">
        <v>18</v>
      </c>
      <c r="H1647" t="s">
        <v>79</v>
      </c>
      <c r="I1647">
        <v>7</v>
      </c>
      <c r="J1647" s="3">
        <v>65.92</v>
      </c>
      <c r="K1647" s="2">
        <v>0.1</v>
      </c>
      <c r="L1647" s="3">
        <v>415.3</v>
      </c>
      <c r="M1647" s="3">
        <v>77.33</v>
      </c>
      <c r="N1647" t="s">
        <v>40</v>
      </c>
      <c r="O1647" s="3"/>
      <c r="P1647" s="3"/>
    </row>
    <row r="1648" spans="1:16" x14ac:dyDescent="0.3">
      <c r="A1648" t="s">
        <v>3038</v>
      </c>
      <c r="B1648" s="9" t="s">
        <v>823</v>
      </c>
      <c r="C1648" s="20" t="str">
        <f t="shared" si="25"/>
        <v>Apr</v>
      </c>
      <c r="D1648" t="s">
        <v>2396</v>
      </c>
      <c r="E1648" s="10" t="s">
        <v>1689</v>
      </c>
      <c r="F1648" t="s">
        <v>17</v>
      </c>
      <c r="G1648" t="s">
        <v>33</v>
      </c>
      <c r="H1648" t="s">
        <v>74</v>
      </c>
      <c r="I1648">
        <v>3</v>
      </c>
      <c r="J1648" s="3">
        <v>44.76</v>
      </c>
      <c r="K1648" s="2">
        <v>0.05</v>
      </c>
      <c r="L1648" s="3">
        <v>127.57</v>
      </c>
      <c r="M1648" s="3">
        <v>17.670000000000002</v>
      </c>
      <c r="N1648" t="s">
        <v>35</v>
      </c>
      <c r="O1648" s="3"/>
      <c r="P1648" s="3"/>
    </row>
    <row r="1649" spans="1:16" x14ac:dyDescent="0.3">
      <c r="A1649" t="s">
        <v>3039</v>
      </c>
      <c r="B1649" s="9" t="s">
        <v>100</v>
      </c>
      <c r="C1649" s="20" t="str">
        <f t="shared" si="25"/>
        <v>Jul</v>
      </c>
      <c r="D1649" t="s">
        <v>627</v>
      </c>
      <c r="E1649" s="10" t="s">
        <v>2193</v>
      </c>
      <c r="F1649" t="s">
        <v>17</v>
      </c>
      <c r="G1649" t="s">
        <v>33</v>
      </c>
      <c r="H1649" t="s">
        <v>50</v>
      </c>
      <c r="I1649">
        <v>5</v>
      </c>
      <c r="J1649" s="3">
        <v>156.21</v>
      </c>
      <c r="K1649" s="2">
        <v>0</v>
      </c>
      <c r="L1649" s="3">
        <v>781.05</v>
      </c>
      <c r="M1649" s="3">
        <v>155.57</v>
      </c>
      <c r="N1649" t="s">
        <v>20</v>
      </c>
      <c r="O1649" s="3"/>
      <c r="P1649" s="3"/>
    </row>
    <row r="1650" spans="1:16" x14ac:dyDescent="0.3">
      <c r="A1650" t="s">
        <v>3040</v>
      </c>
      <c r="B1650" s="9" t="s">
        <v>1441</v>
      </c>
      <c r="C1650" s="20" t="str">
        <f t="shared" si="25"/>
        <v>Apr</v>
      </c>
      <c r="D1650" t="s">
        <v>389</v>
      </c>
      <c r="E1650" s="10" t="s">
        <v>130</v>
      </c>
      <c r="F1650" t="s">
        <v>59</v>
      </c>
      <c r="G1650" t="s">
        <v>33</v>
      </c>
      <c r="H1650" t="s">
        <v>50</v>
      </c>
      <c r="I1650">
        <v>7</v>
      </c>
      <c r="J1650" s="3">
        <v>237.1</v>
      </c>
      <c r="K1650" s="2">
        <v>0</v>
      </c>
      <c r="L1650" s="3">
        <v>1659.7</v>
      </c>
      <c r="M1650" s="3">
        <v>182.93</v>
      </c>
      <c r="N1650" t="s">
        <v>40</v>
      </c>
      <c r="O1650" s="3"/>
      <c r="P1650" s="3"/>
    </row>
    <row r="1651" spans="1:16" x14ac:dyDescent="0.3">
      <c r="A1651" t="s">
        <v>3041</v>
      </c>
      <c r="B1651" s="9" t="s">
        <v>690</v>
      </c>
      <c r="C1651" s="20" t="str">
        <f t="shared" si="25"/>
        <v>Jul</v>
      </c>
      <c r="D1651" t="s">
        <v>1700</v>
      </c>
      <c r="E1651" s="10" t="s">
        <v>898</v>
      </c>
      <c r="F1651" t="s">
        <v>64</v>
      </c>
      <c r="G1651" t="s">
        <v>89</v>
      </c>
      <c r="H1651" t="s">
        <v>131</v>
      </c>
      <c r="I1651">
        <v>6</v>
      </c>
      <c r="J1651" s="3">
        <v>77.42</v>
      </c>
      <c r="K1651" s="2">
        <v>0</v>
      </c>
      <c r="L1651" s="3">
        <v>464.52</v>
      </c>
      <c r="M1651" s="3">
        <v>80.430000000000007</v>
      </c>
      <c r="N1651" t="s">
        <v>40</v>
      </c>
      <c r="O1651" s="3"/>
      <c r="P1651" s="3"/>
    </row>
    <row r="1652" spans="1:16" x14ac:dyDescent="0.3">
      <c r="A1652" t="s">
        <v>3042</v>
      </c>
      <c r="B1652" s="9" t="s">
        <v>643</v>
      </c>
      <c r="C1652" s="20" t="str">
        <f t="shared" si="25"/>
        <v>Aug</v>
      </c>
      <c r="D1652" t="s">
        <v>2208</v>
      </c>
      <c r="E1652" s="10" t="s">
        <v>1603</v>
      </c>
      <c r="F1652" t="s">
        <v>32</v>
      </c>
      <c r="G1652" t="s">
        <v>89</v>
      </c>
      <c r="H1652" t="s">
        <v>131</v>
      </c>
      <c r="I1652">
        <v>5</v>
      </c>
      <c r="J1652" s="3">
        <v>37.65</v>
      </c>
      <c r="K1652" s="2">
        <v>0</v>
      </c>
      <c r="L1652" s="3">
        <v>188.25</v>
      </c>
      <c r="M1652" s="3">
        <v>25.43</v>
      </c>
      <c r="N1652" t="s">
        <v>35</v>
      </c>
      <c r="O1652" s="3"/>
      <c r="P1652" s="3"/>
    </row>
    <row r="1653" spans="1:16" x14ac:dyDescent="0.3">
      <c r="A1653" t="s">
        <v>3043</v>
      </c>
      <c r="B1653" s="9" t="s">
        <v>286</v>
      </c>
      <c r="C1653" s="20" t="str">
        <f t="shared" si="25"/>
        <v>Mar</v>
      </c>
      <c r="D1653" t="s">
        <v>737</v>
      </c>
      <c r="E1653" s="10" t="s">
        <v>83</v>
      </c>
      <c r="F1653" t="s">
        <v>25</v>
      </c>
      <c r="G1653" t="s">
        <v>26</v>
      </c>
      <c r="H1653" t="s">
        <v>84</v>
      </c>
      <c r="I1653">
        <v>7</v>
      </c>
      <c r="J1653" s="3">
        <v>187.07</v>
      </c>
      <c r="K1653" s="2">
        <v>0.05</v>
      </c>
      <c r="L1653" s="3">
        <v>1244.02</v>
      </c>
      <c r="M1653" s="3">
        <v>196.01</v>
      </c>
      <c r="N1653" t="s">
        <v>40</v>
      </c>
      <c r="O1653" s="3"/>
      <c r="P1653" s="3"/>
    </row>
    <row r="1654" spans="1:16" x14ac:dyDescent="0.3">
      <c r="A1654" t="s">
        <v>3044</v>
      </c>
      <c r="B1654" s="9" t="s">
        <v>229</v>
      </c>
      <c r="C1654" s="20" t="str">
        <f t="shared" si="25"/>
        <v>Jul</v>
      </c>
      <c r="D1654" t="s">
        <v>886</v>
      </c>
      <c r="E1654" s="10" t="s">
        <v>910</v>
      </c>
      <c r="F1654" t="s">
        <v>17</v>
      </c>
      <c r="G1654" t="s">
        <v>33</v>
      </c>
      <c r="H1654" t="s">
        <v>74</v>
      </c>
      <c r="I1654">
        <v>1</v>
      </c>
      <c r="J1654" s="3">
        <v>106.88</v>
      </c>
      <c r="K1654" s="2">
        <v>0.15</v>
      </c>
      <c r="L1654" s="3">
        <v>90.85</v>
      </c>
      <c r="M1654" s="3">
        <v>13.74</v>
      </c>
      <c r="N1654" t="s">
        <v>35</v>
      </c>
      <c r="O1654" s="3"/>
      <c r="P1654" s="3"/>
    </row>
    <row r="1655" spans="1:16" x14ac:dyDescent="0.3">
      <c r="A1655" t="s">
        <v>3045</v>
      </c>
      <c r="B1655" s="9" t="s">
        <v>782</v>
      </c>
      <c r="C1655" s="20" t="str">
        <f t="shared" si="25"/>
        <v>Jan</v>
      </c>
      <c r="D1655" t="s">
        <v>2416</v>
      </c>
      <c r="E1655" s="10" t="s">
        <v>452</v>
      </c>
      <c r="F1655" t="s">
        <v>25</v>
      </c>
      <c r="G1655" t="s">
        <v>89</v>
      </c>
      <c r="H1655" t="s">
        <v>90</v>
      </c>
      <c r="I1655">
        <v>4</v>
      </c>
      <c r="J1655" s="3">
        <v>239.93</v>
      </c>
      <c r="K1655" s="2">
        <v>0.1</v>
      </c>
      <c r="L1655" s="3">
        <v>863.75</v>
      </c>
      <c r="M1655" s="3">
        <v>102.18</v>
      </c>
      <c r="N1655" t="s">
        <v>20</v>
      </c>
      <c r="O1655" s="3"/>
      <c r="P1655" s="3"/>
    </row>
    <row r="1656" spans="1:16" x14ac:dyDescent="0.3">
      <c r="A1656" t="s">
        <v>3046</v>
      </c>
      <c r="B1656" s="9" t="s">
        <v>1187</v>
      </c>
      <c r="C1656" s="20" t="str">
        <f t="shared" si="25"/>
        <v>May</v>
      </c>
      <c r="D1656" t="s">
        <v>1079</v>
      </c>
      <c r="E1656" s="10" t="s">
        <v>2118</v>
      </c>
      <c r="F1656" t="s">
        <v>25</v>
      </c>
      <c r="G1656" t="s">
        <v>89</v>
      </c>
      <c r="H1656" t="s">
        <v>131</v>
      </c>
      <c r="I1656">
        <v>6</v>
      </c>
      <c r="J1656" s="3">
        <v>47.91</v>
      </c>
      <c r="K1656" s="2">
        <v>0</v>
      </c>
      <c r="L1656" s="3">
        <v>287.45999999999998</v>
      </c>
      <c r="M1656" s="3">
        <v>79.12</v>
      </c>
      <c r="N1656" t="s">
        <v>40</v>
      </c>
      <c r="O1656" s="3"/>
      <c r="P1656" s="3"/>
    </row>
    <row r="1657" spans="1:16" x14ac:dyDescent="0.3">
      <c r="A1657" t="s">
        <v>3047</v>
      </c>
      <c r="B1657" s="9" t="s">
        <v>1105</v>
      </c>
      <c r="C1657" s="20" t="str">
        <f t="shared" si="25"/>
        <v>Oct</v>
      </c>
      <c r="D1657" t="s">
        <v>778</v>
      </c>
      <c r="E1657" s="10" t="s">
        <v>1056</v>
      </c>
      <c r="F1657" t="s">
        <v>17</v>
      </c>
      <c r="G1657" t="s">
        <v>33</v>
      </c>
      <c r="H1657" t="s">
        <v>34</v>
      </c>
      <c r="I1657">
        <v>5</v>
      </c>
      <c r="J1657" s="3">
        <v>68.540000000000006</v>
      </c>
      <c r="K1657" s="2">
        <v>0.1</v>
      </c>
      <c r="L1657" s="3">
        <v>308.43</v>
      </c>
      <c r="M1657" s="3">
        <v>45.56</v>
      </c>
      <c r="N1657" t="s">
        <v>20</v>
      </c>
      <c r="O1657" s="3"/>
      <c r="P1657" s="3"/>
    </row>
    <row r="1658" spans="1:16" x14ac:dyDescent="0.3">
      <c r="A1658" t="s">
        <v>3048</v>
      </c>
      <c r="B1658" s="9" t="s">
        <v>500</v>
      </c>
      <c r="C1658" s="20" t="str">
        <f t="shared" si="25"/>
        <v>Nov</v>
      </c>
      <c r="D1658" t="s">
        <v>1391</v>
      </c>
      <c r="E1658" s="10" t="s">
        <v>300</v>
      </c>
      <c r="F1658" t="s">
        <v>17</v>
      </c>
      <c r="G1658" t="s">
        <v>26</v>
      </c>
      <c r="H1658" t="s">
        <v>118</v>
      </c>
      <c r="I1658">
        <v>6</v>
      </c>
      <c r="J1658" s="3">
        <v>235.42</v>
      </c>
      <c r="K1658" s="2">
        <v>0.05</v>
      </c>
      <c r="L1658" s="3">
        <v>1341.89</v>
      </c>
      <c r="M1658" s="3">
        <v>243.28</v>
      </c>
      <c r="N1658" t="s">
        <v>20</v>
      </c>
      <c r="O1658" s="3"/>
      <c r="P1658" s="3"/>
    </row>
    <row r="1659" spans="1:16" x14ac:dyDescent="0.3">
      <c r="A1659" t="s">
        <v>3051</v>
      </c>
      <c r="B1659" s="9" t="s">
        <v>404</v>
      </c>
      <c r="C1659" s="20" t="str">
        <f t="shared" si="25"/>
        <v>Feb</v>
      </c>
      <c r="D1659" t="s">
        <v>2241</v>
      </c>
      <c r="E1659" s="10" t="s">
        <v>455</v>
      </c>
      <c r="F1659" t="s">
        <v>59</v>
      </c>
      <c r="G1659" t="s">
        <v>33</v>
      </c>
      <c r="H1659" t="s">
        <v>34</v>
      </c>
      <c r="I1659">
        <v>6</v>
      </c>
      <c r="J1659" s="3">
        <v>65.11</v>
      </c>
      <c r="K1659" s="2">
        <v>0</v>
      </c>
      <c r="L1659" s="3">
        <v>390.66</v>
      </c>
      <c r="M1659" s="3">
        <v>53.9</v>
      </c>
      <c r="N1659" t="s">
        <v>40</v>
      </c>
      <c r="O1659" s="3"/>
      <c r="P1659" s="3"/>
    </row>
    <row r="1660" spans="1:16" x14ac:dyDescent="0.3">
      <c r="A1660" t="s">
        <v>3052</v>
      </c>
      <c r="B1660" s="9" t="s">
        <v>1055</v>
      </c>
      <c r="C1660" s="20" t="str">
        <f t="shared" si="25"/>
        <v>Aug</v>
      </c>
      <c r="D1660" t="s">
        <v>2122</v>
      </c>
      <c r="E1660" s="10" t="s">
        <v>854</v>
      </c>
      <c r="F1660" t="s">
        <v>59</v>
      </c>
      <c r="G1660" t="s">
        <v>33</v>
      </c>
      <c r="H1660" t="s">
        <v>74</v>
      </c>
      <c r="I1660">
        <v>1</v>
      </c>
      <c r="J1660" s="3">
        <v>182.04</v>
      </c>
      <c r="K1660" s="2">
        <v>0.05</v>
      </c>
      <c r="L1660" s="3">
        <v>172.94</v>
      </c>
      <c r="M1660" s="3">
        <v>39.869999999999997</v>
      </c>
      <c r="N1660" t="s">
        <v>40</v>
      </c>
      <c r="O1660" s="3"/>
      <c r="P1660" s="3"/>
    </row>
    <row r="1661" spans="1:16" x14ac:dyDescent="0.3">
      <c r="A1661" t="s">
        <v>3053</v>
      </c>
      <c r="B1661" s="9" t="s">
        <v>712</v>
      </c>
      <c r="C1661" s="20" t="str">
        <f t="shared" si="25"/>
        <v>Jul</v>
      </c>
      <c r="D1661" t="s">
        <v>171</v>
      </c>
      <c r="E1661" s="10" t="s">
        <v>1468</v>
      </c>
      <c r="F1661" t="s">
        <v>17</v>
      </c>
      <c r="G1661" t="s">
        <v>26</v>
      </c>
      <c r="H1661" t="s">
        <v>27</v>
      </c>
      <c r="I1661">
        <v>7</v>
      </c>
      <c r="J1661" s="3">
        <v>111.89</v>
      </c>
      <c r="K1661" s="2">
        <v>0.05</v>
      </c>
      <c r="L1661" s="3">
        <v>744.07</v>
      </c>
      <c r="M1661" s="3">
        <v>176.22</v>
      </c>
      <c r="N1661" t="s">
        <v>40</v>
      </c>
      <c r="O1661" s="3"/>
      <c r="P1661" s="3"/>
    </row>
    <row r="1662" spans="1:16" x14ac:dyDescent="0.3">
      <c r="A1662" t="s">
        <v>3054</v>
      </c>
      <c r="B1662" s="9" t="s">
        <v>1418</v>
      </c>
      <c r="C1662" s="20" t="str">
        <f t="shared" si="25"/>
        <v>Sep</v>
      </c>
      <c r="D1662" t="s">
        <v>807</v>
      </c>
      <c r="E1662" s="10" t="s">
        <v>109</v>
      </c>
      <c r="F1662" t="s">
        <v>64</v>
      </c>
      <c r="G1662" t="s">
        <v>89</v>
      </c>
      <c r="H1662" t="s">
        <v>150</v>
      </c>
      <c r="I1662">
        <v>4</v>
      </c>
      <c r="J1662" s="3">
        <v>165.42</v>
      </c>
      <c r="K1662" s="2">
        <v>0</v>
      </c>
      <c r="L1662" s="3">
        <v>661.68</v>
      </c>
      <c r="M1662" s="3">
        <v>145.22</v>
      </c>
      <c r="N1662" t="s">
        <v>40</v>
      </c>
      <c r="O1662" s="3"/>
      <c r="P1662" s="3"/>
    </row>
    <row r="1663" spans="1:16" x14ac:dyDescent="0.3">
      <c r="A1663" t="s">
        <v>3055</v>
      </c>
      <c r="B1663" s="9" t="s">
        <v>1557</v>
      </c>
      <c r="C1663" s="20" t="str">
        <f t="shared" si="25"/>
        <v>Jun</v>
      </c>
      <c r="D1663" t="s">
        <v>291</v>
      </c>
      <c r="E1663" s="10" t="s">
        <v>1286</v>
      </c>
      <c r="F1663" t="s">
        <v>25</v>
      </c>
      <c r="G1663" t="s">
        <v>89</v>
      </c>
      <c r="H1663" t="s">
        <v>150</v>
      </c>
      <c r="I1663">
        <v>8</v>
      </c>
      <c r="J1663" s="3">
        <v>52.25</v>
      </c>
      <c r="K1663" s="2">
        <v>0.05</v>
      </c>
      <c r="L1663" s="3">
        <v>397.1</v>
      </c>
      <c r="M1663" s="3">
        <v>50.61</v>
      </c>
      <c r="N1663" t="s">
        <v>20</v>
      </c>
      <c r="O1663" s="3"/>
      <c r="P1663" s="3"/>
    </row>
    <row r="1664" spans="1:16" x14ac:dyDescent="0.3">
      <c r="A1664" t="s">
        <v>3056</v>
      </c>
      <c r="B1664" s="9" t="s">
        <v>1581</v>
      </c>
      <c r="C1664" s="20" t="str">
        <f t="shared" si="25"/>
        <v>May</v>
      </c>
      <c r="D1664" t="s">
        <v>3057</v>
      </c>
      <c r="E1664" s="10" t="s">
        <v>376</v>
      </c>
      <c r="F1664" t="s">
        <v>17</v>
      </c>
      <c r="G1664" t="s">
        <v>26</v>
      </c>
      <c r="H1664" t="s">
        <v>84</v>
      </c>
      <c r="I1664">
        <v>7</v>
      </c>
      <c r="J1664" s="3">
        <v>200.77</v>
      </c>
      <c r="K1664" s="2">
        <v>0.15</v>
      </c>
      <c r="L1664" s="3">
        <v>1194.58</v>
      </c>
      <c r="M1664" s="3">
        <v>197.42</v>
      </c>
      <c r="N1664" t="s">
        <v>35</v>
      </c>
      <c r="O1664" s="3"/>
      <c r="P1664" s="3"/>
    </row>
    <row r="1665" spans="1:16" x14ac:dyDescent="0.3">
      <c r="A1665" t="s">
        <v>3058</v>
      </c>
      <c r="B1665" s="9" t="s">
        <v>810</v>
      </c>
      <c r="C1665" s="20" t="str">
        <f t="shared" si="25"/>
        <v>Feb</v>
      </c>
      <c r="D1665" t="s">
        <v>1698</v>
      </c>
      <c r="E1665" s="10" t="s">
        <v>487</v>
      </c>
      <c r="F1665" t="s">
        <v>25</v>
      </c>
      <c r="G1665" t="s">
        <v>33</v>
      </c>
      <c r="H1665" t="s">
        <v>34</v>
      </c>
      <c r="I1665">
        <v>2</v>
      </c>
      <c r="J1665" s="3">
        <v>48.09</v>
      </c>
      <c r="K1665" s="2">
        <v>0</v>
      </c>
      <c r="L1665" s="3">
        <v>96.18</v>
      </c>
      <c r="M1665" s="3">
        <v>27.11</v>
      </c>
      <c r="N1665" t="s">
        <v>35</v>
      </c>
      <c r="O1665" s="3"/>
      <c r="P1665" s="3"/>
    </row>
    <row r="1666" spans="1:16" x14ac:dyDescent="0.3">
      <c r="A1666" t="s">
        <v>3059</v>
      </c>
      <c r="B1666" s="9" t="s">
        <v>1853</v>
      </c>
      <c r="C1666" s="20" t="str">
        <f t="shared" ref="C1666:C1729" si="26">TEXT(B:B, "mmm")</f>
        <v>Jan</v>
      </c>
      <c r="D1666" t="s">
        <v>1515</v>
      </c>
      <c r="E1666" s="10" t="s">
        <v>2305</v>
      </c>
      <c r="F1666" t="s">
        <v>17</v>
      </c>
      <c r="G1666" t="s">
        <v>33</v>
      </c>
      <c r="H1666" t="s">
        <v>50</v>
      </c>
      <c r="I1666">
        <v>7</v>
      </c>
      <c r="J1666" s="3">
        <v>187.65</v>
      </c>
      <c r="K1666" s="2">
        <v>0.15</v>
      </c>
      <c r="L1666" s="3">
        <v>1116.52</v>
      </c>
      <c r="M1666" s="3">
        <v>272.61</v>
      </c>
      <c r="N1666" t="s">
        <v>35</v>
      </c>
      <c r="O1666" s="3"/>
      <c r="P1666" s="3"/>
    </row>
    <row r="1667" spans="1:16" x14ac:dyDescent="0.3">
      <c r="A1667" t="s">
        <v>3060</v>
      </c>
      <c r="B1667" s="9" t="s">
        <v>359</v>
      </c>
      <c r="C1667" s="20" t="str">
        <f t="shared" si="26"/>
        <v>Aug</v>
      </c>
      <c r="D1667" t="s">
        <v>2146</v>
      </c>
      <c r="E1667" s="10" t="s">
        <v>791</v>
      </c>
      <c r="F1667" t="s">
        <v>32</v>
      </c>
      <c r="G1667" t="s">
        <v>18</v>
      </c>
      <c r="H1667" t="s">
        <v>45</v>
      </c>
      <c r="I1667">
        <v>1</v>
      </c>
      <c r="J1667" s="3">
        <v>149.47999999999999</v>
      </c>
      <c r="K1667" s="2">
        <v>0.15</v>
      </c>
      <c r="L1667" s="3">
        <v>127.06</v>
      </c>
      <c r="M1667" s="3">
        <v>14.44</v>
      </c>
      <c r="N1667" t="s">
        <v>35</v>
      </c>
      <c r="O1667" s="3"/>
      <c r="P1667" s="3"/>
    </row>
    <row r="1668" spans="1:16" x14ac:dyDescent="0.3">
      <c r="A1668" t="s">
        <v>3061</v>
      </c>
      <c r="B1668" s="9" t="s">
        <v>574</v>
      </c>
      <c r="C1668" s="20" t="str">
        <f t="shared" si="26"/>
        <v>Oct</v>
      </c>
      <c r="D1668" t="s">
        <v>480</v>
      </c>
      <c r="E1668" s="10" t="s">
        <v>1161</v>
      </c>
      <c r="F1668" t="s">
        <v>64</v>
      </c>
      <c r="G1668" t="s">
        <v>18</v>
      </c>
      <c r="H1668" t="s">
        <v>79</v>
      </c>
      <c r="I1668">
        <v>6</v>
      </c>
      <c r="J1668" s="3">
        <v>90.63</v>
      </c>
      <c r="K1668" s="2">
        <v>0.15</v>
      </c>
      <c r="L1668" s="3">
        <v>462.21</v>
      </c>
      <c r="M1668" s="3">
        <v>134.69999999999999</v>
      </c>
      <c r="N1668" t="s">
        <v>35</v>
      </c>
      <c r="O1668" s="3"/>
      <c r="P1668" s="3"/>
    </row>
    <row r="1669" spans="1:16" x14ac:dyDescent="0.3">
      <c r="A1669" t="s">
        <v>3062</v>
      </c>
      <c r="B1669" s="9" t="s">
        <v>2073</v>
      </c>
      <c r="C1669" s="20" t="str">
        <f t="shared" si="26"/>
        <v>Feb</v>
      </c>
      <c r="D1669" t="s">
        <v>287</v>
      </c>
      <c r="E1669" s="10" t="s">
        <v>360</v>
      </c>
      <c r="F1669" t="s">
        <v>17</v>
      </c>
      <c r="G1669" t="s">
        <v>89</v>
      </c>
      <c r="H1669" t="s">
        <v>131</v>
      </c>
      <c r="I1669">
        <v>8</v>
      </c>
      <c r="J1669" s="3">
        <v>100.93</v>
      </c>
      <c r="K1669" s="2">
        <v>0.05</v>
      </c>
      <c r="L1669" s="3">
        <v>767.07</v>
      </c>
      <c r="M1669" s="3">
        <v>188.3</v>
      </c>
      <c r="N1669" t="s">
        <v>35</v>
      </c>
      <c r="O1669" s="3"/>
      <c r="P1669" s="3"/>
    </row>
    <row r="1670" spans="1:16" x14ac:dyDescent="0.3">
      <c r="A1670" t="s">
        <v>3063</v>
      </c>
      <c r="B1670" s="9" t="s">
        <v>1815</v>
      </c>
      <c r="C1670" s="20" t="str">
        <f t="shared" si="26"/>
        <v>Oct</v>
      </c>
      <c r="D1670" t="s">
        <v>1391</v>
      </c>
      <c r="E1670" s="10" t="s">
        <v>524</v>
      </c>
      <c r="F1670" t="s">
        <v>32</v>
      </c>
      <c r="G1670" t="s">
        <v>33</v>
      </c>
      <c r="H1670" t="s">
        <v>69</v>
      </c>
      <c r="I1670">
        <v>1</v>
      </c>
      <c r="J1670" s="3">
        <v>193.34</v>
      </c>
      <c r="K1670" s="2">
        <v>0.1</v>
      </c>
      <c r="L1670" s="3">
        <v>174.01</v>
      </c>
      <c r="M1670" s="3">
        <v>18.47</v>
      </c>
      <c r="N1670" t="s">
        <v>40</v>
      </c>
      <c r="O1670" s="3"/>
      <c r="P1670" s="3"/>
    </row>
    <row r="1671" spans="1:16" x14ac:dyDescent="0.3">
      <c r="A1671" t="s">
        <v>3064</v>
      </c>
      <c r="B1671" s="9" t="s">
        <v>722</v>
      </c>
      <c r="C1671" s="20" t="str">
        <f t="shared" si="26"/>
        <v>Feb</v>
      </c>
      <c r="D1671" t="s">
        <v>3065</v>
      </c>
      <c r="E1671" s="10" t="s">
        <v>1365</v>
      </c>
      <c r="F1671" t="s">
        <v>64</v>
      </c>
      <c r="G1671" t="s">
        <v>33</v>
      </c>
      <c r="H1671" t="s">
        <v>69</v>
      </c>
      <c r="I1671">
        <v>5</v>
      </c>
      <c r="J1671" s="3">
        <v>161.27000000000001</v>
      </c>
      <c r="K1671" s="2">
        <v>0.15</v>
      </c>
      <c r="L1671" s="3">
        <v>685.4</v>
      </c>
      <c r="M1671" s="3">
        <v>129.69999999999999</v>
      </c>
      <c r="N1671" t="s">
        <v>20</v>
      </c>
      <c r="O1671" s="3"/>
      <c r="P1671" s="3"/>
    </row>
    <row r="1672" spans="1:16" x14ac:dyDescent="0.3">
      <c r="A1672" t="s">
        <v>3066</v>
      </c>
      <c r="B1672" s="9" t="s">
        <v>964</v>
      </c>
      <c r="C1672" s="20" t="str">
        <f t="shared" si="26"/>
        <v>Oct</v>
      </c>
      <c r="D1672" t="s">
        <v>1016</v>
      </c>
      <c r="E1672" s="10" t="s">
        <v>373</v>
      </c>
      <c r="F1672" t="s">
        <v>59</v>
      </c>
      <c r="G1672" t="s">
        <v>33</v>
      </c>
      <c r="H1672" t="s">
        <v>74</v>
      </c>
      <c r="I1672">
        <v>8</v>
      </c>
      <c r="J1672" s="3">
        <v>171.14</v>
      </c>
      <c r="K1672" s="2">
        <v>0.05</v>
      </c>
      <c r="L1672" s="3">
        <v>1300.6600000000001</v>
      </c>
      <c r="M1672" s="3">
        <v>318.75</v>
      </c>
      <c r="N1672" t="s">
        <v>35</v>
      </c>
      <c r="O1672" s="3"/>
      <c r="P1672" s="3"/>
    </row>
    <row r="1673" spans="1:16" x14ac:dyDescent="0.3">
      <c r="A1673" t="s">
        <v>3067</v>
      </c>
      <c r="B1673" s="9" t="s">
        <v>2615</v>
      </c>
      <c r="C1673" s="20" t="str">
        <f t="shared" si="26"/>
        <v>Apr</v>
      </c>
      <c r="D1673" t="s">
        <v>121</v>
      </c>
      <c r="E1673" s="10" t="s">
        <v>1596</v>
      </c>
      <c r="F1673" t="s">
        <v>25</v>
      </c>
      <c r="G1673" t="s">
        <v>18</v>
      </c>
      <c r="H1673" t="s">
        <v>45</v>
      </c>
      <c r="I1673">
        <v>4</v>
      </c>
      <c r="J1673" s="3">
        <v>244.16</v>
      </c>
      <c r="K1673" s="2">
        <v>0</v>
      </c>
      <c r="L1673" s="3">
        <v>976.64</v>
      </c>
      <c r="M1673" s="3">
        <v>120.14</v>
      </c>
      <c r="N1673" t="s">
        <v>35</v>
      </c>
      <c r="O1673" s="3"/>
      <c r="P1673" s="3"/>
    </row>
    <row r="1674" spans="1:16" x14ac:dyDescent="0.3">
      <c r="A1674" t="s">
        <v>3068</v>
      </c>
      <c r="B1674" s="9" t="s">
        <v>2246</v>
      </c>
      <c r="C1674" s="20" t="str">
        <f t="shared" si="26"/>
        <v>Aug</v>
      </c>
      <c r="D1674" t="s">
        <v>1000</v>
      </c>
      <c r="E1674" s="10" t="s">
        <v>1261</v>
      </c>
      <c r="F1674" t="s">
        <v>32</v>
      </c>
      <c r="G1674" t="s">
        <v>18</v>
      </c>
      <c r="H1674" t="s">
        <v>45</v>
      </c>
      <c r="I1674">
        <v>7</v>
      </c>
      <c r="J1674" s="3">
        <v>121.95</v>
      </c>
      <c r="K1674" s="2">
        <v>0.05</v>
      </c>
      <c r="L1674" s="3">
        <v>810.97</v>
      </c>
      <c r="M1674" s="3">
        <v>73.81</v>
      </c>
      <c r="N1674" t="s">
        <v>40</v>
      </c>
      <c r="O1674" s="3"/>
      <c r="P1674" s="3"/>
    </row>
    <row r="1675" spans="1:16" x14ac:dyDescent="0.3">
      <c r="A1675" t="s">
        <v>3069</v>
      </c>
      <c r="B1675" s="9" t="s">
        <v>203</v>
      </c>
      <c r="C1675" s="20" t="str">
        <f t="shared" si="26"/>
        <v>Sep</v>
      </c>
      <c r="D1675" t="s">
        <v>1825</v>
      </c>
      <c r="E1675" s="10" t="s">
        <v>1687</v>
      </c>
      <c r="F1675" t="s">
        <v>59</v>
      </c>
      <c r="G1675" t="s">
        <v>18</v>
      </c>
      <c r="H1675" t="s">
        <v>19</v>
      </c>
      <c r="I1675">
        <v>6</v>
      </c>
      <c r="J1675" s="3">
        <v>15.01</v>
      </c>
      <c r="K1675" s="2">
        <v>0</v>
      </c>
      <c r="L1675" s="3">
        <v>90.06</v>
      </c>
      <c r="M1675" s="3">
        <v>10.48</v>
      </c>
      <c r="N1675" t="s">
        <v>35</v>
      </c>
      <c r="O1675" s="3"/>
      <c r="P1675" s="3"/>
    </row>
    <row r="1676" spans="1:16" x14ac:dyDescent="0.3">
      <c r="A1676" t="s">
        <v>3070</v>
      </c>
      <c r="B1676" s="9" t="s">
        <v>768</v>
      </c>
      <c r="C1676" s="20" t="str">
        <f t="shared" si="26"/>
        <v>Jun</v>
      </c>
      <c r="D1676" t="s">
        <v>156</v>
      </c>
      <c r="E1676" s="10" t="s">
        <v>2017</v>
      </c>
      <c r="F1676" t="s">
        <v>17</v>
      </c>
      <c r="G1676" t="s">
        <v>26</v>
      </c>
      <c r="H1676" t="s">
        <v>27</v>
      </c>
      <c r="I1676">
        <v>1</v>
      </c>
      <c r="J1676" s="3">
        <v>223.54</v>
      </c>
      <c r="K1676" s="2">
        <v>0</v>
      </c>
      <c r="L1676" s="3">
        <v>223.54</v>
      </c>
      <c r="M1676" s="3">
        <v>30.15</v>
      </c>
      <c r="N1676" t="s">
        <v>40</v>
      </c>
      <c r="O1676" s="3"/>
      <c r="P1676" s="3"/>
    </row>
    <row r="1677" spans="1:16" x14ac:dyDescent="0.3">
      <c r="A1677" t="s">
        <v>3071</v>
      </c>
      <c r="B1677" s="9" t="s">
        <v>678</v>
      </c>
      <c r="C1677" s="20" t="str">
        <f t="shared" si="26"/>
        <v>Sep</v>
      </c>
      <c r="D1677" t="s">
        <v>879</v>
      </c>
      <c r="E1677" s="10" t="s">
        <v>508</v>
      </c>
      <c r="F1677" t="s">
        <v>17</v>
      </c>
      <c r="G1677" t="s">
        <v>33</v>
      </c>
      <c r="H1677" t="s">
        <v>34</v>
      </c>
      <c r="I1677">
        <v>3</v>
      </c>
      <c r="J1677" s="3">
        <v>144.08000000000001</v>
      </c>
      <c r="K1677" s="2">
        <v>0.05</v>
      </c>
      <c r="L1677" s="3">
        <v>410.63</v>
      </c>
      <c r="M1677" s="3">
        <v>52.61</v>
      </c>
      <c r="N1677" t="s">
        <v>35</v>
      </c>
      <c r="O1677" s="3"/>
      <c r="P1677" s="3"/>
    </row>
    <row r="1678" spans="1:16" x14ac:dyDescent="0.3">
      <c r="A1678" t="s">
        <v>3072</v>
      </c>
      <c r="B1678" s="9" t="s">
        <v>1035</v>
      </c>
      <c r="C1678" s="20" t="str">
        <f t="shared" si="26"/>
        <v>Apr</v>
      </c>
      <c r="D1678" t="s">
        <v>1293</v>
      </c>
      <c r="E1678" s="10" t="s">
        <v>2074</v>
      </c>
      <c r="F1678" t="s">
        <v>25</v>
      </c>
      <c r="G1678" t="s">
        <v>33</v>
      </c>
      <c r="H1678" t="s">
        <v>34</v>
      </c>
      <c r="I1678">
        <v>3</v>
      </c>
      <c r="J1678" s="3">
        <v>137.09</v>
      </c>
      <c r="K1678" s="2">
        <v>0</v>
      </c>
      <c r="L1678" s="3">
        <v>411.27</v>
      </c>
      <c r="M1678" s="3">
        <v>67.569999999999993</v>
      </c>
      <c r="N1678" t="s">
        <v>40</v>
      </c>
      <c r="O1678" s="3"/>
      <c r="P1678" s="3"/>
    </row>
    <row r="1679" spans="1:16" x14ac:dyDescent="0.3">
      <c r="A1679" t="s">
        <v>3073</v>
      </c>
      <c r="B1679" s="9" t="s">
        <v>663</v>
      </c>
      <c r="C1679" s="20" t="str">
        <f t="shared" si="26"/>
        <v>Oct</v>
      </c>
      <c r="D1679" t="s">
        <v>1314</v>
      </c>
      <c r="E1679" s="10" t="s">
        <v>459</v>
      </c>
      <c r="F1679" t="s">
        <v>25</v>
      </c>
      <c r="G1679" t="s">
        <v>89</v>
      </c>
      <c r="H1679" t="s">
        <v>131</v>
      </c>
      <c r="I1679">
        <v>7</v>
      </c>
      <c r="J1679" s="3">
        <v>74.06</v>
      </c>
      <c r="K1679" s="2">
        <v>0</v>
      </c>
      <c r="L1679" s="3">
        <v>518.41999999999996</v>
      </c>
      <c r="M1679" s="3">
        <v>95.77</v>
      </c>
      <c r="N1679" t="s">
        <v>20</v>
      </c>
      <c r="O1679" s="3"/>
      <c r="P1679" s="3"/>
    </row>
    <row r="1680" spans="1:16" x14ac:dyDescent="0.3">
      <c r="A1680" t="s">
        <v>3074</v>
      </c>
      <c r="B1680" s="9" t="s">
        <v>100</v>
      </c>
      <c r="C1680" s="20" t="str">
        <f t="shared" si="26"/>
        <v>Jul</v>
      </c>
      <c r="D1680" t="s">
        <v>1802</v>
      </c>
      <c r="E1680" s="10" t="s">
        <v>481</v>
      </c>
      <c r="F1680" t="s">
        <v>17</v>
      </c>
      <c r="G1680" t="s">
        <v>33</v>
      </c>
      <c r="H1680" t="s">
        <v>34</v>
      </c>
      <c r="I1680">
        <v>8</v>
      </c>
      <c r="J1680" s="3">
        <v>204.38</v>
      </c>
      <c r="K1680" s="2">
        <v>0.15</v>
      </c>
      <c r="L1680" s="3">
        <v>1389.78</v>
      </c>
      <c r="M1680" s="3">
        <v>195.57</v>
      </c>
      <c r="N1680" t="s">
        <v>20</v>
      </c>
      <c r="O1680" s="3"/>
      <c r="P1680" s="3"/>
    </row>
    <row r="1681" spans="1:16" x14ac:dyDescent="0.3">
      <c r="A1681" t="s">
        <v>3075</v>
      </c>
      <c r="B1681" s="9" t="s">
        <v>1298</v>
      </c>
      <c r="C1681" s="20" t="str">
        <f t="shared" si="26"/>
        <v>Apr</v>
      </c>
      <c r="D1681" t="s">
        <v>647</v>
      </c>
      <c r="E1681" s="10" t="s">
        <v>1457</v>
      </c>
      <c r="F1681" t="s">
        <v>17</v>
      </c>
      <c r="G1681" t="s">
        <v>33</v>
      </c>
      <c r="H1681" t="s">
        <v>50</v>
      </c>
      <c r="I1681">
        <v>4</v>
      </c>
      <c r="J1681" s="3">
        <v>80.14</v>
      </c>
      <c r="K1681" s="2">
        <v>0.05</v>
      </c>
      <c r="L1681" s="3">
        <v>304.52999999999997</v>
      </c>
      <c r="M1681" s="3">
        <v>80.94</v>
      </c>
      <c r="N1681" t="s">
        <v>35</v>
      </c>
      <c r="O1681" s="3"/>
      <c r="P1681" s="3"/>
    </row>
    <row r="1682" spans="1:16" x14ac:dyDescent="0.3">
      <c r="A1682" t="s">
        <v>3076</v>
      </c>
      <c r="B1682" s="9" t="s">
        <v>516</v>
      </c>
      <c r="C1682" s="20" t="str">
        <f t="shared" si="26"/>
        <v>May</v>
      </c>
      <c r="D1682" t="s">
        <v>279</v>
      </c>
      <c r="E1682" s="10" t="s">
        <v>1755</v>
      </c>
      <c r="F1682" t="s">
        <v>17</v>
      </c>
      <c r="G1682" t="s">
        <v>33</v>
      </c>
      <c r="H1682" t="s">
        <v>69</v>
      </c>
      <c r="I1682">
        <v>4</v>
      </c>
      <c r="J1682" s="3">
        <v>37.700000000000003</v>
      </c>
      <c r="K1682" s="2">
        <v>0.1</v>
      </c>
      <c r="L1682" s="3">
        <v>135.72</v>
      </c>
      <c r="M1682" s="3">
        <v>13.12</v>
      </c>
      <c r="N1682" t="s">
        <v>20</v>
      </c>
      <c r="O1682" s="3"/>
      <c r="P1682" s="3"/>
    </row>
    <row r="1683" spans="1:16" x14ac:dyDescent="0.3">
      <c r="A1683" t="s">
        <v>3077</v>
      </c>
      <c r="B1683" s="9" t="s">
        <v>1773</v>
      </c>
      <c r="C1683" s="20" t="str">
        <f t="shared" si="26"/>
        <v>Nov</v>
      </c>
      <c r="D1683" t="s">
        <v>1096</v>
      </c>
      <c r="E1683" s="10" t="s">
        <v>3021</v>
      </c>
      <c r="F1683" t="s">
        <v>59</v>
      </c>
      <c r="G1683" t="s">
        <v>18</v>
      </c>
      <c r="H1683" t="s">
        <v>45</v>
      </c>
      <c r="I1683">
        <v>3</v>
      </c>
      <c r="J1683" s="3">
        <v>22.83</v>
      </c>
      <c r="K1683" s="2">
        <v>0</v>
      </c>
      <c r="L1683" s="3">
        <v>68.489999999999995</v>
      </c>
      <c r="M1683" s="3">
        <v>11.94</v>
      </c>
      <c r="N1683" t="s">
        <v>40</v>
      </c>
      <c r="O1683" s="3"/>
      <c r="P1683" s="3"/>
    </row>
    <row r="1684" spans="1:16" x14ac:dyDescent="0.3">
      <c r="A1684" t="s">
        <v>3078</v>
      </c>
      <c r="B1684" s="9" t="s">
        <v>603</v>
      </c>
      <c r="C1684" s="20" t="str">
        <f t="shared" si="26"/>
        <v>Nov</v>
      </c>
      <c r="D1684" t="s">
        <v>454</v>
      </c>
      <c r="E1684" s="10" t="s">
        <v>1061</v>
      </c>
      <c r="F1684" t="s">
        <v>17</v>
      </c>
      <c r="G1684" t="s">
        <v>18</v>
      </c>
      <c r="H1684" t="s">
        <v>19</v>
      </c>
      <c r="I1684">
        <v>7</v>
      </c>
      <c r="J1684" s="3">
        <v>175.28</v>
      </c>
      <c r="K1684" s="2">
        <v>0</v>
      </c>
      <c r="L1684" s="3">
        <v>1226.96</v>
      </c>
      <c r="M1684" s="3">
        <v>338.63</v>
      </c>
      <c r="N1684" t="s">
        <v>35</v>
      </c>
      <c r="O1684" s="3"/>
      <c r="P1684" s="3"/>
    </row>
    <row r="1685" spans="1:16" x14ac:dyDescent="0.3">
      <c r="A1685" t="s">
        <v>3079</v>
      </c>
      <c r="B1685" s="9" t="s">
        <v>371</v>
      </c>
      <c r="C1685" s="20" t="str">
        <f t="shared" si="26"/>
        <v>Aug</v>
      </c>
      <c r="D1685" t="s">
        <v>1063</v>
      </c>
      <c r="E1685" s="10" t="s">
        <v>141</v>
      </c>
      <c r="F1685" t="s">
        <v>59</v>
      </c>
      <c r="G1685" t="s">
        <v>26</v>
      </c>
      <c r="H1685" t="s">
        <v>84</v>
      </c>
      <c r="I1685">
        <v>7</v>
      </c>
      <c r="J1685" s="3">
        <v>174.07</v>
      </c>
      <c r="K1685" s="2">
        <v>0</v>
      </c>
      <c r="L1685" s="3">
        <v>1218.49</v>
      </c>
      <c r="M1685" s="3">
        <v>263.64</v>
      </c>
      <c r="N1685" t="s">
        <v>20</v>
      </c>
      <c r="O1685" s="3"/>
      <c r="P1685" s="3"/>
    </row>
    <row r="1686" spans="1:16" x14ac:dyDescent="0.3">
      <c r="A1686" t="s">
        <v>3080</v>
      </c>
      <c r="B1686" s="9" t="s">
        <v>2629</v>
      </c>
      <c r="C1686" s="20" t="str">
        <f t="shared" si="26"/>
        <v>Feb</v>
      </c>
      <c r="D1686" t="s">
        <v>1178</v>
      </c>
      <c r="E1686" s="10" t="s">
        <v>1859</v>
      </c>
      <c r="F1686" t="s">
        <v>59</v>
      </c>
      <c r="G1686" t="s">
        <v>18</v>
      </c>
      <c r="H1686" t="s">
        <v>79</v>
      </c>
      <c r="I1686">
        <v>1</v>
      </c>
      <c r="J1686" s="3">
        <v>220.4</v>
      </c>
      <c r="K1686" s="2">
        <v>0.15</v>
      </c>
      <c r="L1686" s="3">
        <v>187.34</v>
      </c>
      <c r="M1686" s="3">
        <v>42.6</v>
      </c>
      <c r="N1686" t="s">
        <v>20</v>
      </c>
      <c r="O1686" s="3"/>
      <c r="P1686" s="3"/>
    </row>
    <row r="1687" spans="1:16" x14ac:dyDescent="0.3">
      <c r="A1687" t="s">
        <v>3081</v>
      </c>
      <c r="B1687" s="9" t="s">
        <v>2904</v>
      </c>
      <c r="C1687" s="20" t="str">
        <f t="shared" si="26"/>
        <v>Jul</v>
      </c>
      <c r="D1687" t="s">
        <v>2440</v>
      </c>
      <c r="E1687" s="10" t="s">
        <v>83</v>
      </c>
      <c r="F1687" t="s">
        <v>32</v>
      </c>
      <c r="G1687" t="s">
        <v>18</v>
      </c>
      <c r="H1687" t="s">
        <v>45</v>
      </c>
      <c r="I1687">
        <v>4</v>
      </c>
      <c r="J1687" s="3">
        <v>159.84</v>
      </c>
      <c r="K1687" s="2">
        <v>0.1</v>
      </c>
      <c r="L1687" s="3">
        <v>575.41999999999996</v>
      </c>
      <c r="M1687" s="3">
        <v>76.41</v>
      </c>
      <c r="N1687" t="s">
        <v>35</v>
      </c>
      <c r="O1687" s="3"/>
      <c r="P1687" s="3"/>
    </row>
    <row r="1688" spans="1:16" x14ac:dyDescent="0.3">
      <c r="A1688" t="s">
        <v>3082</v>
      </c>
      <c r="B1688" s="9" t="s">
        <v>147</v>
      </c>
      <c r="C1688" s="20" t="str">
        <f t="shared" si="26"/>
        <v>Nov</v>
      </c>
      <c r="D1688" t="s">
        <v>1188</v>
      </c>
      <c r="E1688" s="10" t="s">
        <v>651</v>
      </c>
      <c r="F1688" t="s">
        <v>25</v>
      </c>
      <c r="G1688" t="s">
        <v>33</v>
      </c>
      <c r="H1688" t="s">
        <v>69</v>
      </c>
      <c r="I1688">
        <v>3</v>
      </c>
      <c r="J1688" s="3">
        <v>14.24</v>
      </c>
      <c r="K1688" s="2">
        <v>0.05</v>
      </c>
      <c r="L1688" s="3">
        <v>40.58</v>
      </c>
      <c r="M1688" s="3">
        <v>4.47</v>
      </c>
      <c r="N1688" t="s">
        <v>40</v>
      </c>
      <c r="O1688" s="3"/>
      <c r="P1688" s="3"/>
    </row>
    <row r="1689" spans="1:16" x14ac:dyDescent="0.3">
      <c r="A1689" t="s">
        <v>3083</v>
      </c>
      <c r="B1689" s="9" t="s">
        <v>1703</v>
      </c>
      <c r="C1689" s="20" t="str">
        <f t="shared" si="26"/>
        <v>Jan</v>
      </c>
      <c r="D1689" t="s">
        <v>766</v>
      </c>
      <c r="E1689" s="10" t="s">
        <v>498</v>
      </c>
      <c r="F1689" t="s">
        <v>32</v>
      </c>
      <c r="G1689" t="s">
        <v>89</v>
      </c>
      <c r="H1689" t="s">
        <v>150</v>
      </c>
      <c r="I1689">
        <v>7</v>
      </c>
      <c r="J1689" s="3">
        <v>194.69</v>
      </c>
      <c r="K1689" s="2">
        <v>0.15</v>
      </c>
      <c r="L1689" s="3">
        <v>1158.4100000000001</v>
      </c>
      <c r="M1689" s="3">
        <v>217.85</v>
      </c>
      <c r="N1689" t="s">
        <v>20</v>
      </c>
      <c r="O1689" s="3"/>
      <c r="P1689" s="3"/>
    </row>
    <row r="1690" spans="1:16" x14ac:dyDescent="0.3">
      <c r="A1690" t="s">
        <v>3084</v>
      </c>
      <c r="B1690" s="9" t="s">
        <v>760</v>
      </c>
      <c r="C1690" s="20" t="str">
        <f t="shared" si="26"/>
        <v>Dec</v>
      </c>
      <c r="D1690" t="s">
        <v>1006</v>
      </c>
      <c r="E1690" s="10" t="s">
        <v>1072</v>
      </c>
      <c r="F1690" t="s">
        <v>59</v>
      </c>
      <c r="G1690" t="s">
        <v>26</v>
      </c>
      <c r="H1690" t="s">
        <v>118</v>
      </c>
      <c r="I1690">
        <v>2</v>
      </c>
      <c r="J1690" s="3">
        <v>197.91</v>
      </c>
      <c r="K1690" s="2">
        <v>0</v>
      </c>
      <c r="L1690" s="3">
        <v>395.82</v>
      </c>
      <c r="M1690" s="3">
        <v>79.400000000000006</v>
      </c>
      <c r="N1690" t="s">
        <v>35</v>
      </c>
      <c r="O1690" s="3"/>
      <c r="P1690" s="3"/>
    </row>
    <row r="1691" spans="1:16" x14ac:dyDescent="0.3">
      <c r="A1691" t="s">
        <v>3085</v>
      </c>
      <c r="B1691" s="9" t="s">
        <v>500</v>
      </c>
      <c r="C1691" s="20" t="str">
        <f t="shared" si="26"/>
        <v>Nov</v>
      </c>
      <c r="D1691" t="s">
        <v>600</v>
      </c>
      <c r="E1691" s="10" t="s">
        <v>618</v>
      </c>
      <c r="F1691" t="s">
        <v>17</v>
      </c>
      <c r="G1691" t="s">
        <v>26</v>
      </c>
      <c r="H1691" t="s">
        <v>27</v>
      </c>
      <c r="I1691">
        <v>1</v>
      </c>
      <c r="J1691" s="3">
        <v>246.19</v>
      </c>
      <c r="K1691" s="2">
        <v>0</v>
      </c>
      <c r="L1691" s="3">
        <v>246.19</v>
      </c>
      <c r="M1691" s="3">
        <v>39.56</v>
      </c>
      <c r="N1691" t="s">
        <v>40</v>
      </c>
      <c r="O1691" s="3"/>
      <c r="P1691" s="3"/>
    </row>
    <row r="1692" spans="1:16" x14ac:dyDescent="0.3">
      <c r="A1692" t="s">
        <v>3086</v>
      </c>
      <c r="B1692" s="9" t="s">
        <v>1691</v>
      </c>
      <c r="C1692" s="20" t="str">
        <f t="shared" si="26"/>
        <v>Nov</v>
      </c>
      <c r="D1692" t="s">
        <v>1509</v>
      </c>
      <c r="E1692" s="10" t="s">
        <v>641</v>
      </c>
      <c r="F1692" t="s">
        <v>17</v>
      </c>
      <c r="G1692" t="s">
        <v>33</v>
      </c>
      <c r="H1692" t="s">
        <v>50</v>
      </c>
      <c r="I1692">
        <v>2</v>
      </c>
      <c r="J1692" s="3">
        <v>141.91999999999999</v>
      </c>
      <c r="K1692" s="2">
        <v>0.05</v>
      </c>
      <c r="L1692" s="3">
        <v>269.64999999999998</v>
      </c>
      <c r="M1692" s="3">
        <v>29.57</v>
      </c>
      <c r="N1692" t="s">
        <v>20</v>
      </c>
      <c r="O1692" s="3"/>
      <c r="P1692" s="3"/>
    </row>
    <row r="1693" spans="1:16" x14ac:dyDescent="0.3">
      <c r="A1693" t="s">
        <v>3087</v>
      </c>
      <c r="B1693" s="9" t="s">
        <v>1691</v>
      </c>
      <c r="C1693" s="20" t="str">
        <f t="shared" si="26"/>
        <v>Nov</v>
      </c>
      <c r="D1693" t="s">
        <v>87</v>
      </c>
      <c r="E1693" s="10" t="s">
        <v>208</v>
      </c>
      <c r="F1693" t="s">
        <v>64</v>
      </c>
      <c r="G1693" t="s">
        <v>18</v>
      </c>
      <c r="H1693" t="s">
        <v>45</v>
      </c>
      <c r="I1693">
        <v>8</v>
      </c>
      <c r="J1693" s="3">
        <v>163.38999999999999</v>
      </c>
      <c r="K1693" s="2">
        <v>0.1</v>
      </c>
      <c r="L1693" s="3">
        <v>1176.4100000000001</v>
      </c>
      <c r="M1693" s="3">
        <v>260.83999999999997</v>
      </c>
      <c r="N1693" t="s">
        <v>35</v>
      </c>
      <c r="O1693" s="3"/>
      <c r="P1693" s="3"/>
    </row>
    <row r="1694" spans="1:16" x14ac:dyDescent="0.3">
      <c r="A1694" t="s">
        <v>3088</v>
      </c>
      <c r="B1694" s="9" t="s">
        <v>1495</v>
      </c>
      <c r="C1694" s="20" t="str">
        <f t="shared" si="26"/>
        <v>Jan</v>
      </c>
      <c r="D1694" t="s">
        <v>870</v>
      </c>
      <c r="E1694" s="10" t="s">
        <v>398</v>
      </c>
      <c r="F1694" t="s">
        <v>17</v>
      </c>
      <c r="G1694" t="s">
        <v>18</v>
      </c>
      <c r="H1694" t="s">
        <v>19</v>
      </c>
      <c r="I1694">
        <v>8</v>
      </c>
      <c r="J1694" s="3">
        <v>59.75</v>
      </c>
      <c r="K1694" s="2">
        <v>0.15</v>
      </c>
      <c r="L1694" s="3">
        <v>406.3</v>
      </c>
      <c r="M1694" s="3">
        <v>57.29</v>
      </c>
      <c r="N1694" t="s">
        <v>40</v>
      </c>
      <c r="O1694" s="3"/>
      <c r="P1694" s="3"/>
    </row>
    <row r="1695" spans="1:16" x14ac:dyDescent="0.3">
      <c r="A1695" t="s">
        <v>3089</v>
      </c>
      <c r="B1695" s="9" t="s">
        <v>1029</v>
      </c>
      <c r="C1695" s="20" t="str">
        <f t="shared" si="26"/>
        <v>Dec</v>
      </c>
      <c r="D1695" t="s">
        <v>1831</v>
      </c>
      <c r="E1695" s="10" t="s">
        <v>1400</v>
      </c>
      <c r="F1695" t="s">
        <v>32</v>
      </c>
      <c r="G1695" t="s">
        <v>18</v>
      </c>
      <c r="H1695" t="s">
        <v>79</v>
      </c>
      <c r="I1695">
        <v>5</v>
      </c>
      <c r="J1695" s="3">
        <v>60.03</v>
      </c>
      <c r="K1695" s="2">
        <v>0.1</v>
      </c>
      <c r="L1695" s="3">
        <v>270.13</v>
      </c>
      <c r="M1695" s="3">
        <v>54.15</v>
      </c>
      <c r="N1695" t="s">
        <v>20</v>
      </c>
      <c r="O1695" s="3"/>
      <c r="P1695" s="3"/>
    </row>
    <row r="1696" spans="1:16" x14ac:dyDescent="0.3">
      <c r="A1696" t="s">
        <v>3090</v>
      </c>
      <c r="B1696" s="9" t="s">
        <v>493</v>
      </c>
      <c r="C1696" s="20" t="str">
        <f t="shared" si="26"/>
        <v>Jan</v>
      </c>
      <c r="D1696" t="s">
        <v>3091</v>
      </c>
      <c r="E1696" s="10" t="s">
        <v>1553</v>
      </c>
      <c r="F1696" t="s">
        <v>25</v>
      </c>
      <c r="G1696" t="s">
        <v>89</v>
      </c>
      <c r="H1696" t="s">
        <v>90</v>
      </c>
      <c r="I1696">
        <v>2</v>
      </c>
      <c r="J1696" s="3">
        <v>75.489999999999995</v>
      </c>
      <c r="K1696" s="2">
        <v>0</v>
      </c>
      <c r="L1696" s="3">
        <v>150.97999999999999</v>
      </c>
      <c r="M1696" s="3">
        <v>27.1</v>
      </c>
      <c r="N1696" t="s">
        <v>35</v>
      </c>
      <c r="O1696" s="3"/>
      <c r="P1696" s="3"/>
    </row>
    <row r="1697" spans="1:16" x14ac:dyDescent="0.3">
      <c r="A1697" t="s">
        <v>3092</v>
      </c>
      <c r="B1697" s="9" t="s">
        <v>220</v>
      </c>
      <c r="C1697" s="20" t="str">
        <f t="shared" si="26"/>
        <v>Feb</v>
      </c>
      <c r="D1697" t="s">
        <v>3093</v>
      </c>
      <c r="E1697" s="10" t="s">
        <v>452</v>
      </c>
      <c r="F1697" t="s">
        <v>59</v>
      </c>
      <c r="G1697" t="s">
        <v>26</v>
      </c>
      <c r="H1697" t="s">
        <v>118</v>
      </c>
      <c r="I1697">
        <v>2</v>
      </c>
      <c r="J1697" s="3">
        <v>205.7</v>
      </c>
      <c r="K1697" s="2">
        <v>0</v>
      </c>
      <c r="L1697" s="3">
        <v>411.4</v>
      </c>
      <c r="M1697" s="3">
        <v>96.02</v>
      </c>
      <c r="N1697" t="s">
        <v>40</v>
      </c>
      <c r="O1697" s="3"/>
      <c r="P1697" s="3"/>
    </row>
    <row r="1698" spans="1:16" x14ac:dyDescent="0.3">
      <c r="A1698" t="s">
        <v>3094</v>
      </c>
      <c r="B1698" s="9" t="s">
        <v>385</v>
      </c>
      <c r="C1698" s="20" t="str">
        <f t="shared" si="26"/>
        <v>Aug</v>
      </c>
      <c r="D1698" t="s">
        <v>1244</v>
      </c>
      <c r="E1698" s="10" t="s">
        <v>835</v>
      </c>
      <c r="F1698" t="s">
        <v>59</v>
      </c>
      <c r="G1698" t="s">
        <v>89</v>
      </c>
      <c r="H1698" t="s">
        <v>90</v>
      </c>
      <c r="I1698">
        <v>6</v>
      </c>
      <c r="J1698" s="3">
        <v>23.2</v>
      </c>
      <c r="K1698" s="2">
        <v>0.05</v>
      </c>
      <c r="L1698" s="3">
        <v>132.24</v>
      </c>
      <c r="M1698" s="3">
        <v>16.09</v>
      </c>
      <c r="N1698" t="s">
        <v>20</v>
      </c>
      <c r="O1698" s="3"/>
      <c r="P1698" s="3"/>
    </row>
    <row r="1699" spans="1:16" x14ac:dyDescent="0.3">
      <c r="A1699" t="s">
        <v>3095</v>
      </c>
      <c r="B1699" s="9" t="s">
        <v>432</v>
      </c>
      <c r="C1699" s="20" t="str">
        <f t="shared" si="26"/>
        <v>Jul</v>
      </c>
      <c r="D1699" t="s">
        <v>617</v>
      </c>
      <c r="E1699" s="10" t="s">
        <v>1969</v>
      </c>
      <c r="F1699" t="s">
        <v>17</v>
      </c>
      <c r="G1699" t="s">
        <v>89</v>
      </c>
      <c r="H1699" t="s">
        <v>150</v>
      </c>
      <c r="I1699">
        <v>6</v>
      </c>
      <c r="J1699" s="3">
        <v>166.5</v>
      </c>
      <c r="K1699" s="2">
        <v>0.15</v>
      </c>
      <c r="L1699" s="3">
        <v>849.15</v>
      </c>
      <c r="M1699" s="3">
        <v>84.29</v>
      </c>
      <c r="N1699" t="s">
        <v>20</v>
      </c>
      <c r="O1699" s="3"/>
      <c r="P1699" s="3"/>
    </row>
    <row r="1700" spans="1:16" x14ac:dyDescent="0.3">
      <c r="A1700" t="s">
        <v>3096</v>
      </c>
      <c r="B1700" s="9" t="s">
        <v>1626</v>
      </c>
      <c r="C1700" s="20" t="str">
        <f t="shared" si="26"/>
        <v>Oct</v>
      </c>
      <c r="D1700" t="s">
        <v>429</v>
      </c>
      <c r="E1700" s="10" t="s">
        <v>262</v>
      </c>
      <c r="F1700" t="s">
        <v>25</v>
      </c>
      <c r="G1700" t="s">
        <v>89</v>
      </c>
      <c r="H1700" t="s">
        <v>150</v>
      </c>
      <c r="I1700">
        <v>1</v>
      </c>
      <c r="J1700" s="3">
        <v>167.94</v>
      </c>
      <c r="K1700" s="2">
        <v>0.15</v>
      </c>
      <c r="L1700" s="3">
        <v>142.75</v>
      </c>
      <c r="M1700" s="3">
        <v>23.08</v>
      </c>
      <c r="N1700" t="s">
        <v>35</v>
      </c>
      <c r="O1700" s="3"/>
      <c r="P1700" s="3"/>
    </row>
    <row r="1701" spans="1:16" x14ac:dyDescent="0.3">
      <c r="A1701" t="s">
        <v>3097</v>
      </c>
      <c r="B1701" s="9" t="s">
        <v>2151</v>
      </c>
      <c r="C1701" s="20" t="str">
        <f t="shared" si="26"/>
        <v>Jul</v>
      </c>
      <c r="D1701" t="s">
        <v>757</v>
      </c>
      <c r="E1701" s="10" t="s">
        <v>645</v>
      </c>
      <c r="F1701" t="s">
        <v>59</v>
      </c>
      <c r="G1701" t="s">
        <v>89</v>
      </c>
      <c r="H1701" t="s">
        <v>90</v>
      </c>
      <c r="I1701">
        <v>2</v>
      </c>
      <c r="J1701" s="3">
        <v>69.09</v>
      </c>
      <c r="K1701" s="2">
        <v>0.1</v>
      </c>
      <c r="L1701" s="3">
        <v>124.36</v>
      </c>
      <c r="M1701" s="3">
        <v>14.39</v>
      </c>
      <c r="N1701" t="s">
        <v>35</v>
      </c>
      <c r="O1701" s="3"/>
      <c r="P1701" s="3"/>
    </row>
    <row r="1702" spans="1:16" x14ac:dyDescent="0.3">
      <c r="A1702" t="s">
        <v>3098</v>
      </c>
      <c r="B1702" s="9" t="s">
        <v>1746</v>
      </c>
      <c r="C1702" s="20" t="str">
        <f t="shared" si="26"/>
        <v>Sep</v>
      </c>
      <c r="D1702" t="s">
        <v>1016</v>
      </c>
      <c r="E1702" s="10" t="s">
        <v>985</v>
      </c>
      <c r="F1702" t="s">
        <v>25</v>
      </c>
      <c r="G1702" t="s">
        <v>26</v>
      </c>
      <c r="H1702" t="s">
        <v>84</v>
      </c>
      <c r="I1702">
        <v>1</v>
      </c>
      <c r="J1702" s="3">
        <v>76.540000000000006</v>
      </c>
      <c r="K1702" s="2">
        <v>0.15</v>
      </c>
      <c r="L1702" s="3">
        <v>65.06</v>
      </c>
      <c r="M1702" s="3">
        <v>17.34</v>
      </c>
      <c r="N1702" t="s">
        <v>35</v>
      </c>
      <c r="O1702" s="3"/>
      <c r="P1702" s="3"/>
    </row>
    <row r="1703" spans="1:16" x14ac:dyDescent="0.3">
      <c r="A1703" t="s">
        <v>3099</v>
      </c>
      <c r="B1703" s="9" t="s">
        <v>331</v>
      </c>
      <c r="C1703" s="20" t="str">
        <f t="shared" si="26"/>
        <v>Nov</v>
      </c>
      <c r="D1703" t="s">
        <v>946</v>
      </c>
      <c r="E1703" s="10" t="s">
        <v>1272</v>
      </c>
      <c r="F1703" t="s">
        <v>59</v>
      </c>
      <c r="G1703" t="s">
        <v>26</v>
      </c>
      <c r="H1703" t="s">
        <v>27</v>
      </c>
      <c r="I1703">
        <v>6</v>
      </c>
      <c r="J1703" s="3">
        <v>61.24</v>
      </c>
      <c r="K1703" s="2">
        <v>0.15</v>
      </c>
      <c r="L1703" s="3">
        <v>312.32</v>
      </c>
      <c r="M1703" s="3">
        <v>67.61</v>
      </c>
      <c r="N1703" t="s">
        <v>40</v>
      </c>
      <c r="O1703" s="3"/>
      <c r="P1703" s="3"/>
    </row>
    <row r="1704" spans="1:16" x14ac:dyDescent="0.3">
      <c r="A1704" t="s">
        <v>3100</v>
      </c>
      <c r="B1704" s="9" t="s">
        <v>2500</v>
      </c>
      <c r="C1704" s="20" t="str">
        <f t="shared" si="26"/>
        <v>Feb</v>
      </c>
      <c r="D1704" t="s">
        <v>575</v>
      </c>
      <c r="E1704" s="10" t="s">
        <v>1130</v>
      </c>
      <c r="F1704" t="s">
        <v>32</v>
      </c>
      <c r="G1704" t="s">
        <v>26</v>
      </c>
      <c r="H1704" t="s">
        <v>84</v>
      </c>
      <c r="I1704">
        <v>6</v>
      </c>
      <c r="J1704" s="3">
        <v>147.38999999999999</v>
      </c>
      <c r="K1704" s="2">
        <v>0</v>
      </c>
      <c r="L1704" s="3">
        <v>884.34</v>
      </c>
      <c r="M1704" s="3">
        <v>244.8</v>
      </c>
      <c r="N1704" t="s">
        <v>40</v>
      </c>
      <c r="O1704" s="3"/>
      <c r="P1704" s="3"/>
    </row>
    <row r="1705" spans="1:16" x14ac:dyDescent="0.3">
      <c r="A1705" t="s">
        <v>3101</v>
      </c>
      <c r="B1705" s="9" t="s">
        <v>1925</v>
      </c>
      <c r="C1705" s="20" t="str">
        <f t="shared" si="26"/>
        <v>May</v>
      </c>
      <c r="D1705" t="s">
        <v>1990</v>
      </c>
      <c r="E1705" s="10" t="s">
        <v>944</v>
      </c>
      <c r="F1705" t="s">
        <v>59</v>
      </c>
      <c r="G1705" t="s">
        <v>89</v>
      </c>
      <c r="H1705" t="s">
        <v>90</v>
      </c>
      <c r="I1705">
        <v>5</v>
      </c>
      <c r="J1705" s="3">
        <v>73.16</v>
      </c>
      <c r="K1705" s="2">
        <v>0.05</v>
      </c>
      <c r="L1705" s="3">
        <v>347.51</v>
      </c>
      <c r="M1705" s="3">
        <v>89.91</v>
      </c>
      <c r="N1705" t="s">
        <v>20</v>
      </c>
      <c r="O1705" s="3"/>
      <c r="P1705" s="3"/>
    </row>
    <row r="1706" spans="1:16" x14ac:dyDescent="0.3">
      <c r="A1706" t="s">
        <v>3102</v>
      </c>
      <c r="B1706" s="9" t="s">
        <v>2724</v>
      </c>
      <c r="C1706" s="20" t="str">
        <f t="shared" si="26"/>
        <v>Jan</v>
      </c>
      <c r="D1706" t="s">
        <v>1255</v>
      </c>
      <c r="E1706" s="10" t="s">
        <v>227</v>
      </c>
      <c r="F1706" t="s">
        <v>17</v>
      </c>
      <c r="G1706" t="s">
        <v>18</v>
      </c>
      <c r="H1706" t="s">
        <v>45</v>
      </c>
      <c r="I1706">
        <v>8</v>
      </c>
      <c r="J1706" s="3">
        <v>101.9</v>
      </c>
      <c r="K1706" s="2">
        <v>0</v>
      </c>
      <c r="L1706" s="3">
        <v>815.2</v>
      </c>
      <c r="M1706" s="3">
        <v>107.91</v>
      </c>
      <c r="N1706" t="s">
        <v>20</v>
      </c>
      <c r="O1706" s="3"/>
      <c r="P1706" s="3"/>
    </row>
    <row r="1707" spans="1:16" x14ac:dyDescent="0.3">
      <c r="A1707" t="s">
        <v>3103</v>
      </c>
      <c r="B1707" s="9" t="s">
        <v>1298</v>
      </c>
      <c r="C1707" s="20" t="str">
        <f t="shared" si="26"/>
        <v>Apr</v>
      </c>
      <c r="D1707" t="s">
        <v>386</v>
      </c>
      <c r="E1707" s="10" t="s">
        <v>501</v>
      </c>
      <c r="F1707" t="s">
        <v>59</v>
      </c>
      <c r="G1707" t="s">
        <v>26</v>
      </c>
      <c r="H1707" t="s">
        <v>118</v>
      </c>
      <c r="I1707">
        <v>2</v>
      </c>
      <c r="J1707" s="3">
        <v>95.71</v>
      </c>
      <c r="K1707" s="2">
        <v>0.05</v>
      </c>
      <c r="L1707" s="3">
        <v>181.85</v>
      </c>
      <c r="M1707" s="3">
        <v>51.75</v>
      </c>
      <c r="N1707" t="s">
        <v>20</v>
      </c>
      <c r="O1707" s="3"/>
      <c r="P1707" s="3"/>
    </row>
    <row r="1708" spans="1:16" x14ac:dyDescent="0.3">
      <c r="A1708" t="s">
        <v>3104</v>
      </c>
      <c r="B1708" s="9" t="s">
        <v>483</v>
      </c>
      <c r="C1708" s="20" t="str">
        <f t="shared" si="26"/>
        <v>Feb</v>
      </c>
      <c r="D1708" t="s">
        <v>53</v>
      </c>
      <c r="E1708" s="10" t="s">
        <v>851</v>
      </c>
      <c r="F1708" t="s">
        <v>17</v>
      </c>
      <c r="G1708" t="s">
        <v>33</v>
      </c>
      <c r="H1708" t="s">
        <v>69</v>
      </c>
      <c r="I1708">
        <v>7</v>
      </c>
      <c r="J1708" s="3">
        <v>178.62</v>
      </c>
      <c r="K1708" s="2">
        <v>0.05</v>
      </c>
      <c r="L1708" s="3">
        <v>1187.82</v>
      </c>
      <c r="M1708" s="3">
        <v>169.2</v>
      </c>
      <c r="N1708" t="s">
        <v>20</v>
      </c>
      <c r="O1708" s="3"/>
      <c r="P1708" s="3"/>
    </row>
    <row r="1709" spans="1:16" x14ac:dyDescent="0.3">
      <c r="A1709" t="s">
        <v>3105</v>
      </c>
      <c r="B1709" s="9" t="s">
        <v>313</v>
      </c>
      <c r="C1709" s="20" t="str">
        <f t="shared" si="26"/>
        <v>Aug</v>
      </c>
      <c r="D1709" t="s">
        <v>597</v>
      </c>
      <c r="E1709" s="10" t="s">
        <v>1750</v>
      </c>
      <c r="F1709" t="s">
        <v>17</v>
      </c>
      <c r="G1709" t="s">
        <v>33</v>
      </c>
      <c r="H1709" t="s">
        <v>69</v>
      </c>
      <c r="I1709">
        <v>3</v>
      </c>
      <c r="J1709" s="3">
        <v>41.2</v>
      </c>
      <c r="K1709" s="2">
        <v>0.1</v>
      </c>
      <c r="L1709" s="3">
        <v>111.24</v>
      </c>
      <c r="M1709" s="3">
        <v>32.86</v>
      </c>
      <c r="N1709" t="s">
        <v>40</v>
      </c>
      <c r="O1709" s="3"/>
      <c r="P1709" s="3"/>
    </row>
    <row r="1710" spans="1:16" x14ac:dyDescent="0.3">
      <c r="A1710" t="s">
        <v>3106</v>
      </c>
      <c r="B1710" s="9" t="s">
        <v>500</v>
      </c>
      <c r="C1710" s="20" t="str">
        <f t="shared" si="26"/>
        <v>Nov</v>
      </c>
      <c r="D1710" t="s">
        <v>1176</v>
      </c>
      <c r="E1710" s="10" t="s">
        <v>1680</v>
      </c>
      <c r="F1710" t="s">
        <v>64</v>
      </c>
      <c r="G1710" t="s">
        <v>26</v>
      </c>
      <c r="H1710" t="s">
        <v>84</v>
      </c>
      <c r="I1710">
        <v>1</v>
      </c>
      <c r="J1710" s="3">
        <v>67.2</v>
      </c>
      <c r="K1710" s="2">
        <v>0</v>
      </c>
      <c r="L1710" s="3">
        <v>67.2</v>
      </c>
      <c r="M1710" s="3">
        <v>10.66</v>
      </c>
      <c r="N1710" t="s">
        <v>35</v>
      </c>
      <c r="O1710" s="3"/>
      <c r="P1710" s="3"/>
    </row>
    <row r="1711" spans="1:16" x14ac:dyDescent="0.3">
      <c r="A1711" t="s">
        <v>3107</v>
      </c>
      <c r="B1711" s="9" t="s">
        <v>1557</v>
      </c>
      <c r="C1711" s="20" t="str">
        <f t="shared" si="26"/>
        <v>Jun</v>
      </c>
      <c r="D1711" t="s">
        <v>1026</v>
      </c>
      <c r="E1711" s="10" t="s">
        <v>2239</v>
      </c>
      <c r="F1711" t="s">
        <v>64</v>
      </c>
      <c r="G1711" t="s">
        <v>26</v>
      </c>
      <c r="H1711" t="s">
        <v>118</v>
      </c>
      <c r="I1711">
        <v>2</v>
      </c>
      <c r="J1711" s="3">
        <v>133.81</v>
      </c>
      <c r="K1711" s="2">
        <v>0.05</v>
      </c>
      <c r="L1711" s="3">
        <v>254.24</v>
      </c>
      <c r="M1711" s="3">
        <v>73.19</v>
      </c>
      <c r="N1711" t="s">
        <v>35</v>
      </c>
      <c r="O1711" s="3"/>
      <c r="P1711" s="3"/>
    </row>
    <row r="1712" spans="1:16" x14ac:dyDescent="0.3">
      <c r="A1712" t="s">
        <v>3108</v>
      </c>
      <c r="B1712" s="9" t="s">
        <v>457</v>
      </c>
      <c r="C1712" s="20" t="str">
        <f t="shared" si="26"/>
        <v>Jan</v>
      </c>
      <c r="D1712" t="s">
        <v>1379</v>
      </c>
      <c r="E1712" s="10" t="s">
        <v>937</v>
      </c>
      <c r="F1712" t="s">
        <v>59</v>
      </c>
      <c r="G1712" t="s">
        <v>33</v>
      </c>
      <c r="H1712" t="s">
        <v>69</v>
      </c>
      <c r="I1712">
        <v>5</v>
      </c>
      <c r="J1712" s="3">
        <v>84.21</v>
      </c>
      <c r="K1712" s="2">
        <v>0.15</v>
      </c>
      <c r="L1712" s="3">
        <v>357.89</v>
      </c>
      <c r="M1712" s="3">
        <v>94.94</v>
      </c>
      <c r="N1712" t="s">
        <v>40</v>
      </c>
      <c r="O1712" s="3"/>
      <c r="P1712" s="3"/>
    </row>
    <row r="1713" spans="1:16" x14ac:dyDescent="0.3">
      <c r="A1713" t="s">
        <v>3109</v>
      </c>
      <c r="B1713" s="9" t="s">
        <v>493</v>
      </c>
      <c r="C1713" s="20" t="str">
        <f t="shared" si="26"/>
        <v>Jan</v>
      </c>
      <c r="D1713" t="s">
        <v>177</v>
      </c>
      <c r="E1713" s="10" t="s">
        <v>300</v>
      </c>
      <c r="F1713" t="s">
        <v>25</v>
      </c>
      <c r="G1713" t="s">
        <v>26</v>
      </c>
      <c r="H1713" t="s">
        <v>84</v>
      </c>
      <c r="I1713">
        <v>8</v>
      </c>
      <c r="J1713" s="3">
        <v>44.96</v>
      </c>
      <c r="K1713" s="2">
        <v>0.1</v>
      </c>
      <c r="L1713" s="3">
        <v>323.70999999999998</v>
      </c>
      <c r="M1713" s="3">
        <v>61.09</v>
      </c>
      <c r="N1713" t="s">
        <v>35</v>
      </c>
      <c r="O1713" s="3"/>
      <c r="P1713" s="3"/>
    </row>
    <row r="1714" spans="1:16" x14ac:dyDescent="0.3">
      <c r="A1714" t="s">
        <v>3110</v>
      </c>
      <c r="B1714" s="9" t="s">
        <v>1081</v>
      </c>
      <c r="C1714" s="20" t="str">
        <f t="shared" si="26"/>
        <v>Sep</v>
      </c>
      <c r="D1714" t="s">
        <v>684</v>
      </c>
      <c r="E1714" s="10" t="s">
        <v>576</v>
      </c>
      <c r="F1714" t="s">
        <v>59</v>
      </c>
      <c r="G1714" t="s">
        <v>33</v>
      </c>
      <c r="H1714" t="s">
        <v>50</v>
      </c>
      <c r="I1714">
        <v>2</v>
      </c>
      <c r="J1714" s="3">
        <v>64.680000000000007</v>
      </c>
      <c r="K1714" s="2">
        <v>0.15</v>
      </c>
      <c r="L1714" s="3">
        <v>109.96</v>
      </c>
      <c r="M1714" s="3">
        <v>22.94</v>
      </c>
      <c r="N1714" t="s">
        <v>35</v>
      </c>
      <c r="O1714" s="3"/>
      <c r="P1714" s="3"/>
    </row>
    <row r="1715" spans="1:16" x14ac:dyDescent="0.3">
      <c r="A1715" t="s">
        <v>3113</v>
      </c>
      <c r="B1715" s="9" t="s">
        <v>1883</v>
      </c>
      <c r="C1715" s="20" t="str">
        <f t="shared" si="26"/>
        <v>Jun</v>
      </c>
      <c r="D1715" t="s">
        <v>1682</v>
      </c>
      <c r="E1715" s="10" t="s">
        <v>2372</v>
      </c>
      <c r="F1715" t="s">
        <v>32</v>
      </c>
      <c r="G1715" t="s">
        <v>18</v>
      </c>
      <c r="H1715" t="s">
        <v>19</v>
      </c>
      <c r="I1715">
        <v>2</v>
      </c>
      <c r="J1715" s="3">
        <v>185.56</v>
      </c>
      <c r="K1715" s="2">
        <v>0.15</v>
      </c>
      <c r="L1715" s="3">
        <v>315.45</v>
      </c>
      <c r="M1715" s="3">
        <v>91.6</v>
      </c>
      <c r="N1715" t="s">
        <v>40</v>
      </c>
      <c r="O1715" s="3"/>
      <c r="P1715" s="3"/>
    </row>
    <row r="1716" spans="1:16" x14ac:dyDescent="0.3">
      <c r="A1716" t="s">
        <v>3114</v>
      </c>
      <c r="B1716" s="9" t="s">
        <v>278</v>
      </c>
      <c r="C1716" s="20" t="str">
        <f t="shared" si="26"/>
        <v>Jul</v>
      </c>
      <c r="D1716" t="s">
        <v>890</v>
      </c>
      <c r="E1716" s="10" t="s">
        <v>98</v>
      </c>
      <c r="F1716" t="s">
        <v>59</v>
      </c>
      <c r="G1716" t="s">
        <v>26</v>
      </c>
      <c r="H1716" t="s">
        <v>118</v>
      </c>
      <c r="I1716">
        <v>7</v>
      </c>
      <c r="J1716" s="3">
        <v>84.59</v>
      </c>
      <c r="K1716" s="2">
        <v>0.05</v>
      </c>
      <c r="L1716" s="3">
        <v>562.52</v>
      </c>
      <c r="M1716" s="3">
        <v>118.18</v>
      </c>
      <c r="N1716" t="s">
        <v>20</v>
      </c>
      <c r="O1716" s="3"/>
      <c r="P1716" s="3"/>
    </row>
    <row r="1717" spans="1:16" x14ac:dyDescent="0.3">
      <c r="A1717" t="s">
        <v>3115</v>
      </c>
      <c r="B1717" s="9" t="s">
        <v>286</v>
      </c>
      <c r="C1717" s="20" t="str">
        <f t="shared" si="26"/>
        <v>Mar</v>
      </c>
      <c r="D1717" t="s">
        <v>504</v>
      </c>
      <c r="E1717" s="10" t="s">
        <v>1505</v>
      </c>
      <c r="F1717" t="s">
        <v>64</v>
      </c>
      <c r="G1717" t="s">
        <v>26</v>
      </c>
      <c r="H1717" t="s">
        <v>84</v>
      </c>
      <c r="I1717">
        <v>1</v>
      </c>
      <c r="J1717" s="3">
        <v>246.18</v>
      </c>
      <c r="K1717" s="2">
        <v>0.1</v>
      </c>
      <c r="L1717" s="3">
        <v>221.56</v>
      </c>
      <c r="M1717" s="3">
        <v>28.85</v>
      </c>
      <c r="N1717" t="s">
        <v>20</v>
      </c>
      <c r="O1717" s="3"/>
      <c r="P1717" s="3"/>
    </row>
    <row r="1718" spans="1:16" x14ac:dyDescent="0.3">
      <c r="A1718" t="s">
        <v>3116</v>
      </c>
      <c r="B1718" s="9" t="s">
        <v>1536</v>
      </c>
      <c r="C1718" s="20" t="str">
        <f t="shared" si="26"/>
        <v>Oct</v>
      </c>
      <c r="D1718" t="s">
        <v>1227</v>
      </c>
      <c r="E1718" s="10" t="s">
        <v>1767</v>
      </c>
      <c r="F1718" t="s">
        <v>59</v>
      </c>
      <c r="G1718" t="s">
        <v>33</v>
      </c>
      <c r="H1718" t="s">
        <v>50</v>
      </c>
      <c r="I1718">
        <v>2</v>
      </c>
      <c r="J1718" s="3">
        <v>61.03</v>
      </c>
      <c r="K1718" s="2">
        <v>0.1</v>
      </c>
      <c r="L1718" s="3">
        <v>109.85</v>
      </c>
      <c r="M1718" s="3">
        <v>24.23</v>
      </c>
      <c r="N1718" t="s">
        <v>40</v>
      </c>
      <c r="O1718" s="3"/>
      <c r="P1718" s="3"/>
    </row>
    <row r="1719" spans="1:16" x14ac:dyDescent="0.3">
      <c r="A1719" t="s">
        <v>3117</v>
      </c>
      <c r="B1719" s="9" t="s">
        <v>1644</v>
      </c>
      <c r="C1719" s="20" t="str">
        <f t="shared" si="26"/>
        <v>Sep</v>
      </c>
      <c r="D1719" t="s">
        <v>644</v>
      </c>
      <c r="E1719" s="10" t="s">
        <v>1647</v>
      </c>
      <c r="F1719" t="s">
        <v>25</v>
      </c>
      <c r="G1719" t="s">
        <v>26</v>
      </c>
      <c r="H1719" t="s">
        <v>118</v>
      </c>
      <c r="I1719">
        <v>2</v>
      </c>
      <c r="J1719" s="3">
        <v>51.09</v>
      </c>
      <c r="K1719" s="2">
        <v>0</v>
      </c>
      <c r="L1719" s="3">
        <v>102.18</v>
      </c>
      <c r="M1719" s="3">
        <v>30.52</v>
      </c>
      <c r="N1719" t="s">
        <v>20</v>
      </c>
      <c r="O1719" s="3"/>
      <c r="P1719" s="3"/>
    </row>
    <row r="1720" spans="1:16" x14ac:dyDescent="0.3">
      <c r="A1720" t="s">
        <v>3118</v>
      </c>
      <c r="B1720" s="9" t="s">
        <v>1267</v>
      </c>
      <c r="C1720" s="20" t="str">
        <f t="shared" si="26"/>
        <v>Aug</v>
      </c>
      <c r="D1720" t="s">
        <v>2925</v>
      </c>
      <c r="E1720" s="10" t="s">
        <v>227</v>
      </c>
      <c r="F1720" t="s">
        <v>64</v>
      </c>
      <c r="G1720" t="s">
        <v>18</v>
      </c>
      <c r="H1720" t="s">
        <v>19</v>
      </c>
      <c r="I1720">
        <v>1</v>
      </c>
      <c r="J1720" s="3">
        <v>137.13999999999999</v>
      </c>
      <c r="K1720" s="2">
        <v>0</v>
      </c>
      <c r="L1720" s="3">
        <v>137.13999999999999</v>
      </c>
      <c r="M1720" s="3">
        <v>18.13</v>
      </c>
      <c r="N1720" t="s">
        <v>35</v>
      </c>
      <c r="O1720" s="3"/>
      <c r="P1720" s="3"/>
    </row>
    <row r="1721" spans="1:16" x14ac:dyDescent="0.3">
      <c r="A1721" t="s">
        <v>3119</v>
      </c>
      <c r="B1721" s="9" t="s">
        <v>1581</v>
      </c>
      <c r="C1721" s="20" t="str">
        <f t="shared" si="26"/>
        <v>May</v>
      </c>
      <c r="D1721" t="s">
        <v>740</v>
      </c>
      <c r="E1721" s="10" t="s">
        <v>738</v>
      </c>
      <c r="F1721" t="s">
        <v>64</v>
      </c>
      <c r="G1721" t="s">
        <v>26</v>
      </c>
      <c r="H1721" t="s">
        <v>118</v>
      </c>
      <c r="I1721">
        <v>1</v>
      </c>
      <c r="J1721" s="3">
        <v>65.2</v>
      </c>
      <c r="K1721" s="2">
        <v>0.15</v>
      </c>
      <c r="L1721" s="3">
        <v>55.42</v>
      </c>
      <c r="M1721" s="3">
        <v>10.09</v>
      </c>
      <c r="N1721" t="s">
        <v>40</v>
      </c>
      <c r="O1721" s="3"/>
      <c r="P1721" s="3"/>
    </row>
    <row r="1722" spans="1:16" x14ac:dyDescent="0.3">
      <c r="A1722" t="s">
        <v>3120</v>
      </c>
      <c r="B1722" s="9" t="s">
        <v>365</v>
      </c>
      <c r="C1722" s="20" t="str">
        <f t="shared" si="26"/>
        <v>Nov</v>
      </c>
      <c r="D1722" t="s">
        <v>1754</v>
      </c>
      <c r="E1722" s="10" t="s">
        <v>1067</v>
      </c>
      <c r="F1722" t="s">
        <v>59</v>
      </c>
      <c r="G1722" t="s">
        <v>18</v>
      </c>
      <c r="H1722" t="s">
        <v>19</v>
      </c>
      <c r="I1722">
        <v>2</v>
      </c>
      <c r="J1722" s="3">
        <v>35.08</v>
      </c>
      <c r="K1722" s="2">
        <v>0</v>
      </c>
      <c r="L1722" s="3">
        <v>70.16</v>
      </c>
      <c r="M1722" s="3">
        <v>15.41</v>
      </c>
      <c r="N1722" t="s">
        <v>40</v>
      </c>
      <c r="O1722" s="3"/>
      <c r="P1722" s="3"/>
    </row>
    <row r="1723" spans="1:16" x14ac:dyDescent="0.3">
      <c r="A1723" t="s">
        <v>3121</v>
      </c>
      <c r="B1723" s="9" t="s">
        <v>752</v>
      </c>
      <c r="C1723" s="20" t="str">
        <f t="shared" si="26"/>
        <v>Dec</v>
      </c>
      <c r="D1723" t="s">
        <v>802</v>
      </c>
      <c r="E1723" s="10" t="s">
        <v>813</v>
      </c>
      <c r="F1723" t="s">
        <v>25</v>
      </c>
      <c r="G1723" t="s">
        <v>89</v>
      </c>
      <c r="H1723" t="s">
        <v>150</v>
      </c>
      <c r="I1723">
        <v>5</v>
      </c>
      <c r="J1723" s="3">
        <v>148.07</v>
      </c>
      <c r="K1723" s="2">
        <v>0</v>
      </c>
      <c r="L1723" s="3">
        <v>740.35</v>
      </c>
      <c r="M1723" s="3">
        <v>61.81</v>
      </c>
      <c r="N1723" t="s">
        <v>40</v>
      </c>
      <c r="O1723" s="3"/>
      <c r="P1723" s="3"/>
    </row>
    <row r="1724" spans="1:16" x14ac:dyDescent="0.3">
      <c r="A1724" t="s">
        <v>3122</v>
      </c>
      <c r="B1724" s="9" t="s">
        <v>1136</v>
      </c>
      <c r="C1724" s="20" t="str">
        <f t="shared" si="26"/>
        <v>Apr</v>
      </c>
      <c r="D1724" t="s">
        <v>1411</v>
      </c>
      <c r="E1724" s="10" t="s">
        <v>1859</v>
      </c>
      <c r="F1724" t="s">
        <v>64</v>
      </c>
      <c r="G1724" t="s">
        <v>18</v>
      </c>
      <c r="H1724" t="s">
        <v>45</v>
      </c>
      <c r="I1724">
        <v>6</v>
      </c>
      <c r="J1724" s="3">
        <v>59.87</v>
      </c>
      <c r="K1724" s="2">
        <v>0.1</v>
      </c>
      <c r="L1724" s="3">
        <v>323.3</v>
      </c>
      <c r="M1724" s="3">
        <v>45.05</v>
      </c>
      <c r="N1724" t="s">
        <v>40</v>
      </c>
      <c r="O1724" s="3"/>
      <c r="P1724" s="3"/>
    </row>
    <row r="1725" spans="1:16" x14ac:dyDescent="0.3">
      <c r="A1725" t="s">
        <v>3123</v>
      </c>
      <c r="B1725" s="9" t="s">
        <v>92</v>
      </c>
      <c r="C1725" s="20" t="str">
        <f t="shared" si="26"/>
        <v>Nov</v>
      </c>
      <c r="D1725" t="s">
        <v>116</v>
      </c>
      <c r="E1725" s="10" t="s">
        <v>445</v>
      </c>
      <c r="F1725" t="s">
        <v>59</v>
      </c>
      <c r="G1725" t="s">
        <v>33</v>
      </c>
      <c r="H1725" t="s">
        <v>69</v>
      </c>
      <c r="I1725">
        <v>1</v>
      </c>
      <c r="J1725" s="3">
        <v>163.78</v>
      </c>
      <c r="K1725" s="2">
        <v>0.05</v>
      </c>
      <c r="L1725" s="3">
        <v>155.59</v>
      </c>
      <c r="M1725" s="3">
        <v>36.159999999999997</v>
      </c>
      <c r="N1725" t="s">
        <v>40</v>
      </c>
      <c r="O1725" s="3"/>
      <c r="P1725" s="3"/>
    </row>
    <row r="1726" spans="1:16" x14ac:dyDescent="0.3">
      <c r="A1726" t="s">
        <v>3124</v>
      </c>
      <c r="B1726" s="9" t="s">
        <v>1624</v>
      </c>
      <c r="C1726" s="20" t="str">
        <f t="shared" si="26"/>
        <v>May</v>
      </c>
      <c r="D1726" t="s">
        <v>507</v>
      </c>
      <c r="E1726" s="10" t="s">
        <v>1051</v>
      </c>
      <c r="F1726" t="s">
        <v>64</v>
      </c>
      <c r="G1726" t="s">
        <v>89</v>
      </c>
      <c r="H1726" t="s">
        <v>150</v>
      </c>
      <c r="I1726">
        <v>7</v>
      </c>
      <c r="J1726" s="3">
        <v>78.84</v>
      </c>
      <c r="K1726" s="2">
        <v>0.1</v>
      </c>
      <c r="L1726" s="3">
        <v>496.69</v>
      </c>
      <c r="M1726" s="3">
        <v>142.01</v>
      </c>
      <c r="N1726" t="s">
        <v>35</v>
      </c>
      <c r="O1726" s="3"/>
      <c r="P1726" s="3"/>
    </row>
    <row r="1727" spans="1:16" x14ac:dyDescent="0.3">
      <c r="A1727" t="s">
        <v>3125</v>
      </c>
      <c r="B1727" s="9" t="s">
        <v>408</v>
      </c>
      <c r="C1727" s="20" t="str">
        <f t="shared" si="26"/>
        <v>Jun</v>
      </c>
      <c r="D1727" t="s">
        <v>1957</v>
      </c>
      <c r="E1727" s="10" t="s">
        <v>1640</v>
      </c>
      <c r="F1727" t="s">
        <v>17</v>
      </c>
      <c r="G1727" t="s">
        <v>18</v>
      </c>
      <c r="H1727" t="s">
        <v>45</v>
      </c>
      <c r="I1727">
        <v>8</v>
      </c>
      <c r="J1727" s="3">
        <v>76.23</v>
      </c>
      <c r="K1727" s="2">
        <v>0.05</v>
      </c>
      <c r="L1727" s="3">
        <v>579.35</v>
      </c>
      <c r="M1727" s="3">
        <v>150.77000000000001</v>
      </c>
      <c r="N1727" t="s">
        <v>35</v>
      </c>
      <c r="O1727" s="3"/>
      <c r="P1727" s="3"/>
    </row>
    <row r="1728" spans="1:16" x14ac:dyDescent="0.3">
      <c r="A1728" t="s">
        <v>3128</v>
      </c>
      <c r="B1728" s="9" t="s">
        <v>983</v>
      </c>
      <c r="C1728" s="20" t="str">
        <f t="shared" si="26"/>
        <v>Oct</v>
      </c>
      <c r="D1728" t="s">
        <v>555</v>
      </c>
      <c r="E1728" s="10" t="s">
        <v>1828</v>
      </c>
      <c r="F1728" t="s">
        <v>17</v>
      </c>
      <c r="G1728" t="s">
        <v>33</v>
      </c>
      <c r="H1728" t="s">
        <v>74</v>
      </c>
      <c r="I1728">
        <v>1</v>
      </c>
      <c r="J1728" s="3">
        <v>110.81</v>
      </c>
      <c r="K1728" s="2">
        <v>0.1</v>
      </c>
      <c r="L1728" s="3">
        <v>99.73</v>
      </c>
      <c r="M1728" s="3">
        <v>12.73</v>
      </c>
      <c r="N1728" t="s">
        <v>20</v>
      </c>
      <c r="O1728" s="3"/>
      <c r="P1728" s="3"/>
    </row>
    <row r="1729" spans="1:16" x14ac:dyDescent="0.3">
      <c r="A1729" t="s">
        <v>3129</v>
      </c>
      <c r="B1729" s="9" t="s">
        <v>170</v>
      </c>
      <c r="C1729" s="20" t="str">
        <f t="shared" si="26"/>
        <v>Mar</v>
      </c>
      <c r="D1729" t="s">
        <v>1968</v>
      </c>
      <c r="E1729" s="10" t="s">
        <v>1934</v>
      </c>
      <c r="F1729" t="s">
        <v>25</v>
      </c>
      <c r="G1729" t="s">
        <v>26</v>
      </c>
      <c r="H1729" t="s">
        <v>84</v>
      </c>
      <c r="I1729">
        <v>2</v>
      </c>
      <c r="J1729" s="3">
        <v>48.84</v>
      </c>
      <c r="K1729" s="2">
        <v>0</v>
      </c>
      <c r="L1729" s="3">
        <v>97.68</v>
      </c>
      <c r="M1729" s="3">
        <v>20</v>
      </c>
      <c r="N1729" t="s">
        <v>35</v>
      </c>
      <c r="O1729" s="3"/>
      <c r="P1729" s="3"/>
    </row>
    <row r="1730" spans="1:16" x14ac:dyDescent="0.3">
      <c r="A1730" t="s">
        <v>3130</v>
      </c>
      <c r="B1730" s="9" t="s">
        <v>392</v>
      </c>
      <c r="C1730" s="20" t="str">
        <f t="shared" ref="C1730:C1793" si="27">TEXT(B:B, "mmm")</f>
        <v>Jan</v>
      </c>
      <c r="D1730" t="s">
        <v>876</v>
      </c>
      <c r="E1730" s="10" t="s">
        <v>1127</v>
      </c>
      <c r="F1730" t="s">
        <v>64</v>
      </c>
      <c r="G1730" t="s">
        <v>18</v>
      </c>
      <c r="H1730" t="s">
        <v>79</v>
      </c>
      <c r="I1730">
        <v>7</v>
      </c>
      <c r="J1730" s="3">
        <v>39.869999999999997</v>
      </c>
      <c r="K1730" s="2">
        <v>0.05</v>
      </c>
      <c r="L1730" s="3">
        <v>265.14</v>
      </c>
      <c r="M1730" s="3">
        <v>75.59</v>
      </c>
      <c r="N1730" t="s">
        <v>40</v>
      </c>
      <c r="O1730" s="3"/>
      <c r="P1730" s="3"/>
    </row>
    <row r="1731" spans="1:16" x14ac:dyDescent="0.3">
      <c r="A1731" t="s">
        <v>3131</v>
      </c>
      <c r="B1731" s="9" t="s">
        <v>810</v>
      </c>
      <c r="C1731" s="20" t="str">
        <f t="shared" si="27"/>
        <v>Feb</v>
      </c>
      <c r="D1731" t="s">
        <v>2809</v>
      </c>
      <c r="E1731" s="10" t="s">
        <v>803</v>
      </c>
      <c r="F1731" t="s">
        <v>32</v>
      </c>
      <c r="G1731" t="s">
        <v>18</v>
      </c>
      <c r="H1731" t="s">
        <v>19</v>
      </c>
      <c r="I1731">
        <v>8</v>
      </c>
      <c r="J1731" s="3">
        <v>49.06</v>
      </c>
      <c r="K1731" s="2">
        <v>0.1</v>
      </c>
      <c r="L1731" s="3">
        <v>353.23</v>
      </c>
      <c r="M1731" s="3">
        <v>68.540000000000006</v>
      </c>
      <c r="N1731" t="s">
        <v>40</v>
      </c>
      <c r="O1731" s="3"/>
      <c r="P1731" s="3"/>
    </row>
    <row r="1732" spans="1:16" x14ac:dyDescent="0.3">
      <c r="A1732" t="s">
        <v>3132</v>
      </c>
      <c r="B1732" s="9" t="s">
        <v>810</v>
      </c>
      <c r="C1732" s="20" t="str">
        <f t="shared" si="27"/>
        <v>Feb</v>
      </c>
      <c r="D1732" t="s">
        <v>30</v>
      </c>
      <c r="E1732" s="10" t="s">
        <v>1731</v>
      </c>
      <c r="F1732" t="s">
        <v>17</v>
      </c>
      <c r="G1732" t="s">
        <v>33</v>
      </c>
      <c r="H1732" t="s">
        <v>69</v>
      </c>
      <c r="I1732">
        <v>3</v>
      </c>
      <c r="J1732" s="3">
        <v>134.63999999999999</v>
      </c>
      <c r="K1732" s="2">
        <v>0.15</v>
      </c>
      <c r="L1732" s="3">
        <v>343.33</v>
      </c>
      <c r="M1732" s="3">
        <v>64.06</v>
      </c>
      <c r="N1732" t="s">
        <v>35</v>
      </c>
      <c r="O1732" s="3"/>
      <c r="P1732" s="3"/>
    </row>
    <row r="1733" spans="1:16" x14ac:dyDescent="0.3">
      <c r="A1733" t="s">
        <v>3133</v>
      </c>
      <c r="B1733" s="9" t="s">
        <v>335</v>
      </c>
      <c r="C1733" s="20" t="str">
        <f t="shared" si="27"/>
        <v>Oct</v>
      </c>
      <c r="D1733" t="s">
        <v>3134</v>
      </c>
      <c r="E1733" s="10" t="s">
        <v>803</v>
      </c>
      <c r="F1733" t="s">
        <v>25</v>
      </c>
      <c r="G1733" t="s">
        <v>89</v>
      </c>
      <c r="H1733" t="s">
        <v>90</v>
      </c>
      <c r="I1733">
        <v>1</v>
      </c>
      <c r="J1733" s="3">
        <v>242.91</v>
      </c>
      <c r="K1733" s="2">
        <v>0.05</v>
      </c>
      <c r="L1733" s="3">
        <v>230.76</v>
      </c>
      <c r="M1733" s="3">
        <v>35.96</v>
      </c>
      <c r="N1733" t="s">
        <v>35</v>
      </c>
      <c r="O1733" s="3"/>
      <c r="P1733" s="3"/>
    </row>
    <row r="1734" spans="1:16" x14ac:dyDescent="0.3">
      <c r="A1734" t="s">
        <v>3135</v>
      </c>
      <c r="B1734" s="9" t="s">
        <v>443</v>
      </c>
      <c r="C1734" s="20" t="str">
        <f t="shared" si="27"/>
        <v>Oct</v>
      </c>
      <c r="D1734" t="s">
        <v>3057</v>
      </c>
      <c r="E1734" s="10" t="s">
        <v>618</v>
      </c>
      <c r="F1734" t="s">
        <v>64</v>
      </c>
      <c r="G1734" t="s">
        <v>33</v>
      </c>
      <c r="H1734" t="s">
        <v>74</v>
      </c>
      <c r="I1734">
        <v>5</v>
      </c>
      <c r="J1734" s="3">
        <v>136.15</v>
      </c>
      <c r="K1734" s="2">
        <v>0</v>
      </c>
      <c r="L1734" s="3">
        <v>680.75</v>
      </c>
      <c r="M1734" s="3">
        <v>193.98</v>
      </c>
      <c r="N1734" t="s">
        <v>35</v>
      </c>
      <c r="O1734" s="3"/>
      <c r="P1734" s="3"/>
    </row>
    <row r="1735" spans="1:16" x14ac:dyDescent="0.3">
      <c r="A1735" t="s">
        <v>3136</v>
      </c>
      <c r="B1735" s="9" t="s">
        <v>974</v>
      </c>
      <c r="C1735" s="20" t="str">
        <f t="shared" si="27"/>
        <v>May</v>
      </c>
      <c r="D1735" t="s">
        <v>350</v>
      </c>
      <c r="E1735" s="10" t="s">
        <v>469</v>
      </c>
      <c r="F1735" t="s">
        <v>64</v>
      </c>
      <c r="G1735" t="s">
        <v>18</v>
      </c>
      <c r="H1735" t="s">
        <v>79</v>
      </c>
      <c r="I1735">
        <v>4</v>
      </c>
      <c r="J1735" s="3">
        <v>92.7</v>
      </c>
      <c r="K1735" s="2">
        <v>0.15</v>
      </c>
      <c r="L1735" s="3">
        <v>315.18</v>
      </c>
      <c r="M1735" s="3">
        <v>60.27</v>
      </c>
      <c r="N1735" t="s">
        <v>20</v>
      </c>
      <c r="O1735" s="3"/>
      <c r="P1735" s="3"/>
    </row>
    <row r="1736" spans="1:16" x14ac:dyDescent="0.3">
      <c r="A1736" t="s">
        <v>3137</v>
      </c>
      <c r="B1736" s="9" t="s">
        <v>290</v>
      </c>
      <c r="C1736" s="20" t="str">
        <f t="shared" si="27"/>
        <v>Jul</v>
      </c>
      <c r="D1736" t="s">
        <v>1237</v>
      </c>
      <c r="E1736" s="10" t="s">
        <v>997</v>
      </c>
      <c r="F1736" t="s">
        <v>64</v>
      </c>
      <c r="G1736" t="s">
        <v>89</v>
      </c>
      <c r="H1736" t="s">
        <v>90</v>
      </c>
      <c r="I1736">
        <v>7</v>
      </c>
      <c r="J1736" s="3">
        <v>153.13</v>
      </c>
      <c r="K1736" s="2">
        <v>0</v>
      </c>
      <c r="L1736" s="3">
        <v>1071.9100000000001</v>
      </c>
      <c r="M1736" s="3">
        <v>267.55</v>
      </c>
      <c r="N1736" t="s">
        <v>40</v>
      </c>
      <c r="O1736" s="3"/>
      <c r="P1736" s="3"/>
    </row>
    <row r="1737" spans="1:16" x14ac:dyDescent="0.3">
      <c r="A1737" t="s">
        <v>3138</v>
      </c>
      <c r="B1737" s="9" t="s">
        <v>37</v>
      </c>
      <c r="C1737" s="20" t="str">
        <f t="shared" si="27"/>
        <v>Dec</v>
      </c>
      <c r="D1737" t="s">
        <v>421</v>
      </c>
      <c r="E1737" s="10" t="s">
        <v>3015</v>
      </c>
      <c r="F1737" t="s">
        <v>59</v>
      </c>
      <c r="G1737" t="s">
        <v>33</v>
      </c>
      <c r="H1737" t="s">
        <v>74</v>
      </c>
      <c r="I1737">
        <v>3</v>
      </c>
      <c r="J1737" s="3">
        <v>76.41</v>
      </c>
      <c r="K1737" s="2">
        <v>0.1</v>
      </c>
      <c r="L1737" s="3">
        <v>206.31</v>
      </c>
      <c r="M1737" s="3">
        <v>50.81</v>
      </c>
      <c r="N1737" t="s">
        <v>35</v>
      </c>
      <c r="O1737" s="3"/>
      <c r="P1737" s="3"/>
    </row>
    <row r="1738" spans="1:16" x14ac:dyDescent="0.3">
      <c r="A1738" t="s">
        <v>3139</v>
      </c>
      <c r="B1738" s="9" t="s">
        <v>1715</v>
      </c>
      <c r="C1738" s="20" t="str">
        <f t="shared" si="27"/>
        <v>Dec</v>
      </c>
      <c r="D1738" t="s">
        <v>2618</v>
      </c>
      <c r="E1738" s="10" t="s">
        <v>273</v>
      </c>
      <c r="F1738" t="s">
        <v>17</v>
      </c>
      <c r="G1738" t="s">
        <v>26</v>
      </c>
      <c r="H1738" t="s">
        <v>118</v>
      </c>
      <c r="I1738">
        <v>3</v>
      </c>
      <c r="J1738" s="3">
        <v>60.76</v>
      </c>
      <c r="K1738" s="2">
        <v>0.15</v>
      </c>
      <c r="L1738" s="3">
        <v>154.94</v>
      </c>
      <c r="M1738" s="3">
        <v>17.329999999999998</v>
      </c>
      <c r="N1738" t="s">
        <v>40</v>
      </c>
      <c r="O1738" s="3"/>
      <c r="P1738" s="3"/>
    </row>
    <row r="1739" spans="1:16" x14ac:dyDescent="0.3">
      <c r="A1739" t="s">
        <v>3142</v>
      </c>
      <c r="B1739" s="9" t="s">
        <v>1015</v>
      </c>
      <c r="C1739" s="20" t="str">
        <f t="shared" si="27"/>
        <v>Mar</v>
      </c>
      <c r="D1739" t="s">
        <v>3143</v>
      </c>
      <c r="E1739" s="10" t="s">
        <v>621</v>
      </c>
      <c r="F1739" t="s">
        <v>64</v>
      </c>
      <c r="G1739" t="s">
        <v>26</v>
      </c>
      <c r="H1739" t="s">
        <v>27</v>
      </c>
      <c r="I1739">
        <v>8</v>
      </c>
      <c r="J1739" s="3">
        <v>59.7</v>
      </c>
      <c r="K1739" s="2">
        <v>0</v>
      </c>
      <c r="L1739" s="3">
        <v>477.6</v>
      </c>
      <c r="M1739" s="3">
        <v>93.2</v>
      </c>
      <c r="N1739" t="s">
        <v>35</v>
      </c>
      <c r="O1739" s="3"/>
      <c r="P1739" s="3"/>
    </row>
    <row r="1740" spans="1:16" x14ac:dyDescent="0.3">
      <c r="A1740" t="s">
        <v>3144</v>
      </c>
      <c r="B1740" s="9" t="s">
        <v>1415</v>
      </c>
      <c r="C1740" s="20" t="str">
        <f t="shared" si="27"/>
        <v>Sep</v>
      </c>
      <c r="D1740" t="s">
        <v>1798</v>
      </c>
      <c r="E1740" s="10" t="s">
        <v>1258</v>
      </c>
      <c r="F1740" t="s">
        <v>64</v>
      </c>
      <c r="G1740" t="s">
        <v>18</v>
      </c>
      <c r="H1740" t="s">
        <v>79</v>
      </c>
      <c r="I1740">
        <v>3</v>
      </c>
      <c r="J1740" s="3">
        <v>178.41</v>
      </c>
      <c r="K1740" s="2">
        <v>0.05</v>
      </c>
      <c r="L1740" s="3">
        <v>508.47</v>
      </c>
      <c r="M1740" s="3">
        <v>113.36</v>
      </c>
      <c r="N1740" t="s">
        <v>35</v>
      </c>
      <c r="O1740" s="3"/>
      <c r="P1740" s="3"/>
    </row>
    <row r="1741" spans="1:16" x14ac:dyDescent="0.3">
      <c r="A1741" t="s">
        <v>3145</v>
      </c>
      <c r="B1741" s="9" t="s">
        <v>1650</v>
      </c>
      <c r="C1741" s="20" t="str">
        <f t="shared" si="27"/>
        <v>Sep</v>
      </c>
      <c r="D1741" t="s">
        <v>116</v>
      </c>
      <c r="E1741" s="10" t="s">
        <v>2418</v>
      </c>
      <c r="F1741" t="s">
        <v>64</v>
      </c>
      <c r="G1741" t="s">
        <v>33</v>
      </c>
      <c r="H1741" t="s">
        <v>50</v>
      </c>
      <c r="I1741">
        <v>1</v>
      </c>
      <c r="J1741" s="3">
        <v>10.37</v>
      </c>
      <c r="K1741" s="2">
        <v>0.1</v>
      </c>
      <c r="L1741" s="3">
        <v>9.33</v>
      </c>
      <c r="M1741" s="3">
        <v>2.0099999999999998</v>
      </c>
      <c r="N1741" t="s">
        <v>35</v>
      </c>
      <c r="O1741" s="3"/>
      <c r="P1741" s="3"/>
    </row>
    <row r="1742" spans="1:16" x14ac:dyDescent="0.3">
      <c r="A1742" t="s">
        <v>3146</v>
      </c>
      <c r="B1742" s="9" t="s">
        <v>974</v>
      </c>
      <c r="C1742" s="20" t="str">
        <f t="shared" si="27"/>
        <v>May</v>
      </c>
      <c r="D1742" t="s">
        <v>946</v>
      </c>
      <c r="E1742" s="10" t="s">
        <v>738</v>
      </c>
      <c r="F1742" t="s">
        <v>32</v>
      </c>
      <c r="G1742" t="s">
        <v>89</v>
      </c>
      <c r="H1742" t="s">
        <v>90</v>
      </c>
      <c r="I1742">
        <v>2</v>
      </c>
      <c r="J1742" s="3">
        <v>69.22</v>
      </c>
      <c r="K1742" s="2">
        <v>0.15</v>
      </c>
      <c r="L1742" s="3">
        <v>117.67</v>
      </c>
      <c r="M1742" s="3">
        <v>21.83</v>
      </c>
      <c r="N1742" t="s">
        <v>20</v>
      </c>
      <c r="O1742" s="3"/>
      <c r="P1742" s="3"/>
    </row>
    <row r="1743" spans="1:16" x14ac:dyDescent="0.3">
      <c r="A1743" t="s">
        <v>3147</v>
      </c>
      <c r="B1743" s="9" t="s">
        <v>1644</v>
      </c>
      <c r="C1743" s="20" t="str">
        <f t="shared" si="27"/>
        <v>Sep</v>
      </c>
      <c r="D1743" t="s">
        <v>1353</v>
      </c>
      <c r="E1743" s="10" t="s">
        <v>1596</v>
      </c>
      <c r="F1743" t="s">
        <v>17</v>
      </c>
      <c r="G1743" t="s">
        <v>18</v>
      </c>
      <c r="H1743" t="s">
        <v>45</v>
      </c>
      <c r="I1743">
        <v>7</v>
      </c>
      <c r="J1743" s="3">
        <v>181.09</v>
      </c>
      <c r="K1743" s="2">
        <v>0.1</v>
      </c>
      <c r="L1743" s="3">
        <v>1140.8699999999999</v>
      </c>
      <c r="M1743" s="3">
        <v>149.30000000000001</v>
      </c>
      <c r="N1743" t="s">
        <v>20</v>
      </c>
      <c r="O1743" s="3"/>
      <c r="P1743" s="3"/>
    </row>
    <row r="1744" spans="1:16" x14ac:dyDescent="0.3">
      <c r="A1744" t="s">
        <v>3148</v>
      </c>
      <c r="B1744" s="9" t="s">
        <v>1547</v>
      </c>
      <c r="C1744" s="20" t="str">
        <f t="shared" si="27"/>
        <v>Aug</v>
      </c>
      <c r="D1744" t="s">
        <v>174</v>
      </c>
      <c r="E1744" s="10" t="s">
        <v>258</v>
      </c>
      <c r="F1744" t="s">
        <v>64</v>
      </c>
      <c r="G1744" t="s">
        <v>89</v>
      </c>
      <c r="H1744" t="s">
        <v>131</v>
      </c>
      <c r="I1744">
        <v>5</v>
      </c>
      <c r="J1744" s="3">
        <v>167.13</v>
      </c>
      <c r="K1744" s="2">
        <v>0.05</v>
      </c>
      <c r="L1744" s="3">
        <v>793.87</v>
      </c>
      <c r="M1744" s="3">
        <v>223.24</v>
      </c>
      <c r="N1744" t="s">
        <v>20</v>
      </c>
      <c r="O1744" s="3"/>
      <c r="P1744" s="3"/>
    </row>
    <row r="1745" spans="1:16" x14ac:dyDescent="0.3">
      <c r="A1745" t="s">
        <v>3149</v>
      </c>
      <c r="B1745" s="9" t="s">
        <v>306</v>
      </c>
      <c r="C1745" s="20" t="str">
        <f t="shared" si="27"/>
        <v>Jul</v>
      </c>
      <c r="D1745" t="s">
        <v>991</v>
      </c>
      <c r="E1745" s="10" t="s">
        <v>542</v>
      </c>
      <c r="F1745" t="s">
        <v>17</v>
      </c>
      <c r="G1745" t="s">
        <v>89</v>
      </c>
      <c r="H1745" t="s">
        <v>150</v>
      </c>
      <c r="I1745">
        <v>5</v>
      </c>
      <c r="J1745" s="3">
        <v>109.5</v>
      </c>
      <c r="K1745" s="2">
        <v>0</v>
      </c>
      <c r="L1745" s="3">
        <v>547.5</v>
      </c>
      <c r="M1745" s="3">
        <v>60.82</v>
      </c>
      <c r="N1745" t="s">
        <v>20</v>
      </c>
      <c r="O1745" s="3"/>
      <c r="P1745" s="3"/>
    </row>
    <row r="1746" spans="1:16" x14ac:dyDescent="0.3">
      <c r="A1746" t="s">
        <v>3150</v>
      </c>
      <c r="B1746" s="9" t="s">
        <v>217</v>
      </c>
      <c r="C1746" s="20" t="str">
        <f t="shared" si="27"/>
        <v>Dec</v>
      </c>
      <c r="D1746" t="s">
        <v>375</v>
      </c>
      <c r="E1746" s="10" t="s">
        <v>968</v>
      </c>
      <c r="F1746" t="s">
        <v>59</v>
      </c>
      <c r="G1746" t="s">
        <v>89</v>
      </c>
      <c r="H1746" t="s">
        <v>131</v>
      </c>
      <c r="I1746">
        <v>5</v>
      </c>
      <c r="J1746" s="3">
        <v>130.16999999999999</v>
      </c>
      <c r="K1746" s="2">
        <v>0.15</v>
      </c>
      <c r="L1746" s="3">
        <v>553.22</v>
      </c>
      <c r="M1746" s="3">
        <v>83.53</v>
      </c>
      <c r="N1746" t="s">
        <v>20</v>
      </c>
      <c r="O1746" s="3"/>
      <c r="P1746" s="3"/>
    </row>
    <row r="1747" spans="1:16" x14ac:dyDescent="0.3">
      <c r="A1747" t="s">
        <v>3151</v>
      </c>
      <c r="B1747" s="9" t="s">
        <v>104</v>
      </c>
      <c r="C1747" s="20" t="str">
        <f t="shared" si="27"/>
        <v>May</v>
      </c>
      <c r="D1747" t="s">
        <v>53</v>
      </c>
      <c r="E1747" s="10" t="s">
        <v>1419</v>
      </c>
      <c r="F1747" t="s">
        <v>64</v>
      </c>
      <c r="G1747" t="s">
        <v>33</v>
      </c>
      <c r="H1747" t="s">
        <v>50</v>
      </c>
      <c r="I1747">
        <v>8</v>
      </c>
      <c r="J1747" s="3">
        <v>236.47</v>
      </c>
      <c r="K1747" s="2">
        <v>0.05</v>
      </c>
      <c r="L1747" s="3">
        <v>1797.17</v>
      </c>
      <c r="M1747" s="3">
        <v>313.31</v>
      </c>
      <c r="N1747" t="s">
        <v>20</v>
      </c>
      <c r="O1747" s="3"/>
      <c r="P1747" s="3"/>
    </row>
    <row r="1748" spans="1:16" x14ac:dyDescent="0.3">
      <c r="A1748" t="s">
        <v>3152</v>
      </c>
      <c r="B1748" s="9" t="s">
        <v>1081</v>
      </c>
      <c r="C1748" s="20" t="str">
        <f t="shared" si="27"/>
        <v>Sep</v>
      </c>
      <c r="D1748" t="s">
        <v>1074</v>
      </c>
      <c r="E1748" s="10" t="s">
        <v>149</v>
      </c>
      <c r="F1748" t="s">
        <v>17</v>
      </c>
      <c r="G1748" t="s">
        <v>18</v>
      </c>
      <c r="H1748" t="s">
        <v>45</v>
      </c>
      <c r="I1748">
        <v>7</v>
      </c>
      <c r="J1748" s="3">
        <v>190.11</v>
      </c>
      <c r="K1748" s="2">
        <v>0.05</v>
      </c>
      <c r="L1748" s="3">
        <v>1264.23</v>
      </c>
      <c r="M1748" s="3">
        <v>135.9</v>
      </c>
      <c r="N1748" t="s">
        <v>40</v>
      </c>
      <c r="O1748" s="3"/>
      <c r="P1748" s="3"/>
    </row>
    <row r="1749" spans="1:16" x14ac:dyDescent="0.3">
      <c r="A1749" t="s">
        <v>3153</v>
      </c>
      <c r="B1749" s="9" t="s">
        <v>1703</v>
      </c>
      <c r="C1749" s="20" t="str">
        <f t="shared" si="27"/>
        <v>Jan</v>
      </c>
      <c r="D1749" t="s">
        <v>375</v>
      </c>
      <c r="E1749" s="10" t="s">
        <v>919</v>
      </c>
      <c r="F1749" t="s">
        <v>59</v>
      </c>
      <c r="G1749" t="s">
        <v>18</v>
      </c>
      <c r="H1749" t="s">
        <v>79</v>
      </c>
      <c r="I1749">
        <v>3</v>
      </c>
      <c r="J1749" s="3">
        <v>69.569999999999993</v>
      </c>
      <c r="K1749" s="2">
        <v>0.05</v>
      </c>
      <c r="L1749" s="3">
        <v>198.27</v>
      </c>
      <c r="M1749" s="3">
        <v>55.77</v>
      </c>
      <c r="N1749" t="s">
        <v>20</v>
      </c>
      <c r="O1749" s="3"/>
      <c r="P1749" s="3"/>
    </row>
    <row r="1750" spans="1:16" x14ac:dyDescent="0.3">
      <c r="A1750" t="s">
        <v>3154</v>
      </c>
      <c r="B1750" s="9" t="s">
        <v>1358</v>
      </c>
      <c r="C1750" s="20" t="str">
        <f t="shared" si="27"/>
        <v>Mar</v>
      </c>
      <c r="D1750" t="s">
        <v>702</v>
      </c>
      <c r="E1750" s="10" t="s">
        <v>1889</v>
      </c>
      <c r="F1750" t="s">
        <v>25</v>
      </c>
      <c r="G1750" t="s">
        <v>33</v>
      </c>
      <c r="H1750" t="s">
        <v>34</v>
      </c>
      <c r="I1750">
        <v>6</v>
      </c>
      <c r="J1750" s="3">
        <v>200.68</v>
      </c>
      <c r="K1750" s="2">
        <v>0.1</v>
      </c>
      <c r="L1750" s="3">
        <v>1083.67</v>
      </c>
      <c r="M1750" s="3">
        <v>137.82</v>
      </c>
      <c r="N1750" t="s">
        <v>35</v>
      </c>
      <c r="O1750" s="3"/>
      <c r="P1750" s="3"/>
    </row>
    <row r="1751" spans="1:16" x14ac:dyDescent="0.3">
      <c r="A1751" t="s">
        <v>3155</v>
      </c>
      <c r="B1751" s="9" t="s">
        <v>1089</v>
      </c>
      <c r="C1751" s="20" t="str">
        <f t="shared" si="27"/>
        <v>Dec</v>
      </c>
      <c r="D1751" t="s">
        <v>1653</v>
      </c>
      <c r="E1751" s="10" t="s">
        <v>805</v>
      </c>
      <c r="F1751" t="s">
        <v>64</v>
      </c>
      <c r="G1751" t="s">
        <v>89</v>
      </c>
      <c r="H1751" t="s">
        <v>131</v>
      </c>
      <c r="I1751">
        <v>5</v>
      </c>
      <c r="J1751" s="3">
        <v>136.19999999999999</v>
      </c>
      <c r="K1751" s="2">
        <v>0.15</v>
      </c>
      <c r="L1751" s="3">
        <v>578.85</v>
      </c>
      <c r="M1751" s="3">
        <v>54.85</v>
      </c>
      <c r="N1751" t="s">
        <v>40</v>
      </c>
      <c r="O1751" s="3"/>
      <c r="P1751" s="3"/>
    </row>
    <row r="1752" spans="1:16" x14ac:dyDescent="0.3">
      <c r="A1752" t="s">
        <v>3156</v>
      </c>
      <c r="B1752" s="9" t="s">
        <v>392</v>
      </c>
      <c r="C1752" s="20" t="str">
        <f t="shared" si="27"/>
        <v>Jan</v>
      </c>
      <c r="D1752" t="s">
        <v>644</v>
      </c>
      <c r="E1752" s="10" t="s">
        <v>634</v>
      </c>
      <c r="F1752" t="s">
        <v>17</v>
      </c>
      <c r="G1752" t="s">
        <v>89</v>
      </c>
      <c r="H1752" t="s">
        <v>90</v>
      </c>
      <c r="I1752">
        <v>3</v>
      </c>
      <c r="J1752" s="3">
        <v>52.93</v>
      </c>
      <c r="K1752" s="2">
        <v>0.1</v>
      </c>
      <c r="L1752" s="3">
        <v>142.91</v>
      </c>
      <c r="M1752" s="3">
        <v>25.89</v>
      </c>
      <c r="N1752" t="s">
        <v>20</v>
      </c>
      <c r="O1752" s="3"/>
      <c r="P1752" s="3"/>
    </row>
    <row r="1753" spans="1:16" x14ac:dyDescent="0.3">
      <c r="A1753" t="s">
        <v>3157</v>
      </c>
      <c r="B1753" s="9" t="s">
        <v>1037</v>
      </c>
      <c r="C1753" s="20" t="str">
        <f t="shared" si="27"/>
        <v>Oct</v>
      </c>
      <c r="D1753" t="s">
        <v>1082</v>
      </c>
      <c r="E1753" s="10" t="s">
        <v>425</v>
      </c>
      <c r="F1753" t="s">
        <v>59</v>
      </c>
      <c r="G1753" t="s">
        <v>26</v>
      </c>
      <c r="H1753" t="s">
        <v>118</v>
      </c>
      <c r="I1753">
        <v>7</v>
      </c>
      <c r="J1753" s="3">
        <v>119.53</v>
      </c>
      <c r="K1753" s="2">
        <v>0.1</v>
      </c>
      <c r="L1753" s="3">
        <v>753.04</v>
      </c>
      <c r="M1753" s="3">
        <v>150.34</v>
      </c>
      <c r="N1753" t="s">
        <v>40</v>
      </c>
      <c r="O1753" s="3"/>
      <c r="P1753" s="3"/>
    </row>
    <row r="1754" spans="1:16" x14ac:dyDescent="0.3">
      <c r="A1754" t="s">
        <v>3158</v>
      </c>
      <c r="B1754" s="9" t="s">
        <v>1609</v>
      </c>
      <c r="C1754" s="20" t="str">
        <f t="shared" si="27"/>
        <v>May</v>
      </c>
      <c r="D1754" t="s">
        <v>936</v>
      </c>
      <c r="E1754" s="10" t="s">
        <v>1565</v>
      </c>
      <c r="F1754" t="s">
        <v>25</v>
      </c>
      <c r="G1754" t="s">
        <v>26</v>
      </c>
      <c r="H1754" t="s">
        <v>84</v>
      </c>
      <c r="I1754">
        <v>6</v>
      </c>
      <c r="J1754" s="3">
        <v>24.81</v>
      </c>
      <c r="K1754" s="2">
        <v>0.05</v>
      </c>
      <c r="L1754" s="3">
        <v>141.41999999999999</v>
      </c>
      <c r="M1754" s="3">
        <v>21.48</v>
      </c>
      <c r="N1754" t="s">
        <v>35</v>
      </c>
      <c r="O1754" s="3"/>
      <c r="P1754" s="3"/>
    </row>
    <row r="1755" spans="1:16" x14ac:dyDescent="0.3">
      <c r="A1755" t="s">
        <v>3159</v>
      </c>
      <c r="B1755" s="9" t="s">
        <v>220</v>
      </c>
      <c r="C1755" s="20" t="str">
        <f t="shared" si="27"/>
        <v>Feb</v>
      </c>
      <c r="D1755" t="s">
        <v>1283</v>
      </c>
      <c r="E1755" s="10" t="s">
        <v>296</v>
      </c>
      <c r="F1755" t="s">
        <v>64</v>
      </c>
      <c r="G1755" t="s">
        <v>33</v>
      </c>
      <c r="H1755" t="s">
        <v>69</v>
      </c>
      <c r="I1755">
        <v>6</v>
      </c>
      <c r="J1755" s="3">
        <v>40.54</v>
      </c>
      <c r="K1755" s="2">
        <v>0.05</v>
      </c>
      <c r="L1755" s="3">
        <v>231.08</v>
      </c>
      <c r="M1755" s="3">
        <v>67.14</v>
      </c>
      <c r="N1755" t="s">
        <v>35</v>
      </c>
      <c r="O1755" s="3"/>
      <c r="P1755" s="3"/>
    </row>
    <row r="1756" spans="1:16" x14ac:dyDescent="0.3">
      <c r="A1756" t="s">
        <v>3162</v>
      </c>
      <c r="B1756" s="9" t="s">
        <v>2223</v>
      </c>
      <c r="C1756" s="20" t="str">
        <f t="shared" si="27"/>
        <v>Dec</v>
      </c>
      <c r="D1756" t="s">
        <v>3163</v>
      </c>
      <c r="E1756" s="10" t="s">
        <v>1507</v>
      </c>
      <c r="F1756" t="s">
        <v>25</v>
      </c>
      <c r="G1756" t="s">
        <v>89</v>
      </c>
      <c r="H1756" t="s">
        <v>90</v>
      </c>
      <c r="I1756">
        <v>3</v>
      </c>
      <c r="J1756" s="3">
        <v>120.36</v>
      </c>
      <c r="K1756" s="2">
        <v>0.1</v>
      </c>
      <c r="L1756" s="3">
        <v>324.97000000000003</v>
      </c>
      <c r="M1756" s="3">
        <v>91.07</v>
      </c>
      <c r="N1756" t="s">
        <v>35</v>
      </c>
      <c r="O1756" s="3"/>
      <c r="P1756" s="3"/>
    </row>
    <row r="1757" spans="1:16" x14ac:dyDescent="0.3">
      <c r="A1757" t="s">
        <v>3164</v>
      </c>
      <c r="B1757" s="9" t="s">
        <v>42</v>
      </c>
      <c r="C1757" s="20" t="str">
        <f t="shared" si="27"/>
        <v>Jul</v>
      </c>
      <c r="D1757" t="s">
        <v>559</v>
      </c>
      <c r="E1757" s="10" t="s">
        <v>1444</v>
      </c>
      <c r="F1757" t="s">
        <v>25</v>
      </c>
      <c r="G1757" t="s">
        <v>89</v>
      </c>
      <c r="H1757" t="s">
        <v>150</v>
      </c>
      <c r="I1757">
        <v>3</v>
      </c>
      <c r="J1757" s="3">
        <v>166.64</v>
      </c>
      <c r="K1757" s="2">
        <v>0.15</v>
      </c>
      <c r="L1757" s="3">
        <v>424.93</v>
      </c>
      <c r="M1757" s="3">
        <v>74.569999999999993</v>
      </c>
      <c r="N1757" t="s">
        <v>35</v>
      </c>
      <c r="O1757" s="3"/>
      <c r="P1757" s="3"/>
    </row>
    <row r="1758" spans="1:16" x14ac:dyDescent="0.3">
      <c r="A1758" t="s">
        <v>3165</v>
      </c>
      <c r="B1758" s="9" t="s">
        <v>47</v>
      </c>
      <c r="C1758" s="20" t="str">
        <f t="shared" si="27"/>
        <v>Dec</v>
      </c>
      <c r="D1758" t="s">
        <v>2111</v>
      </c>
      <c r="E1758" s="10" t="s">
        <v>1354</v>
      </c>
      <c r="F1758" t="s">
        <v>32</v>
      </c>
      <c r="G1758" t="s">
        <v>89</v>
      </c>
      <c r="H1758" t="s">
        <v>90</v>
      </c>
      <c r="I1758">
        <v>4</v>
      </c>
      <c r="J1758" s="3">
        <v>87.61</v>
      </c>
      <c r="K1758" s="2">
        <v>0</v>
      </c>
      <c r="L1758" s="3">
        <v>350.44</v>
      </c>
      <c r="M1758" s="3">
        <v>53.44</v>
      </c>
      <c r="N1758" t="s">
        <v>35</v>
      </c>
      <c r="O1758" s="3"/>
      <c r="P1758" s="3"/>
    </row>
    <row r="1759" spans="1:16" x14ac:dyDescent="0.3">
      <c r="A1759" t="s">
        <v>3166</v>
      </c>
      <c r="B1759" s="9" t="s">
        <v>1116</v>
      </c>
      <c r="C1759" s="20" t="str">
        <f t="shared" si="27"/>
        <v>Feb</v>
      </c>
      <c r="D1759" t="s">
        <v>2679</v>
      </c>
      <c r="E1759" s="10" t="s">
        <v>1001</v>
      </c>
      <c r="F1759" t="s">
        <v>17</v>
      </c>
      <c r="G1759" t="s">
        <v>33</v>
      </c>
      <c r="H1759" t="s">
        <v>69</v>
      </c>
      <c r="I1759">
        <v>6</v>
      </c>
      <c r="J1759" s="3">
        <v>69.63</v>
      </c>
      <c r="K1759" s="2">
        <v>0.1</v>
      </c>
      <c r="L1759" s="3">
        <v>376</v>
      </c>
      <c r="M1759" s="3">
        <v>87.27</v>
      </c>
      <c r="N1759" t="s">
        <v>20</v>
      </c>
      <c r="O1759" s="3"/>
      <c r="P1759" s="3"/>
    </row>
    <row r="1760" spans="1:16" x14ac:dyDescent="0.3">
      <c r="A1760" t="s">
        <v>3167</v>
      </c>
      <c r="B1760" s="9" t="s">
        <v>2478</v>
      </c>
      <c r="C1760" s="20" t="str">
        <f t="shared" si="27"/>
        <v>Apr</v>
      </c>
      <c r="D1760" t="s">
        <v>409</v>
      </c>
      <c r="E1760" s="10" t="s">
        <v>269</v>
      </c>
      <c r="F1760" t="s">
        <v>64</v>
      </c>
      <c r="G1760" t="s">
        <v>33</v>
      </c>
      <c r="H1760" t="s">
        <v>50</v>
      </c>
      <c r="I1760">
        <v>8</v>
      </c>
      <c r="J1760" s="3">
        <v>93.48</v>
      </c>
      <c r="K1760" s="2">
        <v>0</v>
      </c>
      <c r="L1760" s="3">
        <v>747.84</v>
      </c>
      <c r="M1760" s="3">
        <v>152</v>
      </c>
      <c r="N1760" t="s">
        <v>40</v>
      </c>
      <c r="O1760" s="3"/>
      <c r="P1760" s="3"/>
    </row>
    <row r="1761" spans="1:16" x14ac:dyDescent="0.3">
      <c r="A1761" t="s">
        <v>3170</v>
      </c>
      <c r="B1761" s="9" t="s">
        <v>3171</v>
      </c>
      <c r="C1761" s="20" t="str">
        <f t="shared" si="27"/>
        <v>Feb</v>
      </c>
      <c r="D1761" t="s">
        <v>807</v>
      </c>
      <c r="E1761" s="10" t="s">
        <v>1851</v>
      </c>
      <c r="F1761" t="s">
        <v>64</v>
      </c>
      <c r="G1761" t="s">
        <v>18</v>
      </c>
      <c r="H1761" t="s">
        <v>19</v>
      </c>
      <c r="I1761">
        <v>8</v>
      </c>
      <c r="J1761" s="3">
        <v>232.08</v>
      </c>
      <c r="K1761" s="2">
        <v>0.1</v>
      </c>
      <c r="L1761" s="3">
        <v>1670.98</v>
      </c>
      <c r="M1761" s="3">
        <v>242.24</v>
      </c>
      <c r="N1761" t="s">
        <v>35</v>
      </c>
      <c r="O1761" s="3"/>
      <c r="P1761" s="3"/>
    </row>
    <row r="1762" spans="1:16" x14ac:dyDescent="0.3">
      <c r="A1762" t="s">
        <v>3172</v>
      </c>
      <c r="B1762" s="9" t="s">
        <v>650</v>
      </c>
      <c r="C1762" s="20" t="str">
        <f t="shared" si="27"/>
        <v>Mar</v>
      </c>
      <c r="D1762" t="s">
        <v>1487</v>
      </c>
      <c r="E1762" s="10" t="s">
        <v>821</v>
      </c>
      <c r="F1762" t="s">
        <v>17</v>
      </c>
      <c r="G1762" t="s">
        <v>18</v>
      </c>
      <c r="H1762" t="s">
        <v>19</v>
      </c>
      <c r="I1762">
        <v>2</v>
      </c>
      <c r="J1762" s="3">
        <v>215.58</v>
      </c>
      <c r="K1762" s="2">
        <v>0.1</v>
      </c>
      <c r="L1762" s="3">
        <v>388.04</v>
      </c>
      <c r="M1762" s="3">
        <v>33.04</v>
      </c>
      <c r="N1762" t="s">
        <v>20</v>
      </c>
      <c r="O1762" s="3"/>
      <c r="P1762" s="3"/>
    </row>
    <row r="1763" spans="1:16" x14ac:dyDescent="0.3">
      <c r="A1763" t="s">
        <v>3173</v>
      </c>
      <c r="B1763" s="9" t="s">
        <v>349</v>
      </c>
      <c r="C1763" s="20" t="str">
        <f t="shared" si="27"/>
        <v>May</v>
      </c>
      <c r="D1763" t="s">
        <v>783</v>
      </c>
      <c r="E1763" s="10" t="s">
        <v>208</v>
      </c>
      <c r="F1763" t="s">
        <v>59</v>
      </c>
      <c r="G1763" t="s">
        <v>89</v>
      </c>
      <c r="H1763" t="s">
        <v>150</v>
      </c>
      <c r="I1763">
        <v>1</v>
      </c>
      <c r="J1763" s="3">
        <v>96.62</v>
      </c>
      <c r="K1763" s="2">
        <v>0.05</v>
      </c>
      <c r="L1763" s="3">
        <v>91.79</v>
      </c>
      <c r="M1763" s="3">
        <v>18.79</v>
      </c>
      <c r="N1763" t="s">
        <v>35</v>
      </c>
      <c r="O1763" s="3"/>
      <c r="P1763" s="3"/>
    </row>
    <row r="1764" spans="1:16" x14ac:dyDescent="0.3">
      <c r="A1764" t="s">
        <v>3174</v>
      </c>
      <c r="B1764" s="9" t="s">
        <v>327</v>
      </c>
      <c r="C1764" s="20" t="str">
        <f t="shared" si="27"/>
        <v>Sep</v>
      </c>
      <c r="D1764" t="s">
        <v>1978</v>
      </c>
      <c r="E1764" s="10" t="s">
        <v>786</v>
      </c>
      <c r="F1764" t="s">
        <v>32</v>
      </c>
      <c r="G1764" t="s">
        <v>18</v>
      </c>
      <c r="H1764" t="s">
        <v>79</v>
      </c>
      <c r="I1764">
        <v>3</v>
      </c>
      <c r="J1764" s="3">
        <v>81.63</v>
      </c>
      <c r="K1764" s="2">
        <v>0.1</v>
      </c>
      <c r="L1764" s="3">
        <v>220.4</v>
      </c>
      <c r="M1764" s="3">
        <v>40.549999999999997</v>
      </c>
      <c r="N1764" t="s">
        <v>40</v>
      </c>
      <c r="O1764" s="3"/>
      <c r="P1764" s="3"/>
    </row>
    <row r="1765" spans="1:16" x14ac:dyDescent="0.3">
      <c r="A1765" t="s">
        <v>3175</v>
      </c>
      <c r="B1765" s="9" t="s">
        <v>359</v>
      </c>
      <c r="C1765" s="20" t="str">
        <f t="shared" si="27"/>
        <v>Aug</v>
      </c>
      <c r="D1765" t="s">
        <v>1331</v>
      </c>
      <c r="E1765" s="10" t="s">
        <v>699</v>
      </c>
      <c r="F1765" t="s">
        <v>25</v>
      </c>
      <c r="G1765" t="s">
        <v>18</v>
      </c>
      <c r="H1765" t="s">
        <v>19</v>
      </c>
      <c r="I1765">
        <v>8</v>
      </c>
      <c r="J1765" s="3">
        <v>183.85</v>
      </c>
      <c r="K1765" s="2">
        <v>0</v>
      </c>
      <c r="L1765" s="3">
        <v>1470.8</v>
      </c>
      <c r="M1765" s="3">
        <v>420.51</v>
      </c>
      <c r="N1765" t="s">
        <v>20</v>
      </c>
      <c r="O1765" s="3"/>
      <c r="P1765" s="3"/>
    </row>
    <row r="1766" spans="1:16" x14ac:dyDescent="0.3">
      <c r="A1766" t="s">
        <v>3176</v>
      </c>
      <c r="B1766" s="9" t="s">
        <v>207</v>
      </c>
      <c r="C1766" s="20" t="str">
        <f t="shared" si="27"/>
        <v>Mar</v>
      </c>
      <c r="D1766" t="s">
        <v>287</v>
      </c>
      <c r="E1766" s="10" t="s">
        <v>189</v>
      </c>
      <c r="F1766" t="s">
        <v>25</v>
      </c>
      <c r="G1766" t="s">
        <v>89</v>
      </c>
      <c r="H1766" t="s">
        <v>90</v>
      </c>
      <c r="I1766">
        <v>4</v>
      </c>
      <c r="J1766" s="3">
        <v>22.37</v>
      </c>
      <c r="K1766" s="2">
        <v>0.15</v>
      </c>
      <c r="L1766" s="3">
        <v>76.06</v>
      </c>
      <c r="M1766" s="3">
        <v>21.92</v>
      </c>
      <c r="N1766" t="s">
        <v>20</v>
      </c>
      <c r="O1766" s="3"/>
      <c r="P1766" s="3"/>
    </row>
    <row r="1767" spans="1:16" x14ac:dyDescent="0.3">
      <c r="A1767" t="s">
        <v>3177</v>
      </c>
      <c r="B1767" s="9" t="s">
        <v>2504</v>
      </c>
      <c r="C1767" s="20" t="str">
        <f t="shared" si="27"/>
        <v>Oct</v>
      </c>
      <c r="D1767" t="s">
        <v>1574</v>
      </c>
      <c r="E1767" s="10" t="s">
        <v>1446</v>
      </c>
      <c r="F1767" t="s">
        <v>59</v>
      </c>
      <c r="G1767" t="s">
        <v>33</v>
      </c>
      <c r="H1767" t="s">
        <v>50</v>
      </c>
      <c r="I1767">
        <v>5</v>
      </c>
      <c r="J1767" s="3">
        <v>34.49</v>
      </c>
      <c r="K1767" s="2">
        <v>0</v>
      </c>
      <c r="L1767" s="3">
        <v>172.45</v>
      </c>
      <c r="M1767" s="3">
        <v>14.73</v>
      </c>
      <c r="N1767" t="s">
        <v>40</v>
      </c>
      <c r="O1767" s="3"/>
      <c r="P1767" s="3"/>
    </row>
    <row r="1768" spans="1:16" x14ac:dyDescent="0.3">
      <c r="A1768" t="s">
        <v>3178</v>
      </c>
      <c r="B1768" s="9" t="s">
        <v>294</v>
      </c>
      <c r="C1768" s="20" t="str">
        <f t="shared" si="27"/>
        <v>Sep</v>
      </c>
      <c r="D1768" t="s">
        <v>668</v>
      </c>
      <c r="E1768" s="10" t="s">
        <v>895</v>
      </c>
      <c r="F1768" t="s">
        <v>59</v>
      </c>
      <c r="G1768" t="s">
        <v>33</v>
      </c>
      <c r="H1768" t="s">
        <v>74</v>
      </c>
      <c r="I1768">
        <v>6</v>
      </c>
      <c r="J1768" s="3">
        <v>165.36</v>
      </c>
      <c r="K1768" s="2">
        <v>0.15</v>
      </c>
      <c r="L1768" s="3">
        <v>843.34</v>
      </c>
      <c r="M1768" s="3">
        <v>243.73</v>
      </c>
      <c r="N1768" t="s">
        <v>35</v>
      </c>
      <c r="O1768" s="3"/>
      <c r="P1768" s="3"/>
    </row>
    <row r="1769" spans="1:16" x14ac:dyDescent="0.3">
      <c r="A1769" t="s">
        <v>3179</v>
      </c>
      <c r="B1769" s="9" t="s">
        <v>408</v>
      </c>
      <c r="C1769" s="20" t="str">
        <f t="shared" si="27"/>
        <v>Jun</v>
      </c>
      <c r="D1769" t="s">
        <v>1523</v>
      </c>
      <c r="E1769" s="10" t="s">
        <v>688</v>
      </c>
      <c r="F1769" t="s">
        <v>64</v>
      </c>
      <c r="G1769" t="s">
        <v>26</v>
      </c>
      <c r="H1769" t="s">
        <v>118</v>
      </c>
      <c r="I1769">
        <v>5</v>
      </c>
      <c r="J1769" s="3">
        <v>195.53</v>
      </c>
      <c r="K1769" s="2">
        <v>0.05</v>
      </c>
      <c r="L1769" s="3">
        <v>928.77</v>
      </c>
      <c r="M1769" s="3">
        <v>138.32</v>
      </c>
      <c r="N1769" t="s">
        <v>20</v>
      </c>
      <c r="O1769" s="3"/>
      <c r="P1769" s="3"/>
    </row>
    <row r="1770" spans="1:16" x14ac:dyDescent="0.3">
      <c r="A1770" t="s">
        <v>3180</v>
      </c>
      <c r="B1770" s="9" t="s">
        <v>1005</v>
      </c>
      <c r="C1770" s="20" t="str">
        <f t="shared" si="27"/>
        <v>Apr</v>
      </c>
      <c r="D1770" t="s">
        <v>112</v>
      </c>
      <c r="E1770" s="10" t="s">
        <v>1463</v>
      </c>
      <c r="F1770" t="s">
        <v>17</v>
      </c>
      <c r="G1770" t="s">
        <v>26</v>
      </c>
      <c r="H1770" t="s">
        <v>84</v>
      </c>
      <c r="I1770">
        <v>3</v>
      </c>
      <c r="J1770" s="3">
        <v>207.93</v>
      </c>
      <c r="K1770" s="2">
        <v>0.05</v>
      </c>
      <c r="L1770" s="3">
        <v>592.6</v>
      </c>
      <c r="M1770" s="3">
        <v>82.05</v>
      </c>
      <c r="N1770" t="s">
        <v>20</v>
      </c>
      <c r="O1770" s="3"/>
      <c r="P1770" s="3"/>
    </row>
    <row r="1771" spans="1:16" x14ac:dyDescent="0.3">
      <c r="A1771" t="s">
        <v>3181</v>
      </c>
      <c r="B1771" s="9" t="s">
        <v>775</v>
      </c>
      <c r="C1771" s="20" t="str">
        <f t="shared" si="27"/>
        <v>Sep</v>
      </c>
      <c r="D1771" t="s">
        <v>857</v>
      </c>
      <c r="E1771" s="10" t="s">
        <v>1851</v>
      </c>
      <c r="F1771" t="s">
        <v>17</v>
      </c>
      <c r="G1771" t="s">
        <v>26</v>
      </c>
      <c r="H1771" t="s">
        <v>118</v>
      </c>
      <c r="I1771">
        <v>3</v>
      </c>
      <c r="J1771" s="3">
        <v>178.43</v>
      </c>
      <c r="K1771" s="2">
        <v>0.1</v>
      </c>
      <c r="L1771" s="3">
        <v>481.76</v>
      </c>
      <c r="M1771" s="3">
        <v>50.55</v>
      </c>
      <c r="N1771" t="s">
        <v>40</v>
      </c>
      <c r="O1771" s="3"/>
      <c r="P1771" s="3"/>
    </row>
    <row r="1772" spans="1:16" x14ac:dyDescent="0.3">
      <c r="A1772" t="s">
        <v>3182</v>
      </c>
      <c r="B1772" s="9" t="s">
        <v>493</v>
      </c>
      <c r="C1772" s="20" t="str">
        <f t="shared" si="27"/>
        <v>Jan</v>
      </c>
      <c r="D1772" t="s">
        <v>2473</v>
      </c>
      <c r="E1772" s="10" t="s">
        <v>1067</v>
      </c>
      <c r="F1772" t="s">
        <v>59</v>
      </c>
      <c r="G1772" t="s">
        <v>26</v>
      </c>
      <c r="H1772" t="s">
        <v>118</v>
      </c>
      <c r="I1772">
        <v>6</v>
      </c>
      <c r="J1772" s="3">
        <v>157.36000000000001</v>
      </c>
      <c r="K1772" s="2">
        <v>0.1</v>
      </c>
      <c r="L1772" s="3">
        <v>849.74</v>
      </c>
      <c r="M1772" s="3">
        <v>245.82</v>
      </c>
      <c r="N1772" t="s">
        <v>20</v>
      </c>
      <c r="O1772" s="3"/>
      <c r="P1772" s="3"/>
    </row>
    <row r="1773" spans="1:16" x14ac:dyDescent="0.3">
      <c r="A1773" t="s">
        <v>3183</v>
      </c>
      <c r="B1773" s="9" t="s">
        <v>432</v>
      </c>
      <c r="C1773" s="20" t="str">
        <f t="shared" si="27"/>
        <v>Jul</v>
      </c>
      <c r="D1773" t="s">
        <v>369</v>
      </c>
      <c r="E1773" s="10" t="s">
        <v>508</v>
      </c>
      <c r="F1773" t="s">
        <v>64</v>
      </c>
      <c r="G1773" t="s">
        <v>33</v>
      </c>
      <c r="H1773" t="s">
        <v>69</v>
      </c>
      <c r="I1773">
        <v>6</v>
      </c>
      <c r="J1773" s="3">
        <v>35.590000000000003</v>
      </c>
      <c r="K1773" s="2">
        <v>0.15</v>
      </c>
      <c r="L1773" s="3">
        <v>181.51</v>
      </c>
      <c r="M1773" s="3">
        <v>15.69</v>
      </c>
      <c r="N1773" t="s">
        <v>20</v>
      </c>
      <c r="O1773" s="3"/>
      <c r="P1773" s="3"/>
    </row>
    <row r="1774" spans="1:16" x14ac:dyDescent="0.3">
      <c r="A1774" t="s">
        <v>3184</v>
      </c>
      <c r="B1774" s="9" t="s">
        <v>66</v>
      </c>
      <c r="C1774" s="20" t="str">
        <f t="shared" si="27"/>
        <v>Mar</v>
      </c>
      <c r="D1774" t="s">
        <v>261</v>
      </c>
      <c r="E1774" s="10" t="s">
        <v>1056</v>
      </c>
      <c r="F1774" t="s">
        <v>64</v>
      </c>
      <c r="G1774" t="s">
        <v>26</v>
      </c>
      <c r="H1774" t="s">
        <v>118</v>
      </c>
      <c r="I1774">
        <v>4</v>
      </c>
      <c r="J1774" s="3">
        <v>122.88</v>
      </c>
      <c r="K1774" s="2">
        <v>0.05</v>
      </c>
      <c r="L1774" s="3">
        <v>466.94</v>
      </c>
      <c r="M1774" s="3">
        <v>38.090000000000003</v>
      </c>
      <c r="N1774" t="s">
        <v>20</v>
      </c>
      <c r="O1774" s="3"/>
      <c r="P1774" s="3"/>
    </row>
    <row r="1775" spans="1:16" x14ac:dyDescent="0.3">
      <c r="A1775" t="s">
        <v>3185</v>
      </c>
      <c r="B1775" s="9" t="s">
        <v>592</v>
      </c>
      <c r="C1775" s="20" t="str">
        <f t="shared" si="27"/>
        <v>Aug</v>
      </c>
      <c r="D1775" t="s">
        <v>2522</v>
      </c>
      <c r="E1775" s="10" t="s">
        <v>811</v>
      </c>
      <c r="F1775" t="s">
        <v>64</v>
      </c>
      <c r="G1775" t="s">
        <v>33</v>
      </c>
      <c r="H1775" t="s">
        <v>34</v>
      </c>
      <c r="I1775">
        <v>3</v>
      </c>
      <c r="J1775" s="3">
        <v>46.23</v>
      </c>
      <c r="K1775" s="2">
        <v>0.1</v>
      </c>
      <c r="L1775" s="3">
        <v>124.82</v>
      </c>
      <c r="M1775" s="3">
        <v>28.48</v>
      </c>
      <c r="N1775" t="s">
        <v>35</v>
      </c>
      <c r="O1775" s="3"/>
      <c r="P1775" s="3"/>
    </row>
    <row r="1776" spans="1:16" x14ac:dyDescent="0.3">
      <c r="A1776" t="s">
        <v>3186</v>
      </c>
      <c r="B1776" s="9" t="s">
        <v>140</v>
      </c>
      <c r="C1776" s="20" t="str">
        <f t="shared" si="27"/>
        <v>May</v>
      </c>
      <c r="D1776" t="s">
        <v>1998</v>
      </c>
      <c r="E1776" s="10" t="s">
        <v>655</v>
      </c>
      <c r="F1776" t="s">
        <v>32</v>
      </c>
      <c r="G1776" t="s">
        <v>33</v>
      </c>
      <c r="H1776" t="s">
        <v>34</v>
      </c>
      <c r="I1776">
        <v>6</v>
      </c>
      <c r="J1776" s="3">
        <v>146.41</v>
      </c>
      <c r="K1776" s="2">
        <v>0.1</v>
      </c>
      <c r="L1776" s="3">
        <v>790.61</v>
      </c>
      <c r="M1776" s="3">
        <v>113.16</v>
      </c>
      <c r="N1776" t="s">
        <v>35</v>
      </c>
      <c r="O1776" s="3"/>
      <c r="P1776" s="3"/>
    </row>
    <row r="1777" spans="1:16" x14ac:dyDescent="0.3">
      <c r="A1777" t="s">
        <v>3187</v>
      </c>
      <c r="B1777" s="9" t="s">
        <v>2077</v>
      </c>
      <c r="C1777" s="20" t="str">
        <f t="shared" si="27"/>
        <v>May</v>
      </c>
      <c r="D1777" t="s">
        <v>984</v>
      </c>
      <c r="E1777" s="10" t="s">
        <v>666</v>
      </c>
      <c r="F1777" t="s">
        <v>17</v>
      </c>
      <c r="G1777" t="s">
        <v>26</v>
      </c>
      <c r="H1777" t="s">
        <v>118</v>
      </c>
      <c r="I1777">
        <v>1</v>
      </c>
      <c r="J1777" s="3">
        <v>23.99</v>
      </c>
      <c r="K1777" s="2">
        <v>0.1</v>
      </c>
      <c r="L1777" s="3">
        <v>21.59</v>
      </c>
      <c r="M1777" s="3">
        <v>4.9000000000000004</v>
      </c>
      <c r="N1777" t="s">
        <v>20</v>
      </c>
      <c r="O1777" s="3"/>
      <c r="P1777" s="3"/>
    </row>
    <row r="1778" spans="1:16" x14ac:dyDescent="0.3">
      <c r="A1778" t="s">
        <v>3188</v>
      </c>
      <c r="B1778" s="9" t="s">
        <v>810</v>
      </c>
      <c r="C1778" s="20" t="str">
        <f t="shared" si="27"/>
        <v>Feb</v>
      </c>
      <c r="D1778" t="s">
        <v>444</v>
      </c>
      <c r="E1778" s="10" t="s">
        <v>469</v>
      </c>
      <c r="F1778" t="s">
        <v>64</v>
      </c>
      <c r="G1778" t="s">
        <v>18</v>
      </c>
      <c r="H1778" t="s">
        <v>79</v>
      </c>
      <c r="I1778">
        <v>3</v>
      </c>
      <c r="J1778" s="3">
        <v>194.32</v>
      </c>
      <c r="K1778" s="2">
        <v>0</v>
      </c>
      <c r="L1778" s="3">
        <v>582.96</v>
      </c>
      <c r="M1778" s="3">
        <v>81.8</v>
      </c>
      <c r="N1778" t="s">
        <v>35</v>
      </c>
      <c r="O1778" s="3"/>
      <c r="P1778" s="3"/>
    </row>
    <row r="1779" spans="1:16" x14ac:dyDescent="0.3">
      <c r="A1779" t="s">
        <v>3189</v>
      </c>
      <c r="B1779" s="9" t="s">
        <v>1868</v>
      </c>
      <c r="C1779" s="20" t="str">
        <f t="shared" si="27"/>
        <v>Nov</v>
      </c>
      <c r="D1779" t="s">
        <v>382</v>
      </c>
      <c r="E1779" s="10" t="s">
        <v>1664</v>
      </c>
      <c r="F1779" t="s">
        <v>17</v>
      </c>
      <c r="G1779" t="s">
        <v>18</v>
      </c>
      <c r="H1779" t="s">
        <v>79</v>
      </c>
      <c r="I1779">
        <v>1</v>
      </c>
      <c r="J1779" s="3">
        <v>241.79</v>
      </c>
      <c r="K1779" s="2">
        <v>0.05</v>
      </c>
      <c r="L1779" s="3">
        <v>229.7</v>
      </c>
      <c r="M1779" s="3">
        <v>32.07</v>
      </c>
      <c r="N1779" t="s">
        <v>40</v>
      </c>
      <c r="O1779" s="3"/>
      <c r="P1779" s="3"/>
    </row>
    <row r="1780" spans="1:16" x14ac:dyDescent="0.3">
      <c r="A1780" t="s">
        <v>3190</v>
      </c>
      <c r="B1780" s="9" t="s">
        <v>14</v>
      </c>
      <c r="C1780" s="20" t="str">
        <f t="shared" si="27"/>
        <v>Aug</v>
      </c>
      <c r="D1780" t="s">
        <v>303</v>
      </c>
      <c r="E1780" s="10" t="s">
        <v>612</v>
      </c>
      <c r="F1780" t="s">
        <v>25</v>
      </c>
      <c r="G1780" t="s">
        <v>33</v>
      </c>
      <c r="H1780" t="s">
        <v>34</v>
      </c>
      <c r="I1780">
        <v>5</v>
      </c>
      <c r="J1780" s="3">
        <v>77.650000000000006</v>
      </c>
      <c r="K1780" s="2">
        <v>0.15</v>
      </c>
      <c r="L1780" s="3">
        <v>330.01</v>
      </c>
      <c r="M1780" s="3">
        <v>48.14</v>
      </c>
      <c r="N1780" t="s">
        <v>35</v>
      </c>
      <c r="O1780" s="3"/>
      <c r="P1780" s="3"/>
    </row>
    <row r="1781" spans="1:16" x14ac:dyDescent="0.3">
      <c r="A1781" t="s">
        <v>3191</v>
      </c>
      <c r="B1781" s="9" t="s">
        <v>743</v>
      </c>
      <c r="C1781" s="20" t="str">
        <f t="shared" si="27"/>
        <v>Oct</v>
      </c>
      <c r="D1781" t="s">
        <v>2842</v>
      </c>
      <c r="E1781" s="10" t="s">
        <v>88</v>
      </c>
      <c r="F1781" t="s">
        <v>25</v>
      </c>
      <c r="G1781" t="s">
        <v>33</v>
      </c>
      <c r="H1781" t="s">
        <v>34</v>
      </c>
      <c r="I1781">
        <v>8</v>
      </c>
      <c r="J1781" s="3">
        <v>25.25</v>
      </c>
      <c r="K1781" s="2">
        <v>0</v>
      </c>
      <c r="L1781" s="3">
        <v>202</v>
      </c>
      <c r="M1781" s="3">
        <v>48.41</v>
      </c>
      <c r="N1781" t="s">
        <v>40</v>
      </c>
      <c r="O1781" s="3"/>
      <c r="P1781" s="3"/>
    </row>
    <row r="1782" spans="1:16" x14ac:dyDescent="0.3">
      <c r="A1782" t="s">
        <v>3192</v>
      </c>
      <c r="B1782" s="9" t="s">
        <v>1598</v>
      </c>
      <c r="C1782" s="20" t="str">
        <f t="shared" si="27"/>
        <v>Feb</v>
      </c>
      <c r="D1782" t="s">
        <v>1487</v>
      </c>
      <c r="E1782" s="10" t="s">
        <v>2137</v>
      </c>
      <c r="F1782" t="s">
        <v>64</v>
      </c>
      <c r="G1782" t="s">
        <v>33</v>
      </c>
      <c r="H1782" t="s">
        <v>50</v>
      </c>
      <c r="I1782">
        <v>2</v>
      </c>
      <c r="J1782" s="3">
        <v>185.23</v>
      </c>
      <c r="K1782" s="2">
        <v>0.05</v>
      </c>
      <c r="L1782" s="3">
        <v>351.94</v>
      </c>
      <c r="M1782" s="3">
        <v>42.3</v>
      </c>
      <c r="N1782" t="s">
        <v>40</v>
      </c>
      <c r="O1782" s="3"/>
      <c r="P1782" s="3"/>
    </row>
    <row r="1783" spans="1:16" x14ac:dyDescent="0.3">
      <c r="A1783" t="s">
        <v>3193</v>
      </c>
      <c r="B1783" s="9" t="s">
        <v>309</v>
      </c>
      <c r="C1783" s="20" t="str">
        <f t="shared" si="27"/>
        <v>Feb</v>
      </c>
      <c r="D1783" t="s">
        <v>1771</v>
      </c>
      <c r="E1783" s="10" t="s">
        <v>1466</v>
      </c>
      <c r="F1783" t="s">
        <v>64</v>
      </c>
      <c r="G1783" t="s">
        <v>89</v>
      </c>
      <c r="H1783" t="s">
        <v>90</v>
      </c>
      <c r="I1783">
        <v>5</v>
      </c>
      <c r="J1783" s="3">
        <v>52.45</v>
      </c>
      <c r="K1783" s="2">
        <v>0.05</v>
      </c>
      <c r="L1783" s="3">
        <v>249.14</v>
      </c>
      <c r="M1783" s="3">
        <v>70.37</v>
      </c>
      <c r="N1783" t="s">
        <v>20</v>
      </c>
      <c r="O1783" s="3"/>
      <c r="P1783" s="3"/>
    </row>
    <row r="1784" spans="1:16" x14ac:dyDescent="0.3">
      <c r="A1784" t="s">
        <v>3194</v>
      </c>
      <c r="B1784" s="9" t="s">
        <v>124</v>
      </c>
      <c r="C1784" s="20" t="str">
        <f t="shared" si="27"/>
        <v>Jun</v>
      </c>
      <c r="D1784" t="s">
        <v>2000</v>
      </c>
      <c r="E1784" s="10" t="s">
        <v>284</v>
      </c>
      <c r="F1784" t="s">
        <v>59</v>
      </c>
      <c r="G1784" t="s">
        <v>89</v>
      </c>
      <c r="H1784" t="s">
        <v>90</v>
      </c>
      <c r="I1784">
        <v>4</v>
      </c>
      <c r="J1784" s="3">
        <v>125.31</v>
      </c>
      <c r="K1784" s="2">
        <v>0</v>
      </c>
      <c r="L1784" s="3">
        <v>501.24</v>
      </c>
      <c r="M1784" s="3">
        <v>77.37</v>
      </c>
      <c r="N1784" t="s">
        <v>20</v>
      </c>
      <c r="O1784" s="3"/>
      <c r="P1784" s="3"/>
    </row>
    <row r="1785" spans="1:16" x14ac:dyDescent="0.3">
      <c r="A1785" t="s">
        <v>3195</v>
      </c>
      <c r="B1785" s="9" t="s">
        <v>1350</v>
      </c>
      <c r="C1785" s="20" t="str">
        <f t="shared" si="27"/>
        <v>Sep</v>
      </c>
      <c r="D1785" t="s">
        <v>2498</v>
      </c>
      <c r="E1785" s="10" t="s">
        <v>841</v>
      </c>
      <c r="F1785" t="s">
        <v>32</v>
      </c>
      <c r="G1785" t="s">
        <v>89</v>
      </c>
      <c r="H1785" t="s">
        <v>131</v>
      </c>
      <c r="I1785">
        <v>2</v>
      </c>
      <c r="J1785" s="3">
        <v>74.56</v>
      </c>
      <c r="K1785" s="2">
        <v>0</v>
      </c>
      <c r="L1785" s="3">
        <v>149.12</v>
      </c>
      <c r="M1785" s="3">
        <v>22.97</v>
      </c>
      <c r="N1785" t="s">
        <v>35</v>
      </c>
      <c r="O1785" s="3"/>
      <c r="P1785" s="3"/>
    </row>
    <row r="1786" spans="1:16" x14ac:dyDescent="0.3">
      <c r="A1786" t="s">
        <v>3196</v>
      </c>
      <c r="B1786" s="9" t="s">
        <v>275</v>
      </c>
      <c r="C1786" s="20" t="str">
        <f t="shared" si="27"/>
        <v>Oct</v>
      </c>
      <c r="D1786" t="s">
        <v>562</v>
      </c>
      <c r="E1786" s="10" t="s">
        <v>304</v>
      </c>
      <c r="F1786" t="s">
        <v>32</v>
      </c>
      <c r="G1786" t="s">
        <v>26</v>
      </c>
      <c r="H1786" t="s">
        <v>27</v>
      </c>
      <c r="I1786">
        <v>7</v>
      </c>
      <c r="J1786" s="3">
        <v>109.86</v>
      </c>
      <c r="K1786" s="2">
        <v>0</v>
      </c>
      <c r="L1786" s="3">
        <v>769.02</v>
      </c>
      <c r="M1786" s="3">
        <v>176.47</v>
      </c>
      <c r="N1786" t="s">
        <v>20</v>
      </c>
      <c r="O1786" s="3"/>
      <c r="P1786" s="3"/>
    </row>
    <row r="1787" spans="1:16" x14ac:dyDescent="0.3">
      <c r="A1787" t="s">
        <v>3197</v>
      </c>
      <c r="B1787" s="9" t="s">
        <v>1381</v>
      </c>
      <c r="C1787" s="20" t="str">
        <f t="shared" si="27"/>
        <v>May</v>
      </c>
      <c r="D1787" t="s">
        <v>912</v>
      </c>
      <c r="E1787" s="10" t="s">
        <v>848</v>
      </c>
      <c r="F1787" t="s">
        <v>32</v>
      </c>
      <c r="G1787" t="s">
        <v>89</v>
      </c>
      <c r="H1787" t="s">
        <v>131</v>
      </c>
      <c r="I1787">
        <v>3</v>
      </c>
      <c r="J1787" s="3">
        <v>54.52</v>
      </c>
      <c r="K1787" s="2">
        <v>0.15</v>
      </c>
      <c r="L1787" s="3">
        <v>139.03</v>
      </c>
      <c r="M1787" s="3">
        <v>15.26</v>
      </c>
      <c r="N1787" t="s">
        <v>20</v>
      </c>
      <c r="O1787" s="3"/>
      <c r="P1787" s="3"/>
    </row>
    <row r="1788" spans="1:16" x14ac:dyDescent="0.3">
      <c r="A1788" t="s">
        <v>3198</v>
      </c>
      <c r="B1788" s="9" t="s">
        <v>2007</v>
      </c>
      <c r="C1788" s="20" t="str">
        <f t="shared" si="27"/>
        <v>Oct</v>
      </c>
      <c r="D1788" t="s">
        <v>637</v>
      </c>
      <c r="E1788" s="10" t="s">
        <v>2063</v>
      </c>
      <c r="F1788" t="s">
        <v>64</v>
      </c>
      <c r="G1788" t="s">
        <v>18</v>
      </c>
      <c r="H1788" t="s">
        <v>45</v>
      </c>
      <c r="I1788">
        <v>6</v>
      </c>
      <c r="J1788" s="3">
        <v>229.36</v>
      </c>
      <c r="K1788" s="2">
        <v>0.1</v>
      </c>
      <c r="L1788" s="3">
        <v>1238.54</v>
      </c>
      <c r="M1788" s="3">
        <v>296.06</v>
      </c>
      <c r="N1788" t="s">
        <v>40</v>
      </c>
      <c r="O1788" s="3"/>
      <c r="P1788" s="3"/>
    </row>
    <row r="1789" spans="1:16" x14ac:dyDescent="0.3">
      <c r="A1789" t="s">
        <v>3199</v>
      </c>
      <c r="B1789" s="9" t="s">
        <v>1710</v>
      </c>
      <c r="C1789" s="20" t="str">
        <f t="shared" si="27"/>
        <v>Mar</v>
      </c>
      <c r="D1789" t="s">
        <v>1213</v>
      </c>
      <c r="E1789" s="10" t="s">
        <v>695</v>
      </c>
      <c r="F1789" t="s">
        <v>17</v>
      </c>
      <c r="G1789" t="s">
        <v>18</v>
      </c>
      <c r="H1789" t="s">
        <v>79</v>
      </c>
      <c r="I1789">
        <v>4</v>
      </c>
      <c r="J1789" s="3">
        <v>84.52</v>
      </c>
      <c r="K1789" s="2">
        <v>0.15</v>
      </c>
      <c r="L1789" s="3">
        <v>287.37</v>
      </c>
      <c r="M1789" s="3">
        <v>59.91</v>
      </c>
      <c r="N1789" t="s">
        <v>20</v>
      </c>
      <c r="O1789" s="3"/>
      <c r="P1789" s="3"/>
    </row>
    <row r="1790" spans="1:16" x14ac:dyDescent="0.3">
      <c r="A1790" t="s">
        <v>3200</v>
      </c>
      <c r="B1790" s="9" t="s">
        <v>229</v>
      </c>
      <c r="C1790" s="20" t="str">
        <f t="shared" si="27"/>
        <v>Jul</v>
      </c>
      <c r="D1790" t="s">
        <v>2574</v>
      </c>
      <c r="E1790" s="10" t="s">
        <v>406</v>
      </c>
      <c r="F1790" t="s">
        <v>17</v>
      </c>
      <c r="G1790" t="s">
        <v>89</v>
      </c>
      <c r="H1790" t="s">
        <v>150</v>
      </c>
      <c r="I1790">
        <v>3</v>
      </c>
      <c r="J1790" s="3">
        <v>48.21</v>
      </c>
      <c r="K1790" s="2">
        <v>0.05</v>
      </c>
      <c r="L1790" s="3">
        <v>137.4</v>
      </c>
      <c r="M1790" s="3">
        <v>15.31</v>
      </c>
      <c r="N1790" t="s">
        <v>35</v>
      </c>
      <c r="O1790" s="3"/>
      <c r="P1790" s="3"/>
    </row>
    <row r="1791" spans="1:16" x14ac:dyDescent="0.3">
      <c r="A1791" t="s">
        <v>3201</v>
      </c>
      <c r="B1791" s="9" t="s">
        <v>327</v>
      </c>
      <c r="C1791" s="20" t="str">
        <f t="shared" si="27"/>
        <v>Sep</v>
      </c>
      <c r="D1791" t="s">
        <v>3202</v>
      </c>
      <c r="E1791" s="10" t="s">
        <v>738</v>
      </c>
      <c r="F1791" t="s">
        <v>32</v>
      </c>
      <c r="G1791" t="s">
        <v>33</v>
      </c>
      <c r="H1791" t="s">
        <v>34</v>
      </c>
      <c r="I1791">
        <v>8</v>
      </c>
      <c r="J1791" s="3">
        <v>31.4</v>
      </c>
      <c r="K1791" s="2">
        <v>0.1</v>
      </c>
      <c r="L1791" s="3">
        <v>226.08</v>
      </c>
      <c r="M1791" s="3">
        <v>65.89</v>
      </c>
      <c r="N1791" t="s">
        <v>40</v>
      </c>
      <c r="O1791" s="3"/>
      <c r="P1791" s="3"/>
    </row>
    <row r="1792" spans="1:16" x14ac:dyDescent="0.3">
      <c r="A1792" t="s">
        <v>3203</v>
      </c>
      <c r="B1792" s="9" t="s">
        <v>1059</v>
      </c>
      <c r="C1792" s="20" t="str">
        <f t="shared" si="27"/>
        <v>Aug</v>
      </c>
      <c r="D1792" t="s">
        <v>405</v>
      </c>
      <c r="E1792" s="10" t="s">
        <v>784</v>
      </c>
      <c r="F1792" t="s">
        <v>25</v>
      </c>
      <c r="G1792" t="s">
        <v>18</v>
      </c>
      <c r="H1792" t="s">
        <v>79</v>
      </c>
      <c r="I1792">
        <v>8</v>
      </c>
      <c r="J1792" s="3">
        <v>197.6</v>
      </c>
      <c r="K1792" s="2">
        <v>0.15</v>
      </c>
      <c r="L1792" s="3">
        <v>1343.68</v>
      </c>
      <c r="M1792" s="3">
        <v>383.7</v>
      </c>
      <c r="N1792" t="s">
        <v>40</v>
      </c>
      <c r="O1792" s="3"/>
      <c r="P1792" s="3"/>
    </row>
    <row r="1793" spans="1:16" x14ac:dyDescent="0.3">
      <c r="A1793" t="s">
        <v>3204</v>
      </c>
      <c r="B1793" s="9" t="s">
        <v>2590</v>
      </c>
      <c r="C1793" s="20" t="str">
        <f t="shared" si="27"/>
        <v>Feb</v>
      </c>
      <c r="D1793" t="s">
        <v>1798</v>
      </c>
      <c r="E1793" s="10" t="s">
        <v>1173</v>
      </c>
      <c r="F1793" t="s">
        <v>32</v>
      </c>
      <c r="G1793" t="s">
        <v>26</v>
      </c>
      <c r="H1793" t="s">
        <v>27</v>
      </c>
      <c r="I1793">
        <v>6</v>
      </c>
      <c r="J1793" s="3">
        <v>234.72</v>
      </c>
      <c r="K1793" s="2">
        <v>0</v>
      </c>
      <c r="L1793" s="3">
        <v>1408.32</v>
      </c>
      <c r="M1793" s="3">
        <v>223.4</v>
      </c>
      <c r="N1793" t="s">
        <v>35</v>
      </c>
      <c r="O1793" s="3"/>
      <c r="P1793" s="3"/>
    </row>
    <row r="1794" spans="1:16" x14ac:dyDescent="0.3">
      <c r="A1794" t="s">
        <v>3205</v>
      </c>
      <c r="B1794" s="9" t="s">
        <v>764</v>
      </c>
      <c r="C1794" s="20" t="str">
        <f t="shared" ref="C1794:C1857" si="28">TEXT(B:B, "mmm")</f>
        <v>Nov</v>
      </c>
      <c r="D1794" t="s">
        <v>379</v>
      </c>
      <c r="E1794" s="10" t="s">
        <v>2454</v>
      </c>
      <c r="F1794" t="s">
        <v>32</v>
      </c>
      <c r="G1794" t="s">
        <v>26</v>
      </c>
      <c r="H1794" t="s">
        <v>118</v>
      </c>
      <c r="I1794">
        <v>3</v>
      </c>
      <c r="J1794" s="3">
        <v>19.579999999999998</v>
      </c>
      <c r="K1794" s="2">
        <v>0.15</v>
      </c>
      <c r="L1794" s="3">
        <v>49.93</v>
      </c>
      <c r="M1794" s="3">
        <v>13.34</v>
      </c>
      <c r="N1794" t="s">
        <v>20</v>
      </c>
      <c r="O1794" s="3"/>
      <c r="P1794" s="3"/>
    </row>
    <row r="1795" spans="1:16" x14ac:dyDescent="0.3">
      <c r="A1795" t="s">
        <v>3206</v>
      </c>
      <c r="B1795" s="9" t="s">
        <v>400</v>
      </c>
      <c r="C1795" s="20" t="str">
        <f t="shared" si="28"/>
        <v>Dec</v>
      </c>
      <c r="D1795" t="s">
        <v>3134</v>
      </c>
      <c r="E1795" s="10" t="s">
        <v>1865</v>
      </c>
      <c r="F1795" t="s">
        <v>32</v>
      </c>
      <c r="G1795" t="s">
        <v>26</v>
      </c>
      <c r="H1795" t="s">
        <v>118</v>
      </c>
      <c r="I1795">
        <v>1</v>
      </c>
      <c r="J1795" s="3">
        <v>179.24</v>
      </c>
      <c r="K1795" s="2">
        <v>0.1</v>
      </c>
      <c r="L1795" s="3">
        <v>161.32</v>
      </c>
      <c r="M1795" s="3">
        <v>20.63</v>
      </c>
      <c r="N1795" t="s">
        <v>20</v>
      </c>
      <c r="O1795" s="3"/>
      <c r="P1795" s="3"/>
    </row>
    <row r="1796" spans="1:16" x14ac:dyDescent="0.3">
      <c r="A1796" t="s">
        <v>3207</v>
      </c>
      <c r="B1796" s="9" t="s">
        <v>56</v>
      </c>
      <c r="C1796" s="20" t="str">
        <f t="shared" si="28"/>
        <v>Dec</v>
      </c>
      <c r="D1796" t="s">
        <v>531</v>
      </c>
      <c r="E1796" s="10" t="s">
        <v>976</v>
      </c>
      <c r="F1796" t="s">
        <v>64</v>
      </c>
      <c r="G1796" t="s">
        <v>89</v>
      </c>
      <c r="H1796" t="s">
        <v>131</v>
      </c>
      <c r="I1796">
        <v>8</v>
      </c>
      <c r="J1796" s="3">
        <v>246.69</v>
      </c>
      <c r="K1796" s="2">
        <v>0.1</v>
      </c>
      <c r="L1796" s="3">
        <v>1776.17</v>
      </c>
      <c r="M1796" s="3">
        <v>168.12</v>
      </c>
      <c r="N1796" t="s">
        <v>40</v>
      </c>
      <c r="O1796" s="3"/>
      <c r="P1796" s="3"/>
    </row>
    <row r="1797" spans="1:16" x14ac:dyDescent="0.3">
      <c r="A1797" t="s">
        <v>3208</v>
      </c>
      <c r="B1797" s="9" t="s">
        <v>2034</v>
      </c>
      <c r="C1797" s="20" t="str">
        <f t="shared" si="28"/>
        <v>Jan</v>
      </c>
      <c r="D1797" t="s">
        <v>196</v>
      </c>
      <c r="E1797" s="10" t="s">
        <v>478</v>
      </c>
      <c r="F1797" t="s">
        <v>64</v>
      </c>
      <c r="G1797" t="s">
        <v>33</v>
      </c>
      <c r="H1797" t="s">
        <v>50</v>
      </c>
      <c r="I1797">
        <v>4</v>
      </c>
      <c r="J1797" s="3">
        <v>30.2</v>
      </c>
      <c r="K1797" s="2">
        <v>0</v>
      </c>
      <c r="L1797" s="3">
        <v>120.8</v>
      </c>
      <c r="M1797" s="3">
        <v>34.700000000000003</v>
      </c>
      <c r="N1797" t="s">
        <v>35</v>
      </c>
      <c r="O1797" s="3"/>
      <c r="P1797" s="3"/>
    </row>
    <row r="1798" spans="1:16" x14ac:dyDescent="0.3">
      <c r="A1798" t="s">
        <v>3209</v>
      </c>
      <c r="B1798" s="9" t="s">
        <v>943</v>
      </c>
      <c r="C1798" s="20" t="str">
        <f t="shared" si="28"/>
        <v>Feb</v>
      </c>
      <c r="D1798" t="s">
        <v>2916</v>
      </c>
      <c r="E1798" s="10" t="s">
        <v>2619</v>
      </c>
      <c r="F1798" t="s">
        <v>25</v>
      </c>
      <c r="G1798" t="s">
        <v>18</v>
      </c>
      <c r="H1798" t="s">
        <v>19</v>
      </c>
      <c r="I1798">
        <v>1</v>
      </c>
      <c r="J1798" s="3">
        <v>88.28</v>
      </c>
      <c r="K1798" s="2">
        <v>0.05</v>
      </c>
      <c r="L1798" s="3">
        <v>83.87</v>
      </c>
      <c r="M1798" s="3">
        <v>8.65</v>
      </c>
      <c r="N1798" t="s">
        <v>35</v>
      </c>
      <c r="O1798" s="3"/>
      <c r="P1798" s="3"/>
    </row>
    <row r="1799" spans="1:16" x14ac:dyDescent="0.3">
      <c r="A1799" t="s">
        <v>3210</v>
      </c>
      <c r="B1799" s="9" t="s">
        <v>483</v>
      </c>
      <c r="C1799" s="20" t="str">
        <f t="shared" si="28"/>
        <v>Feb</v>
      </c>
      <c r="D1799" t="s">
        <v>3211</v>
      </c>
      <c r="E1799" s="10" t="s">
        <v>1209</v>
      </c>
      <c r="F1799" t="s">
        <v>32</v>
      </c>
      <c r="G1799" t="s">
        <v>18</v>
      </c>
      <c r="H1799" t="s">
        <v>45</v>
      </c>
      <c r="I1799">
        <v>3</v>
      </c>
      <c r="J1799" s="3">
        <v>69.19</v>
      </c>
      <c r="K1799" s="2">
        <v>0.15</v>
      </c>
      <c r="L1799" s="3">
        <v>176.43</v>
      </c>
      <c r="M1799" s="3">
        <v>23.76</v>
      </c>
      <c r="N1799" t="s">
        <v>20</v>
      </c>
      <c r="O1799" s="3"/>
      <c r="P1799" s="3"/>
    </row>
    <row r="1800" spans="1:16" x14ac:dyDescent="0.3">
      <c r="A1800" t="s">
        <v>3212</v>
      </c>
      <c r="B1800" s="9" t="s">
        <v>1198</v>
      </c>
      <c r="C1800" s="20" t="str">
        <f t="shared" si="28"/>
        <v>Jul</v>
      </c>
      <c r="D1800" t="s">
        <v>1244</v>
      </c>
      <c r="E1800" s="10" t="s">
        <v>3015</v>
      </c>
      <c r="F1800" t="s">
        <v>25</v>
      </c>
      <c r="G1800" t="s">
        <v>33</v>
      </c>
      <c r="H1800" t="s">
        <v>50</v>
      </c>
      <c r="I1800">
        <v>3</v>
      </c>
      <c r="J1800" s="3">
        <v>86.28</v>
      </c>
      <c r="K1800" s="2">
        <v>0.15</v>
      </c>
      <c r="L1800" s="3">
        <v>220.01</v>
      </c>
      <c r="M1800" s="3">
        <v>23.17</v>
      </c>
      <c r="N1800" t="s">
        <v>20</v>
      </c>
      <c r="O1800" s="3"/>
      <c r="P1800" s="3"/>
    </row>
    <row r="1801" spans="1:16" x14ac:dyDescent="0.3">
      <c r="A1801" t="s">
        <v>3213</v>
      </c>
      <c r="B1801" s="9" t="s">
        <v>242</v>
      </c>
      <c r="C1801" s="20" t="str">
        <f t="shared" si="28"/>
        <v>Jun</v>
      </c>
      <c r="D1801" t="s">
        <v>1589</v>
      </c>
      <c r="E1801" s="10" t="s">
        <v>2130</v>
      </c>
      <c r="F1801" t="s">
        <v>59</v>
      </c>
      <c r="G1801" t="s">
        <v>89</v>
      </c>
      <c r="H1801" t="s">
        <v>150</v>
      </c>
      <c r="I1801">
        <v>3</v>
      </c>
      <c r="J1801" s="3">
        <v>117.07</v>
      </c>
      <c r="K1801" s="2">
        <v>0.15</v>
      </c>
      <c r="L1801" s="3">
        <v>298.52999999999997</v>
      </c>
      <c r="M1801" s="3">
        <v>43.94</v>
      </c>
      <c r="N1801" t="s">
        <v>35</v>
      </c>
      <c r="O1801" s="3"/>
      <c r="P1801" s="3"/>
    </row>
    <row r="1802" spans="1:16" x14ac:dyDescent="0.3">
      <c r="A1802" t="s">
        <v>3214</v>
      </c>
      <c r="B1802" s="9" t="s">
        <v>2034</v>
      </c>
      <c r="C1802" s="20" t="str">
        <f t="shared" si="28"/>
        <v>Jan</v>
      </c>
      <c r="D1802" t="s">
        <v>757</v>
      </c>
      <c r="E1802" s="10" t="s">
        <v>1693</v>
      </c>
      <c r="F1802" t="s">
        <v>59</v>
      </c>
      <c r="G1802" t="s">
        <v>18</v>
      </c>
      <c r="H1802" t="s">
        <v>19</v>
      </c>
      <c r="I1802">
        <v>1</v>
      </c>
      <c r="J1802" s="3">
        <v>24.4</v>
      </c>
      <c r="K1802" s="2">
        <v>0</v>
      </c>
      <c r="L1802" s="3">
        <v>24.4</v>
      </c>
      <c r="M1802" s="3">
        <v>4.4400000000000004</v>
      </c>
      <c r="N1802" t="s">
        <v>20</v>
      </c>
      <c r="O1802" s="3"/>
      <c r="P1802" s="3"/>
    </row>
    <row r="1803" spans="1:16" x14ac:dyDescent="0.3">
      <c r="A1803" t="s">
        <v>3215</v>
      </c>
      <c r="B1803" s="9" t="s">
        <v>823</v>
      </c>
      <c r="C1803" s="20" t="str">
        <f t="shared" si="28"/>
        <v>Apr</v>
      </c>
      <c r="D1803" t="s">
        <v>2445</v>
      </c>
      <c r="E1803" s="10" t="s">
        <v>1375</v>
      </c>
      <c r="F1803" t="s">
        <v>25</v>
      </c>
      <c r="G1803" t="s">
        <v>89</v>
      </c>
      <c r="H1803" t="s">
        <v>90</v>
      </c>
      <c r="I1803">
        <v>8</v>
      </c>
      <c r="J1803" s="3">
        <v>172.76</v>
      </c>
      <c r="K1803" s="2">
        <v>0.15</v>
      </c>
      <c r="L1803" s="3">
        <v>1174.77</v>
      </c>
      <c r="M1803" s="3">
        <v>258.56</v>
      </c>
      <c r="N1803" t="s">
        <v>20</v>
      </c>
      <c r="O1803" s="3"/>
      <c r="P1803" s="3"/>
    </row>
    <row r="1804" spans="1:16" x14ac:dyDescent="0.3">
      <c r="A1804" t="s">
        <v>3216</v>
      </c>
      <c r="B1804" s="9" t="s">
        <v>900</v>
      </c>
      <c r="C1804" s="20" t="str">
        <f t="shared" si="28"/>
        <v>Oct</v>
      </c>
      <c r="D1804" t="s">
        <v>1543</v>
      </c>
      <c r="E1804" s="10" t="s">
        <v>688</v>
      </c>
      <c r="F1804" t="s">
        <v>32</v>
      </c>
      <c r="G1804" t="s">
        <v>18</v>
      </c>
      <c r="H1804" t="s">
        <v>45</v>
      </c>
      <c r="I1804">
        <v>2</v>
      </c>
      <c r="J1804" s="3">
        <v>112.1</v>
      </c>
      <c r="K1804" s="2">
        <v>0.1</v>
      </c>
      <c r="L1804" s="3">
        <v>201.78</v>
      </c>
      <c r="M1804" s="3">
        <v>50.82</v>
      </c>
      <c r="N1804" t="s">
        <v>40</v>
      </c>
      <c r="O1804" s="3"/>
      <c r="P1804" s="3"/>
    </row>
    <row r="1805" spans="1:16" x14ac:dyDescent="0.3">
      <c r="A1805" t="s">
        <v>3217</v>
      </c>
      <c r="B1805" s="9" t="s">
        <v>349</v>
      </c>
      <c r="C1805" s="20" t="str">
        <f t="shared" si="28"/>
        <v>May</v>
      </c>
      <c r="D1805" t="s">
        <v>2000</v>
      </c>
      <c r="E1805" s="10" t="s">
        <v>1041</v>
      </c>
      <c r="F1805" t="s">
        <v>59</v>
      </c>
      <c r="G1805" t="s">
        <v>26</v>
      </c>
      <c r="H1805" t="s">
        <v>27</v>
      </c>
      <c r="I1805">
        <v>8</v>
      </c>
      <c r="J1805" s="3">
        <v>153.65</v>
      </c>
      <c r="K1805" s="2">
        <v>0.15</v>
      </c>
      <c r="L1805" s="3">
        <v>1044.82</v>
      </c>
      <c r="M1805" s="3">
        <v>155.41</v>
      </c>
      <c r="N1805" t="s">
        <v>40</v>
      </c>
      <c r="O1805" s="3"/>
      <c r="P1805" s="3"/>
    </row>
    <row r="1806" spans="1:16" x14ac:dyDescent="0.3">
      <c r="A1806" t="s">
        <v>3218</v>
      </c>
      <c r="B1806" s="9" t="s">
        <v>561</v>
      </c>
      <c r="C1806" s="20" t="str">
        <f t="shared" si="28"/>
        <v>Sep</v>
      </c>
      <c r="D1806" t="s">
        <v>1096</v>
      </c>
      <c r="E1806" s="10" t="s">
        <v>2437</v>
      </c>
      <c r="F1806" t="s">
        <v>17</v>
      </c>
      <c r="G1806" t="s">
        <v>18</v>
      </c>
      <c r="H1806" t="s">
        <v>19</v>
      </c>
      <c r="I1806">
        <v>3</v>
      </c>
      <c r="J1806" s="3">
        <v>104.49</v>
      </c>
      <c r="K1806" s="2">
        <v>0.1</v>
      </c>
      <c r="L1806" s="3">
        <v>282.12</v>
      </c>
      <c r="M1806" s="3">
        <v>80.22</v>
      </c>
      <c r="N1806" t="s">
        <v>40</v>
      </c>
      <c r="O1806" s="3"/>
      <c r="P1806" s="3"/>
    </row>
    <row r="1807" spans="1:16" x14ac:dyDescent="0.3">
      <c r="A1807" t="s">
        <v>3219</v>
      </c>
      <c r="B1807" s="9" t="s">
        <v>771</v>
      </c>
      <c r="C1807" s="20" t="str">
        <f t="shared" si="28"/>
        <v>Jun</v>
      </c>
      <c r="D1807" t="s">
        <v>314</v>
      </c>
      <c r="E1807" s="10" t="s">
        <v>262</v>
      </c>
      <c r="F1807" t="s">
        <v>59</v>
      </c>
      <c r="G1807" t="s">
        <v>33</v>
      </c>
      <c r="H1807" t="s">
        <v>50</v>
      </c>
      <c r="I1807">
        <v>5</v>
      </c>
      <c r="J1807" s="3">
        <v>213.84</v>
      </c>
      <c r="K1807" s="2">
        <v>0.1</v>
      </c>
      <c r="L1807" s="3">
        <v>962.28</v>
      </c>
      <c r="M1807" s="3">
        <v>284.77999999999997</v>
      </c>
      <c r="N1807" t="s">
        <v>20</v>
      </c>
      <c r="O1807" s="3"/>
      <c r="P1807" s="3"/>
    </row>
    <row r="1808" spans="1:16" x14ac:dyDescent="0.3">
      <c r="A1808" t="s">
        <v>3222</v>
      </c>
      <c r="B1808" s="9" t="s">
        <v>140</v>
      </c>
      <c r="C1808" s="20" t="str">
        <f t="shared" si="28"/>
        <v>May</v>
      </c>
      <c r="D1808" t="s">
        <v>121</v>
      </c>
      <c r="E1808" s="10" t="s">
        <v>481</v>
      </c>
      <c r="F1808" t="s">
        <v>32</v>
      </c>
      <c r="G1808" t="s">
        <v>89</v>
      </c>
      <c r="H1808" t="s">
        <v>150</v>
      </c>
      <c r="I1808">
        <v>3</v>
      </c>
      <c r="J1808" s="3">
        <v>231.6</v>
      </c>
      <c r="K1808" s="2">
        <v>0.05</v>
      </c>
      <c r="L1808" s="3">
        <v>660.06</v>
      </c>
      <c r="M1808" s="3">
        <v>56.16</v>
      </c>
      <c r="N1808" t="s">
        <v>20</v>
      </c>
      <c r="O1808" s="3"/>
      <c r="P1808" s="3"/>
    </row>
    <row r="1809" spans="1:16" x14ac:dyDescent="0.3">
      <c r="A1809" t="s">
        <v>3223</v>
      </c>
      <c r="B1809" s="9" t="s">
        <v>915</v>
      </c>
      <c r="C1809" s="20" t="str">
        <f t="shared" si="28"/>
        <v>Mar</v>
      </c>
      <c r="D1809" t="s">
        <v>1616</v>
      </c>
      <c r="E1809" s="10" t="s">
        <v>2295</v>
      </c>
      <c r="F1809" t="s">
        <v>17</v>
      </c>
      <c r="G1809" t="s">
        <v>33</v>
      </c>
      <c r="H1809" t="s">
        <v>74</v>
      </c>
      <c r="I1809">
        <v>3</v>
      </c>
      <c r="J1809" s="3">
        <v>61.9</v>
      </c>
      <c r="K1809" s="2">
        <v>0.1</v>
      </c>
      <c r="L1809" s="3">
        <v>167.13</v>
      </c>
      <c r="M1809" s="3">
        <v>46.31</v>
      </c>
      <c r="N1809" t="s">
        <v>20</v>
      </c>
      <c r="O1809" s="3"/>
      <c r="P1809" s="3"/>
    </row>
    <row r="1810" spans="1:16" x14ac:dyDescent="0.3">
      <c r="A1810" t="s">
        <v>3224</v>
      </c>
      <c r="B1810" s="9" t="s">
        <v>1043</v>
      </c>
      <c r="C1810" s="20" t="str">
        <f t="shared" si="28"/>
        <v>Mar</v>
      </c>
      <c r="D1810" t="s">
        <v>597</v>
      </c>
      <c r="E1810" s="10" t="s">
        <v>1400</v>
      </c>
      <c r="F1810" t="s">
        <v>25</v>
      </c>
      <c r="G1810" t="s">
        <v>89</v>
      </c>
      <c r="H1810" t="s">
        <v>90</v>
      </c>
      <c r="I1810">
        <v>2</v>
      </c>
      <c r="J1810" s="3">
        <v>181.53</v>
      </c>
      <c r="K1810" s="2">
        <v>0.15</v>
      </c>
      <c r="L1810" s="3">
        <v>308.60000000000002</v>
      </c>
      <c r="M1810" s="3">
        <v>70.92</v>
      </c>
      <c r="N1810" t="s">
        <v>20</v>
      </c>
      <c r="O1810" s="3"/>
      <c r="P1810" s="3"/>
    </row>
    <row r="1811" spans="1:16" x14ac:dyDescent="0.3">
      <c r="A1811" t="s">
        <v>3225</v>
      </c>
      <c r="B1811" s="9" t="s">
        <v>1124</v>
      </c>
      <c r="C1811" s="20" t="str">
        <f t="shared" si="28"/>
        <v>Dec</v>
      </c>
      <c r="D1811" t="s">
        <v>1974</v>
      </c>
      <c r="E1811" s="10" t="s">
        <v>985</v>
      </c>
      <c r="F1811" t="s">
        <v>17</v>
      </c>
      <c r="G1811" t="s">
        <v>26</v>
      </c>
      <c r="H1811" t="s">
        <v>84</v>
      </c>
      <c r="I1811">
        <v>3</v>
      </c>
      <c r="J1811" s="3">
        <v>58.74</v>
      </c>
      <c r="K1811" s="2">
        <v>0.1</v>
      </c>
      <c r="L1811" s="3">
        <v>158.6</v>
      </c>
      <c r="M1811" s="3">
        <v>23.27</v>
      </c>
      <c r="N1811" t="s">
        <v>40</v>
      </c>
      <c r="O1811" s="3"/>
      <c r="P1811" s="3"/>
    </row>
    <row r="1812" spans="1:16" x14ac:dyDescent="0.3">
      <c r="A1812" t="s">
        <v>3226</v>
      </c>
      <c r="B1812" s="9" t="s">
        <v>1394</v>
      </c>
      <c r="C1812" s="20" t="str">
        <f t="shared" si="28"/>
        <v>Dec</v>
      </c>
      <c r="D1812" t="s">
        <v>424</v>
      </c>
      <c r="E1812" s="10" t="s">
        <v>1865</v>
      </c>
      <c r="F1812" t="s">
        <v>59</v>
      </c>
      <c r="G1812" t="s">
        <v>18</v>
      </c>
      <c r="H1812" t="s">
        <v>79</v>
      </c>
      <c r="I1812">
        <v>1</v>
      </c>
      <c r="J1812" s="3">
        <v>197.53</v>
      </c>
      <c r="K1812" s="2">
        <v>0.05</v>
      </c>
      <c r="L1812" s="3">
        <v>187.65</v>
      </c>
      <c r="M1812" s="3">
        <v>55.3</v>
      </c>
      <c r="N1812" t="s">
        <v>35</v>
      </c>
      <c r="O1812" s="3"/>
      <c r="P1812" s="3"/>
    </row>
    <row r="1813" spans="1:16" x14ac:dyDescent="0.3">
      <c r="A1813" t="s">
        <v>3227</v>
      </c>
      <c r="B1813" s="9" t="s">
        <v>1108</v>
      </c>
      <c r="C1813" s="20" t="str">
        <f t="shared" si="28"/>
        <v>Dec</v>
      </c>
      <c r="D1813" t="s">
        <v>886</v>
      </c>
      <c r="E1813" s="10" t="s">
        <v>288</v>
      </c>
      <c r="F1813" t="s">
        <v>17</v>
      </c>
      <c r="G1813" t="s">
        <v>89</v>
      </c>
      <c r="H1813" t="s">
        <v>90</v>
      </c>
      <c r="I1813">
        <v>4</v>
      </c>
      <c r="J1813" s="3">
        <v>32.93</v>
      </c>
      <c r="K1813" s="2">
        <v>0.1</v>
      </c>
      <c r="L1813" s="3">
        <v>118.55</v>
      </c>
      <c r="M1813" s="3">
        <v>31.27</v>
      </c>
      <c r="N1813" t="s">
        <v>40</v>
      </c>
      <c r="O1813" s="3"/>
      <c r="P1813" s="3"/>
    </row>
    <row r="1814" spans="1:16" x14ac:dyDescent="0.3">
      <c r="A1814" t="s">
        <v>3228</v>
      </c>
      <c r="B1814" s="9" t="s">
        <v>712</v>
      </c>
      <c r="C1814" s="20" t="str">
        <f t="shared" si="28"/>
        <v>Jul</v>
      </c>
      <c r="D1814" t="s">
        <v>112</v>
      </c>
      <c r="E1814" s="10" t="s">
        <v>466</v>
      </c>
      <c r="F1814" t="s">
        <v>25</v>
      </c>
      <c r="G1814" t="s">
        <v>33</v>
      </c>
      <c r="H1814" t="s">
        <v>50</v>
      </c>
      <c r="I1814">
        <v>2</v>
      </c>
      <c r="J1814" s="3">
        <v>41.82</v>
      </c>
      <c r="K1814" s="2">
        <v>0.05</v>
      </c>
      <c r="L1814" s="3">
        <v>79.459999999999994</v>
      </c>
      <c r="M1814" s="3">
        <v>11.59</v>
      </c>
      <c r="N1814" t="s">
        <v>20</v>
      </c>
      <c r="O1814" s="3"/>
      <c r="P1814" s="3"/>
    </row>
    <row r="1815" spans="1:16" x14ac:dyDescent="0.3">
      <c r="A1815" t="s">
        <v>3229</v>
      </c>
      <c r="B1815" s="9" t="s">
        <v>636</v>
      </c>
      <c r="C1815" s="20" t="str">
        <f t="shared" si="28"/>
        <v>Jan</v>
      </c>
      <c r="D1815" t="s">
        <v>2056</v>
      </c>
      <c r="E1815" s="10" t="s">
        <v>524</v>
      </c>
      <c r="F1815" t="s">
        <v>25</v>
      </c>
      <c r="G1815" t="s">
        <v>26</v>
      </c>
      <c r="H1815" t="s">
        <v>84</v>
      </c>
      <c r="I1815">
        <v>5</v>
      </c>
      <c r="J1815" s="3">
        <v>123.76</v>
      </c>
      <c r="K1815" s="2">
        <v>0.05</v>
      </c>
      <c r="L1815" s="3">
        <v>587.86</v>
      </c>
      <c r="M1815" s="3">
        <v>174.76</v>
      </c>
      <c r="N1815" t="s">
        <v>40</v>
      </c>
      <c r="O1815" s="3"/>
      <c r="P1815" s="3"/>
    </row>
    <row r="1816" spans="1:16" x14ac:dyDescent="0.3">
      <c r="A1816" t="s">
        <v>3230</v>
      </c>
      <c r="B1816" s="9" t="s">
        <v>1081</v>
      </c>
      <c r="C1816" s="20" t="str">
        <f t="shared" si="28"/>
        <v>Sep</v>
      </c>
      <c r="D1816" t="s">
        <v>1704</v>
      </c>
      <c r="E1816" s="10" t="s">
        <v>576</v>
      </c>
      <c r="F1816" t="s">
        <v>64</v>
      </c>
      <c r="G1816" t="s">
        <v>33</v>
      </c>
      <c r="H1816" t="s">
        <v>74</v>
      </c>
      <c r="I1816">
        <v>1</v>
      </c>
      <c r="J1816" s="3">
        <v>184.13</v>
      </c>
      <c r="K1816" s="2">
        <v>0.15</v>
      </c>
      <c r="L1816" s="3">
        <v>156.51</v>
      </c>
      <c r="M1816" s="3">
        <v>21.67</v>
      </c>
      <c r="N1816" t="s">
        <v>40</v>
      </c>
      <c r="O1816" s="3"/>
      <c r="P1816" s="3"/>
    </row>
    <row r="1817" spans="1:16" x14ac:dyDescent="0.3">
      <c r="A1817" t="s">
        <v>3231</v>
      </c>
      <c r="B1817" s="9" t="s">
        <v>388</v>
      </c>
      <c r="C1817" s="20" t="str">
        <f t="shared" si="28"/>
        <v>Aug</v>
      </c>
      <c r="D1817" t="s">
        <v>1193</v>
      </c>
      <c r="E1817" s="10" t="s">
        <v>1179</v>
      </c>
      <c r="F1817" t="s">
        <v>17</v>
      </c>
      <c r="G1817" t="s">
        <v>89</v>
      </c>
      <c r="H1817" t="s">
        <v>131</v>
      </c>
      <c r="I1817">
        <v>6</v>
      </c>
      <c r="J1817" s="3">
        <v>132.41</v>
      </c>
      <c r="K1817" s="2">
        <v>0.15</v>
      </c>
      <c r="L1817" s="3">
        <v>675.29</v>
      </c>
      <c r="M1817" s="3">
        <v>126.28</v>
      </c>
      <c r="N1817" t="s">
        <v>40</v>
      </c>
      <c r="O1817" s="3"/>
      <c r="P1817" s="3"/>
    </row>
    <row r="1818" spans="1:16" x14ac:dyDescent="0.3">
      <c r="A1818" t="s">
        <v>3232</v>
      </c>
      <c r="B1818" s="9" t="s">
        <v>1170</v>
      </c>
      <c r="C1818" s="20" t="str">
        <f t="shared" si="28"/>
        <v>Feb</v>
      </c>
      <c r="D1818" t="s">
        <v>897</v>
      </c>
      <c r="E1818" s="10" t="s">
        <v>612</v>
      </c>
      <c r="F1818" t="s">
        <v>59</v>
      </c>
      <c r="G1818" t="s">
        <v>26</v>
      </c>
      <c r="H1818" t="s">
        <v>27</v>
      </c>
      <c r="I1818">
        <v>6</v>
      </c>
      <c r="J1818" s="3">
        <v>176.18</v>
      </c>
      <c r="K1818" s="2">
        <v>0.05</v>
      </c>
      <c r="L1818" s="3">
        <v>1004.23</v>
      </c>
      <c r="M1818" s="3">
        <v>257.68</v>
      </c>
      <c r="N1818" t="s">
        <v>40</v>
      </c>
      <c r="O1818" s="3"/>
      <c r="P1818" s="3"/>
    </row>
    <row r="1819" spans="1:16" x14ac:dyDescent="0.3">
      <c r="A1819" t="s">
        <v>3233</v>
      </c>
      <c r="B1819" s="9" t="s">
        <v>650</v>
      </c>
      <c r="C1819" s="20" t="str">
        <f t="shared" si="28"/>
        <v>Mar</v>
      </c>
      <c r="D1819" t="s">
        <v>1141</v>
      </c>
      <c r="E1819" s="10" t="s">
        <v>3021</v>
      </c>
      <c r="F1819" t="s">
        <v>17</v>
      </c>
      <c r="G1819" t="s">
        <v>33</v>
      </c>
      <c r="H1819" t="s">
        <v>50</v>
      </c>
      <c r="I1819">
        <v>1</v>
      </c>
      <c r="J1819" s="3">
        <v>70.91</v>
      </c>
      <c r="K1819" s="2">
        <v>0</v>
      </c>
      <c r="L1819" s="3">
        <v>70.91</v>
      </c>
      <c r="M1819" s="3">
        <v>18.78</v>
      </c>
      <c r="N1819" t="s">
        <v>40</v>
      </c>
      <c r="O1819" s="3"/>
      <c r="P1819" s="3"/>
    </row>
    <row r="1820" spans="1:16" x14ac:dyDescent="0.3">
      <c r="A1820" t="s">
        <v>3234</v>
      </c>
      <c r="B1820" s="9" t="s">
        <v>345</v>
      </c>
      <c r="C1820" s="20" t="str">
        <f t="shared" si="28"/>
        <v>Apr</v>
      </c>
      <c r="D1820" t="s">
        <v>393</v>
      </c>
      <c r="E1820" s="10" t="s">
        <v>49</v>
      </c>
      <c r="F1820" t="s">
        <v>59</v>
      </c>
      <c r="G1820" t="s">
        <v>26</v>
      </c>
      <c r="H1820" t="s">
        <v>84</v>
      </c>
      <c r="I1820">
        <v>3</v>
      </c>
      <c r="J1820" s="3">
        <v>47.67</v>
      </c>
      <c r="K1820" s="2">
        <v>0.1</v>
      </c>
      <c r="L1820" s="3">
        <v>128.71</v>
      </c>
      <c r="M1820" s="3">
        <v>31.52</v>
      </c>
      <c r="N1820" t="s">
        <v>40</v>
      </c>
      <c r="O1820" s="3"/>
      <c r="P1820" s="3"/>
    </row>
    <row r="1821" spans="1:16" x14ac:dyDescent="0.3">
      <c r="A1821" t="s">
        <v>3235</v>
      </c>
      <c r="B1821" s="9" t="s">
        <v>904</v>
      </c>
      <c r="C1821" s="20" t="str">
        <f t="shared" si="28"/>
        <v>Apr</v>
      </c>
      <c r="D1821" t="s">
        <v>440</v>
      </c>
      <c r="E1821" s="10" t="s">
        <v>1822</v>
      </c>
      <c r="F1821" t="s">
        <v>64</v>
      </c>
      <c r="G1821" t="s">
        <v>26</v>
      </c>
      <c r="H1821" t="s">
        <v>118</v>
      </c>
      <c r="I1821">
        <v>1</v>
      </c>
      <c r="J1821" s="3">
        <v>128.54</v>
      </c>
      <c r="K1821" s="2">
        <v>0.15</v>
      </c>
      <c r="L1821" s="3">
        <v>109.26</v>
      </c>
      <c r="M1821" s="3">
        <v>26.35</v>
      </c>
      <c r="N1821" t="s">
        <v>40</v>
      </c>
      <c r="O1821" s="3"/>
      <c r="P1821" s="3"/>
    </row>
    <row r="1822" spans="1:16" x14ac:dyDescent="0.3">
      <c r="A1822" t="s">
        <v>3236</v>
      </c>
      <c r="B1822" s="9" t="s">
        <v>1029</v>
      </c>
      <c r="C1822" s="20" t="str">
        <f t="shared" si="28"/>
        <v>Dec</v>
      </c>
      <c r="D1822" t="s">
        <v>644</v>
      </c>
      <c r="E1822" s="10" t="s">
        <v>113</v>
      </c>
      <c r="F1822" t="s">
        <v>25</v>
      </c>
      <c r="G1822" t="s">
        <v>89</v>
      </c>
      <c r="H1822" t="s">
        <v>90</v>
      </c>
      <c r="I1822">
        <v>3</v>
      </c>
      <c r="J1822" s="3">
        <v>89.22</v>
      </c>
      <c r="K1822" s="2">
        <v>0</v>
      </c>
      <c r="L1822" s="3">
        <v>267.66000000000003</v>
      </c>
      <c r="M1822" s="3">
        <v>22.54</v>
      </c>
      <c r="N1822" t="s">
        <v>35</v>
      </c>
      <c r="O1822" s="3"/>
      <c r="P1822" s="3"/>
    </row>
    <row r="1823" spans="1:16" x14ac:dyDescent="0.3">
      <c r="A1823" t="s">
        <v>3237</v>
      </c>
      <c r="B1823" s="9" t="s">
        <v>1049</v>
      </c>
      <c r="C1823" s="20" t="str">
        <f t="shared" si="28"/>
        <v>Aug</v>
      </c>
      <c r="D1823" t="s">
        <v>1331</v>
      </c>
      <c r="E1823" s="10" t="s">
        <v>1344</v>
      </c>
      <c r="F1823" t="s">
        <v>59</v>
      </c>
      <c r="G1823" t="s">
        <v>89</v>
      </c>
      <c r="H1823" t="s">
        <v>131</v>
      </c>
      <c r="I1823">
        <v>2</v>
      </c>
      <c r="J1823" s="3">
        <v>136.38</v>
      </c>
      <c r="K1823" s="2">
        <v>0.15</v>
      </c>
      <c r="L1823" s="3">
        <v>231.85</v>
      </c>
      <c r="M1823" s="3">
        <v>34.090000000000003</v>
      </c>
      <c r="N1823" t="s">
        <v>20</v>
      </c>
      <c r="O1823" s="3"/>
      <c r="P1823" s="3"/>
    </row>
    <row r="1824" spans="1:16" x14ac:dyDescent="0.3">
      <c r="A1824" t="s">
        <v>3238</v>
      </c>
      <c r="B1824" s="9" t="s">
        <v>184</v>
      </c>
      <c r="C1824" s="20" t="str">
        <f t="shared" si="28"/>
        <v>Aug</v>
      </c>
      <c r="D1824" t="s">
        <v>310</v>
      </c>
      <c r="E1824" s="10" t="s">
        <v>1084</v>
      </c>
      <c r="F1824" t="s">
        <v>25</v>
      </c>
      <c r="G1824" t="s">
        <v>26</v>
      </c>
      <c r="H1824" t="s">
        <v>118</v>
      </c>
      <c r="I1824">
        <v>4</v>
      </c>
      <c r="J1824" s="3">
        <v>133.94</v>
      </c>
      <c r="K1824" s="2">
        <v>0.05</v>
      </c>
      <c r="L1824" s="3">
        <v>508.97</v>
      </c>
      <c r="M1824" s="3">
        <v>85.28</v>
      </c>
      <c r="N1824" t="s">
        <v>20</v>
      </c>
      <c r="O1824" s="3"/>
      <c r="P1824" s="3"/>
    </row>
    <row r="1825" spans="1:16" x14ac:dyDescent="0.3">
      <c r="A1825" t="s">
        <v>3239</v>
      </c>
      <c r="B1825" s="9" t="s">
        <v>349</v>
      </c>
      <c r="C1825" s="20" t="str">
        <f t="shared" si="28"/>
        <v>May</v>
      </c>
      <c r="D1825" t="s">
        <v>909</v>
      </c>
      <c r="E1825" s="10" t="s">
        <v>1214</v>
      </c>
      <c r="F1825" t="s">
        <v>59</v>
      </c>
      <c r="G1825" t="s">
        <v>26</v>
      </c>
      <c r="H1825" t="s">
        <v>118</v>
      </c>
      <c r="I1825">
        <v>5</v>
      </c>
      <c r="J1825" s="3">
        <v>82.51</v>
      </c>
      <c r="K1825" s="2">
        <v>0</v>
      </c>
      <c r="L1825" s="3">
        <v>412.55</v>
      </c>
      <c r="M1825" s="3">
        <v>110.18</v>
      </c>
      <c r="N1825" t="s">
        <v>35</v>
      </c>
      <c r="O1825" s="3"/>
      <c r="P1825" s="3"/>
    </row>
    <row r="1826" spans="1:16" x14ac:dyDescent="0.3">
      <c r="A1826" t="s">
        <v>3240</v>
      </c>
      <c r="B1826" s="9" t="s">
        <v>147</v>
      </c>
      <c r="C1826" s="20" t="str">
        <f t="shared" si="28"/>
        <v>Nov</v>
      </c>
      <c r="D1826" t="s">
        <v>1082</v>
      </c>
      <c r="E1826" s="10" t="s">
        <v>2681</v>
      </c>
      <c r="F1826" t="s">
        <v>17</v>
      </c>
      <c r="G1826" t="s">
        <v>18</v>
      </c>
      <c r="H1826" t="s">
        <v>79</v>
      </c>
      <c r="I1826">
        <v>7</v>
      </c>
      <c r="J1826" s="3">
        <v>173.26</v>
      </c>
      <c r="K1826" s="2">
        <v>0</v>
      </c>
      <c r="L1826" s="3">
        <v>1212.82</v>
      </c>
      <c r="M1826" s="3">
        <v>138.37</v>
      </c>
      <c r="N1826" t="s">
        <v>35</v>
      </c>
      <c r="O1826" s="3"/>
      <c r="P1826" s="3"/>
    </row>
    <row r="1827" spans="1:16" x14ac:dyDescent="0.3">
      <c r="A1827" t="s">
        <v>3241</v>
      </c>
      <c r="B1827" s="9" t="s">
        <v>100</v>
      </c>
      <c r="C1827" s="20" t="str">
        <f t="shared" si="28"/>
        <v>Jul</v>
      </c>
      <c r="D1827" t="s">
        <v>1492</v>
      </c>
      <c r="E1827" s="10" t="s">
        <v>414</v>
      </c>
      <c r="F1827" t="s">
        <v>64</v>
      </c>
      <c r="G1827" t="s">
        <v>26</v>
      </c>
      <c r="H1827" t="s">
        <v>118</v>
      </c>
      <c r="I1827">
        <v>6</v>
      </c>
      <c r="J1827" s="3">
        <v>31.33</v>
      </c>
      <c r="K1827" s="2">
        <v>0.05</v>
      </c>
      <c r="L1827" s="3">
        <v>178.58</v>
      </c>
      <c r="M1827" s="3">
        <v>27.4</v>
      </c>
      <c r="N1827" t="s">
        <v>35</v>
      </c>
      <c r="O1827" s="3"/>
      <c r="P1827" s="3"/>
    </row>
    <row r="1828" spans="1:16" x14ac:dyDescent="0.3">
      <c r="A1828" t="s">
        <v>3242</v>
      </c>
      <c r="B1828" s="9" t="s">
        <v>2478</v>
      </c>
      <c r="C1828" s="20" t="str">
        <f t="shared" si="28"/>
        <v>Apr</v>
      </c>
      <c r="D1828" t="s">
        <v>2679</v>
      </c>
      <c r="E1828" s="10" t="s">
        <v>601</v>
      </c>
      <c r="F1828" t="s">
        <v>59</v>
      </c>
      <c r="G1828" t="s">
        <v>33</v>
      </c>
      <c r="H1828" t="s">
        <v>69</v>
      </c>
      <c r="I1828">
        <v>4</v>
      </c>
      <c r="J1828" s="3">
        <v>89.72</v>
      </c>
      <c r="K1828" s="2">
        <v>0.1</v>
      </c>
      <c r="L1828" s="3">
        <v>322.99</v>
      </c>
      <c r="M1828" s="3">
        <v>40.82</v>
      </c>
      <c r="N1828" t="s">
        <v>40</v>
      </c>
      <c r="O1828" s="3"/>
      <c r="P1828" s="3"/>
    </row>
    <row r="1829" spans="1:16" x14ac:dyDescent="0.3">
      <c r="A1829" t="s">
        <v>3243</v>
      </c>
      <c r="B1829" s="9" t="s">
        <v>108</v>
      </c>
      <c r="C1829" s="20" t="str">
        <f t="shared" si="28"/>
        <v>May</v>
      </c>
      <c r="D1829" t="s">
        <v>389</v>
      </c>
      <c r="E1829" s="10" t="s">
        <v>2292</v>
      </c>
      <c r="F1829" t="s">
        <v>64</v>
      </c>
      <c r="G1829" t="s">
        <v>33</v>
      </c>
      <c r="H1829" t="s">
        <v>69</v>
      </c>
      <c r="I1829">
        <v>4</v>
      </c>
      <c r="J1829" s="3">
        <v>45.28</v>
      </c>
      <c r="K1829" s="2">
        <v>0.05</v>
      </c>
      <c r="L1829" s="3">
        <v>172.06</v>
      </c>
      <c r="M1829" s="3">
        <v>43.17</v>
      </c>
      <c r="N1829" t="s">
        <v>40</v>
      </c>
      <c r="O1829" s="3"/>
      <c r="P1829" s="3"/>
    </row>
    <row r="1830" spans="1:16" x14ac:dyDescent="0.3">
      <c r="A1830" t="s">
        <v>3244</v>
      </c>
      <c r="B1830" s="9" t="s">
        <v>1358</v>
      </c>
      <c r="C1830" s="20" t="str">
        <f t="shared" si="28"/>
        <v>Mar</v>
      </c>
      <c r="D1830" t="s">
        <v>2755</v>
      </c>
      <c r="E1830" s="10" t="s">
        <v>934</v>
      </c>
      <c r="F1830" t="s">
        <v>64</v>
      </c>
      <c r="G1830" t="s">
        <v>18</v>
      </c>
      <c r="H1830" t="s">
        <v>79</v>
      </c>
      <c r="I1830">
        <v>7</v>
      </c>
      <c r="J1830" s="3">
        <v>78.650000000000006</v>
      </c>
      <c r="K1830" s="2">
        <v>0.05</v>
      </c>
      <c r="L1830" s="3">
        <v>523.02</v>
      </c>
      <c r="M1830" s="3">
        <v>52.18</v>
      </c>
      <c r="N1830" t="s">
        <v>40</v>
      </c>
      <c r="O1830" s="3"/>
      <c r="P1830" s="3"/>
    </row>
    <row r="1831" spans="1:16" x14ac:dyDescent="0.3">
      <c r="A1831" t="s">
        <v>3245</v>
      </c>
      <c r="B1831" s="9" t="s">
        <v>1715</v>
      </c>
      <c r="C1831" s="20" t="str">
        <f t="shared" si="28"/>
        <v>Dec</v>
      </c>
      <c r="D1831" t="s">
        <v>647</v>
      </c>
      <c r="E1831" s="10" t="s">
        <v>816</v>
      </c>
      <c r="F1831" t="s">
        <v>25</v>
      </c>
      <c r="G1831" t="s">
        <v>26</v>
      </c>
      <c r="H1831" t="s">
        <v>118</v>
      </c>
      <c r="I1831">
        <v>8</v>
      </c>
      <c r="J1831" s="3">
        <v>236.25</v>
      </c>
      <c r="K1831" s="2">
        <v>0.1</v>
      </c>
      <c r="L1831" s="3">
        <v>1701</v>
      </c>
      <c r="M1831" s="3">
        <v>396.35</v>
      </c>
      <c r="N1831" t="s">
        <v>40</v>
      </c>
      <c r="O1831" s="3"/>
      <c r="P1831" s="3"/>
    </row>
    <row r="1832" spans="1:16" x14ac:dyDescent="0.3">
      <c r="A1832" t="s">
        <v>3246</v>
      </c>
      <c r="B1832" s="9" t="s">
        <v>56</v>
      </c>
      <c r="C1832" s="20" t="str">
        <f t="shared" si="28"/>
        <v>Dec</v>
      </c>
      <c r="D1832" t="s">
        <v>867</v>
      </c>
      <c r="E1832" s="10" t="s">
        <v>122</v>
      </c>
      <c r="F1832" t="s">
        <v>17</v>
      </c>
      <c r="G1832" t="s">
        <v>18</v>
      </c>
      <c r="H1832" t="s">
        <v>79</v>
      </c>
      <c r="I1832">
        <v>8</v>
      </c>
      <c r="J1832" s="3">
        <v>28.85</v>
      </c>
      <c r="K1832" s="2">
        <v>0.05</v>
      </c>
      <c r="L1832" s="3">
        <v>219.26</v>
      </c>
      <c r="M1832" s="3">
        <v>17.690000000000001</v>
      </c>
      <c r="N1832" t="s">
        <v>40</v>
      </c>
      <c r="O1832" s="3"/>
      <c r="P1832" s="3"/>
    </row>
    <row r="1833" spans="1:16" x14ac:dyDescent="0.3">
      <c r="A1833" t="s">
        <v>3247</v>
      </c>
      <c r="B1833" s="9" t="s">
        <v>349</v>
      </c>
      <c r="C1833" s="20" t="str">
        <f t="shared" si="28"/>
        <v>May</v>
      </c>
      <c r="D1833" t="s">
        <v>1771</v>
      </c>
      <c r="E1833" s="10" t="s">
        <v>1272</v>
      </c>
      <c r="F1833" t="s">
        <v>32</v>
      </c>
      <c r="G1833" t="s">
        <v>89</v>
      </c>
      <c r="H1833" t="s">
        <v>150</v>
      </c>
      <c r="I1833">
        <v>1</v>
      </c>
      <c r="J1833" s="3">
        <v>25.87</v>
      </c>
      <c r="K1833" s="2">
        <v>0.15</v>
      </c>
      <c r="L1833" s="3">
        <v>21.99</v>
      </c>
      <c r="M1833" s="3">
        <v>3.4</v>
      </c>
      <c r="N1833" t="s">
        <v>20</v>
      </c>
      <c r="O1833" s="3"/>
      <c r="P1833" s="3"/>
    </row>
    <row r="1834" spans="1:16" x14ac:dyDescent="0.3">
      <c r="A1834" t="s">
        <v>3248</v>
      </c>
      <c r="B1834" s="9" t="s">
        <v>1005</v>
      </c>
      <c r="C1834" s="20" t="str">
        <f t="shared" si="28"/>
        <v>Apr</v>
      </c>
      <c r="D1834" t="s">
        <v>1523</v>
      </c>
      <c r="E1834" s="10" t="s">
        <v>1555</v>
      </c>
      <c r="F1834" t="s">
        <v>25</v>
      </c>
      <c r="G1834" t="s">
        <v>26</v>
      </c>
      <c r="H1834" t="s">
        <v>118</v>
      </c>
      <c r="I1834">
        <v>7</v>
      </c>
      <c r="J1834" s="3">
        <v>94.73</v>
      </c>
      <c r="K1834" s="2">
        <v>0</v>
      </c>
      <c r="L1834" s="3">
        <v>663.11</v>
      </c>
      <c r="M1834" s="3">
        <v>112.63</v>
      </c>
      <c r="N1834" t="s">
        <v>20</v>
      </c>
      <c r="O1834" s="3"/>
      <c r="P1834" s="3"/>
    </row>
    <row r="1835" spans="1:16" x14ac:dyDescent="0.3">
      <c r="A1835" t="s">
        <v>3249</v>
      </c>
      <c r="B1835" s="9" t="s">
        <v>195</v>
      </c>
      <c r="C1835" s="20" t="str">
        <f t="shared" si="28"/>
        <v>Nov</v>
      </c>
      <c r="D1835" t="s">
        <v>160</v>
      </c>
      <c r="E1835" s="10" t="s">
        <v>1149</v>
      </c>
      <c r="F1835" t="s">
        <v>59</v>
      </c>
      <c r="G1835" t="s">
        <v>18</v>
      </c>
      <c r="H1835" t="s">
        <v>45</v>
      </c>
      <c r="I1835">
        <v>4</v>
      </c>
      <c r="J1835" s="3">
        <v>92.16</v>
      </c>
      <c r="K1835" s="2">
        <v>0</v>
      </c>
      <c r="L1835" s="3">
        <v>368.64</v>
      </c>
      <c r="M1835" s="3">
        <v>61.6</v>
      </c>
      <c r="N1835" t="s">
        <v>35</v>
      </c>
      <c r="O1835" s="3"/>
      <c r="P1835" s="3"/>
    </row>
    <row r="1836" spans="1:16" x14ac:dyDescent="0.3">
      <c r="A1836" t="s">
        <v>3250</v>
      </c>
      <c r="B1836" s="9" t="s">
        <v>400</v>
      </c>
      <c r="C1836" s="20" t="str">
        <f t="shared" si="28"/>
        <v>Dec</v>
      </c>
      <c r="D1836" t="s">
        <v>181</v>
      </c>
      <c r="E1836" s="10" t="s">
        <v>418</v>
      </c>
      <c r="F1836" t="s">
        <v>64</v>
      </c>
      <c r="G1836" t="s">
        <v>89</v>
      </c>
      <c r="H1836" t="s">
        <v>90</v>
      </c>
      <c r="I1836">
        <v>5</v>
      </c>
      <c r="J1836" s="3">
        <v>243.97</v>
      </c>
      <c r="K1836" s="2">
        <v>0.05</v>
      </c>
      <c r="L1836" s="3">
        <v>1158.8599999999999</v>
      </c>
      <c r="M1836" s="3">
        <v>346.41</v>
      </c>
      <c r="N1836" t="s">
        <v>35</v>
      </c>
      <c r="O1836" s="3"/>
      <c r="P1836" s="3"/>
    </row>
    <row r="1837" spans="1:16" x14ac:dyDescent="0.3">
      <c r="A1837" t="s">
        <v>3251</v>
      </c>
      <c r="B1837" s="9" t="s">
        <v>728</v>
      </c>
      <c r="C1837" s="20" t="str">
        <f t="shared" si="28"/>
        <v>Jun</v>
      </c>
      <c r="D1837" t="s">
        <v>1558</v>
      </c>
      <c r="E1837" s="10" t="s">
        <v>24</v>
      </c>
      <c r="F1837" t="s">
        <v>25</v>
      </c>
      <c r="G1837" t="s">
        <v>89</v>
      </c>
      <c r="H1837" t="s">
        <v>131</v>
      </c>
      <c r="I1837">
        <v>3</v>
      </c>
      <c r="J1837" s="3">
        <v>155.57</v>
      </c>
      <c r="K1837" s="2">
        <v>0.15</v>
      </c>
      <c r="L1837" s="3">
        <v>396.7</v>
      </c>
      <c r="M1837" s="3">
        <v>114.29</v>
      </c>
      <c r="N1837" t="s">
        <v>40</v>
      </c>
      <c r="O1837" s="3"/>
      <c r="P1837" s="3"/>
    </row>
    <row r="1838" spans="1:16" x14ac:dyDescent="0.3">
      <c r="A1838" t="s">
        <v>3252</v>
      </c>
      <c r="B1838" s="9" t="s">
        <v>1415</v>
      </c>
      <c r="C1838" s="20" t="str">
        <f t="shared" si="28"/>
        <v>Sep</v>
      </c>
      <c r="D1838" t="s">
        <v>1747</v>
      </c>
      <c r="E1838" s="10" t="s">
        <v>2619</v>
      </c>
      <c r="F1838" t="s">
        <v>32</v>
      </c>
      <c r="G1838" t="s">
        <v>26</v>
      </c>
      <c r="H1838" t="s">
        <v>84</v>
      </c>
      <c r="I1838">
        <v>3</v>
      </c>
      <c r="J1838" s="3">
        <v>89.93</v>
      </c>
      <c r="K1838" s="2">
        <v>0.05</v>
      </c>
      <c r="L1838" s="3">
        <v>256.3</v>
      </c>
      <c r="M1838" s="3">
        <v>64.47</v>
      </c>
      <c r="N1838" t="s">
        <v>20</v>
      </c>
      <c r="O1838" s="3"/>
      <c r="P1838" s="3"/>
    </row>
    <row r="1839" spans="1:16" x14ac:dyDescent="0.3">
      <c r="A1839" t="s">
        <v>3253</v>
      </c>
      <c r="B1839" s="9" t="s">
        <v>636</v>
      </c>
      <c r="C1839" s="20" t="str">
        <f t="shared" si="28"/>
        <v>Jan</v>
      </c>
      <c r="D1839" t="s">
        <v>1082</v>
      </c>
      <c r="E1839" s="10" t="s">
        <v>49</v>
      </c>
      <c r="F1839" t="s">
        <v>64</v>
      </c>
      <c r="G1839" t="s">
        <v>89</v>
      </c>
      <c r="H1839" t="s">
        <v>131</v>
      </c>
      <c r="I1839">
        <v>5</v>
      </c>
      <c r="J1839" s="3">
        <v>210.77</v>
      </c>
      <c r="K1839" s="2">
        <v>0.15</v>
      </c>
      <c r="L1839" s="3">
        <v>895.77</v>
      </c>
      <c r="M1839" s="3">
        <v>239.28</v>
      </c>
      <c r="N1839" t="s">
        <v>20</v>
      </c>
      <c r="O1839" s="3"/>
      <c r="P1839" s="3"/>
    </row>
    <row r="1840" spans="1:16" x14ac:dyDescent="0.3">
      <c r="A1840" t="s">
        <v>3254</v>
      </c>
      <c r="B1840" s="9" t="s">
        <v>1757</v>
      </c>
      <c r="C1840" s="20" t="str">
        <f t="shared" si="28"/>
        <v>Aug</v>
      </c>
      <c r="D1840" t="s">
        <v>253</v>
      </c>
      <c r="E1840" s="10" t="s">
        <v>138</v>
      </c>
      <c r="F1840" t="s">
        <v>17</v>
      </c>
      <c r="G1840" t="s">
        <v>18</v>
      </c>
      <c r="H1840" t="s">
        <v>45</v>
      </c>
      <c r="I1840">
        <v>7</v>
      </c>
      <c r="J1840" s="3">
        <v>221.42</v>
      </c>
      <c r="K1840" s="2">
        <v>0.05</v>
      </c>
      <c r="L1840" s="3">
        <v>1472.44</v>
      </c>
      <c r="M1840" s="3">
        <v>239.93</v>
      </c>
      <c r="N1840" t="s">
        <v>20</v>
      </c>
      <c r="O1840" s="3"/>
      <c r="P1840" s="3"/>
    </row>
    <row r="1841" spans="1:16" x14ac:dyDescent="0.3">
      <c r="A1841" t="s">
        <v>3255</v>
      </c>
      <c r="B1841" s="9" t="s">
        <v>400</v>
      </c>
      <c r="C1841" s="20" t="str">
        <f t="shared" si="28"/>
        <v>Dec</v>
      </c>
      <c r="D1841" t="s">
        <v>584</v>
      </c>
      <c r="E1841" s="10" t="s">
        <v>197</v>
      </c>
      <c r="F1841" t="s">
        <v>25</v>
      </c>
      <c r="G1841" t="s">
        <v>89</v>
      </c>
      <c r="H1841" t="s">
        <v>150</v>
      </c>
      <c r="I1841">
        <v>6</v>
      </c>
      <c r="J1841" s="3">
        <v>56.83</v>
      </c>
      <c r="K1841" s="2">
        <v>0.15</v>
      </c>
      <c r="L1841" s="3">
        <v>289.83</v>
      </c>
      <c r="M1841" s="3">
        <v>53.28</v>
      </c>
      <c r="N1841" t="s">
        <v>35</v>
      </c>
      <c r="O1841" s="3"/>
      <c r="P1841" s="3"/>
    </row>
    <row r="1842" spans="1:16" x14ac:dyDescent="0.3">
      <c r="A1842" t="s">
        <v>3256</v>
      </c>
      <c r="B1842" s="9" t="s">
        <v>1394</v>
      </c>
      <c r="C1842" s="20" t="str">
        <f t="shared" si="28"/>
        <v>Dec</v>
      </c>
      <c r="D1842" t="s">
        <v>1582</v>
      </c>
      <c r="E1842" s="10" t="s">
        <v>1627</v>
      </c>
      <c r="F1842" t="s">
        <v>59</v>
      </c>
      <c r="G1842" t="s">
        <v>26</v>
      </c>
      <c r="H1842" t="s">
        <v>84</v>
      </c>
      <c r="I1842">
        <v>5</v>
      </c>
      <c r="J1842" s="3">
        <v>97.92</v>
      </c>
      <c r="K1842" s="2">
        <v>0</v>
      </c>
      <c r="L1842" s="3">
        <v>489.6</v>
      </c>
      <c r="M1842" s="3">
        <v>80.78</v>
      </c>
      <c r="N1842" t="s">
        <v>40</v>
      </c>
      <c r="O1842" s="3"/>
      <c r="P1842" s="3"/>
    </row>
    <row r="1843" spans="1:16" x14ac:dyDescent="0.3">
      <c r="A1843" t="s">
        <v>3257</v>
      </c>
      <c r="B1843" s="9" t="s">
        <v>408</v>
      </c>
      <c r="C1843" s="20" t="str">
        <f t="shared" si="28"/>
        <v>Jun</v>
      </c>
      <c r="D1843" t="s">
        <v>67</v>
      </c>
      <c r="E1843" s="10" t="s">
        <v>1640</v>
      </c>
      <c r="F1843" t="s">
        <v>25</v>
      </c>
      <c r="G1843" t="s">
        <v>18</v>
      </c>
      <c r="H1843" t="s">
        <v>79</v>
      </c>
      <c r="I1843">
        <v>8</v>
      </c>
      <c r="J1843" s="3">
        <v>107.28</v>
      </c>
      <c r="K1843" s="2">
        <v>0</v>
      </c>
      <c r="L1843" s="3">
        <v>858.24</v>
      </c>
      <c r="M1843" s="3">
        <v>161.61000000000001</v>
      </c>
      <c r="N1843" t="s">
        <v>40</v>
      </c>
      <c r="O1843" s="3"/>
      <c r="P1843" s="3"/>
    </row>
    <row r="1844" spans="1:16" x14ac:dyDescent="0.3">
      <c r="A1844" t="s">
        <v>3258</v>
      </c>
      <c r="B1844" s="9" t="s">
        <v>282</v>
      </c>
      <c r="C1844" s="20" t="str">
        <f t="shared" si="28"/>
        <v>Mar</v>
      </c>
      <c r="D1844" t="s">
        <v>857</v>
      </c>
      <c r="E1844" s="10" t="s">
        <v>1701</v>
      </c>
      <c r="F1844" t="s">
        <v>25</v>
      </c>
      <c r="G1844" t="s">
        <v>26</v>
      </c>
      <c r="H1844" t="s">
        <v>27</v>
      </c>
      <c r="I1844">
        <v>1</v>
      </c>
      <c r="J1844" s="3">
        <v>17.48</v>
      </c>
      <c r="K1844" s="2">
        <v>0.15</v>
      </c>
      <c r="L1844" s="3">
        <v>14.86</v>
      </c>
      <c r="M1844" s="3">
        <v>1.54</v>
      </c>
      <c r="N1844" t="s">
        <v>35</v>
      </c>
      <c r="O1844" s="3"/>
      <c r="P1844" s="3"/>
    </row>
    <row r="1845" spans="1:16" x14ac:dyDescent="0.3">
      <c r="A1845" t="s">
        <v>3259</v>
      </c>
      <c r="B1845" s="9" t="s">
        <v>1883</v>
      </c>
      <c r="C1845" s="20" t="str">
        <f t="shared" si="28"/>
        <v>Jun</v>
      </c>
      <c r="D1845" t="s">
        <v>1385</v>
      </c>
      <c r="E1845" s="10" t="s">
        <v>2619</v>
      </c>
      <c r="F1845" t="s">
        <v>64</v>
      </c>
      <c r="G1845" t="s">
        <v>89</v>
      </c>
      <c r="H1845" t="s">
        <v>90</v>
      </c>
      <c r="I1845">
        <v>2</v>
      </c>
      <c r="J1845" s="3">
        <v>173.2</v>
      </c>
      <c r="K1845" s="2">
        <v>0.1</v>
      </c>
      <c r="L1845" s="3">
        <v>311.76</v>
      </c>
      <c r="M1845" s="3">
        <v>88.1</v>
      </c>
      <c r="N1845" t="s">
        <v>20</v>
      </c>
      <c r="O1845" s="3"/>
      <c r="P1845" s="3"/>
    </row>
    <row r="1846" spans="1:16" x14ac:dyDescent="0.3">
      <c r="A1846" t="s">
        <v>3260</v>
      </c>
      <c r="B1846" s="9" t="s">
        <v>1260</v>
      </c>
      <c r="C1846" s="20" t="str">
        <f t="shared" si="28"/>
        <v>May</v>
      </c>
      <c r="D1846" t="s">
        <v>2679</v>
      </c>
      <c r="E1846" s="10" t="s">
        <v>2544</v>
      </c>
      <c r="F1846" t="s">
        <v>25</v>
      </c>
      <c r="G1846" t="s">
        <v>89</v>
      </c>
      <c r="H1846" t="s">
        <v>90</v>
      </c>
      <c r="I1846">
        <v>7</v>
      </c>
      <c r="J1846" s="3">
        <v>170.27</v>
      </c>
      <c r="K1846" s="2">
        <v>0.05</v>
      </c>
      <c r="L1846" s="3">
        <v>1132.3</v>
      </c>
      <c r="M1846" s="3">
        <v>315.99</v>
      </c>
      <c r="N1846" t="s">
        <v>35</v>
      </c>
      <c r="O1846" s="3"/>
      <c r="P1846" s="3"/>
    </row>
    <row r="1847" spans="1:16" x14ac:dyDescent="0.3">
      <c r="A1847" t="s">
        <v>3261</v>
      </c>
      <c r="B1847" s="9" t="s">
        <v>81</v>
      </c>
      <c r="C1847" s="20" t="str">
        <f t="shared" si="28"/>
        <v>Feb</v>
      </c>
      <c r="D1847" t="s">
        <v>1293</v>
      </c>
      <c r="E1847" s="10" t="s">
        <v>1137</v>
      </c>
      <c r="F1847" t="s">
        <v>17</v>
      </c>
      <c r="G1847" t="s">
        <v>33</v>
      </c>
      <c r="H1847" t="s">
        <v>34</v>
      </c>
      <c r="I1847">
        <v>1</v>
      </c>
      <c r="J1847" s="3">
        <v>49.97</v>
      </c>
      <c r="K1847" s="2">
        <v>0.05</v>
      </c>
      <c r="L1847" s="3">
        <v>47.47</v>
      </c>
      <c r="M1847" s="3">
        <v>9.9700000000000006</v>
      </c>
      <c r="N1847" t="s">
        <v>20</v>
      </c>
      <c r="O1847" s="3"/>
      <c r="P1847" s="3"/>
    </row>
    <row r="1848" spans="1:16" x14ac:dyDescent="0.3">
      <c r="A1848" t="s">
        <v>3262</v>
      </c>
      <c r="B1848" s="9" t="s">
        <v>2391</v>
      </c>
      <c r="C1848" s="20" t="str">
        <f t="shared" si="28"/>
        <v>Jul</v>
      </c>
      <c r="D1848" t="s">
        <v>1679</v>
      </c>
      <c r="E1848" s="10" t="s">
        <v>609</v>
      </c>
      <c r="F1848" t="s">
        <v>17</v>
      </c>
      <c r="G1848" t="s">
        <v>26</v>
      </c>
      <c r="H1848" t="s">
        <v>84</v>
      </c>
      <c r="I1848">
        <v>3</v>
      </c>
      <c r="J1848" s="3">
        <v>61.48</v>
      </c>
      <c r="K1848" s="2">
        <v>0.1</v>
      </c>
      <c r="L1848" s="3">
        <v>166</v>
      </c>
      <c r="M1848" s="3">
        <v>42.58</v>
      </c>
      <c r="N1848" t="s">
        <v>40</v>
      </c>
      <c r="O1848" s="3"/>
      <c r="P1848" s="3"/>
    </row>
    <row r="1849" spans="1:16" x14ac:dyDescent="0.3">
      <c r="A1849" t="s">
        <v>3263</v>
      </c>
      <c r="B1849" s="9" t="s">
        <v>1465</v>
      </c>
      <c r="C1849" s="20" t="str">
        <f t="shared" si="28"/>
        <v>Jan</v>
      </c>
      <c r="D1849" t="s">
        <v>916</v>
      </c>
      <c r="E1849" s="10" t="s">
        <v>481</v>
      </c>
      <c r="F1849" t="s">
        <v>32</v>
      </c>
      <c r="G1849" t="s">
        <v>26</v>
      </c>
      <c r="H1849" t="s">
        <v>84</v>
      </c>
      <c r="I1849">
        <v>1</v>
      </c>
      <c r="J1849" s="3">
        <v>113.16</v>
      </c>
      <c r="K1849" s="2">
        <v>0.05</v>
      </c>
      <c r="L1849" s="3">
        <v>107.5</v>
      </c>
      <c r="M1849" s="3">
        <v>31.33</v>
      </c>
      <c r="N1849" t="s">
        <v>35</v>
      </c>
      <c r="O1849" s="3"/>
      <c r="P1849" s="3"/>
    </row>
    <row r="1850" spans="1:16" x14ac:dyDescent="0.3">
      <c r="A1850" t="s">
        <v>3264</v>
      </c>
      <c r="B1850" s="9" t="s">
        <v>1242</v>
      </c>
      <c r="C1850" s="20" t="str">
        <f t="shared" si="28"/>
        <v>Jun</v>
      </c>
      <c r="D1850" t="s">
        <v>1060</v>
      </c>
      <c r="E1850" s="10" t="s">
        <v>1446</v>
      </c>
      <c r="F1850" t="s">
        <v>25</v>
      </c>
      <c r="G1850" t="s">
        <v>18</v>
      </c>
      <c r="H1850" t="s">
        <v>79</v>
      </c>
      <c r="I1850">
        <v>1</v>
      </c>
      <c r="J1850" s="3">
        <v>143.74</v>
      </c>
      <c r="K1850" s="2">
        <v>0.1</v>
      </c>
      <c r="L1850" s="3">
        <v>129.37</v>
      </c>
      <c r="M1850" s="3">
        <v>18.09</v>
      </c>
      <c r="N1850" t="s">
        <v>35</v>
      </c>
      <c r="O1850" s="3"/>
      <c r="P1850" s="3"/>
    </row>
    <row r="1851" spans="1:16" x14ac:dyDescent="0.3">
      <c r="A1851" t="s">
        <v>3265</v>
      </c>
      <c r="B1851" s="9" t="s">
        <v>1956</v>
      </c>
      <c r="C1851" s="20" t="str">
        <f t="shared" si="28"/>
        <v>Jun</v>
      </c>
      <c r="D1851" t="s">
        <v>1532</v>
      </c>
      <c r="E1851" s="10" t="s">
        <v>445</v>
      </c>
      <c r="F1851" t="s">
        <v>32</v>
      </c>
      <c r="G1851" t="s">
        <v>26</v>
      </c>
      <c r="H1851" t="s">
        <v>118</v>
      </c>
      <c r="I1851">
        <v>3</v>
      </c>
      <c r="J1851" s="3">
        <v>131.56</v>
      </c>
      <c r="K1851" s="2">
        <v>0</v>
      </c>
      <c r="L1851" s="3">
        <v>394.68</v>
      </c>
      <c r="M1851" s="3">
        <v>49.89</v>
      </c>
      <c r="N1851" t="s">
        <v>20</v>
      </c>
      <c r="O1851" s="3"/>
      <c r="P1851" s="3"/>
    </row>
    <row r="1852" spans="1:16" x14ac:dyDescent="0.3">
      <c r="A1852" t="s">
        <v>3266</v>
      </c>
      <c r="B1852" s="9" t="s">
        <v>252</v>
      </c>
      <c r="C1852" s="20" t="str">
        <f t="shared" si="28"/>
        <v>Mar</v>
      </c>
      <c r="D1852" t="s">
        <v>429</v>
      </c>
      <c r="E1852" s="10" t="s">
        <v>357</v>
      </c>
      <c r="F1852" t="s">
        <v>25</v>
      </c>
      <c r="G1852" t="s">
        <v>33</v>
      </c>
      <c r="H1852" t="s">
        <v>69</v>
      </c>
      <c r="I1852">
        <v>6</v>
      </c>
      <c r="J1852" s="3">
        <v>138.38</v>
      </c>
      <c r="K1852" s="2">
        <v>0.05</v>
      </c>
      <c r="L1852" s="3">
        <v>788.77</v>
      </c>
      <c r="M1852" s="3">
        <v>112.7</v>
      </c>
      <c r="N1852" t="s">
        <v>35</v>
      </c>
      <c r="O1852" s="3"/>
      <c r="P1852" s="3"/>
    </row>
    <row r="1853" spans="1:16" x14ac:dyDescent="0.3">
      <c r="A1853" t="s">
        <v>3267</v>
      </c>
      <c r="B1853" s="9" t="s">
        <v>1059</v>
      </c>
      <c r="C1853" s="20" t="str">
        <f t="shared" si="28"/>
        <v>Aug</v>
      </c>
      <c r="D1853" t="s">
        <v>1430</v>
      </c>
      <c r="E1853" s="10" t="s">
        <v>2137</v>
      </c>
      <c r="F1853" t="s">
        <v>59</v>
      </c>
      <c r="G1853" t="s">
        <v>33</v>
      </c>
      <c r="H1853" t="s">
        <v>74</v>
      </c>
      <c r="I1853">
        <v>1</v>
      </c>
      <c r="J1853" s="3">
        <v>113.32</v>
      </c>
      <c r="K1853" s="2">
        <v>0.05</v>
      </c>
      <c r="L1853" s="3">
        <v>107.65</v>
      </c>
      <c r="M1853" s="3">
        <v>11.88</v>
      </c>
      <c r="N1853" t="s">
        <v>35</v>
      </c>
      <c r="O1853" s="3"/>
      <c r="P1853" s="3"/>
    </row>
    <row r="1854" spans="1:16" x14ac:dyDescent="0.3">
      <c r="A1854" t="s">
        <v>3268</v>
      </c>
      <c r="B1854" s="9" t="s">
        <v>1710</v>
      </c>
      <c r="C1854" s="20" t="str">
        <f t="shared" si="28"/>
        <v>Mar</v>
      </c>
      <c r="D1854" t="s">
        <v>1201</v>
      </c>
      <c r="E1854" s="10" t="s">
        <v>699</v>
      </c>
      <c r="F1854" t="s">
        <v>59</v>
      </c>
      <c r="G1854" t="s">
        <v>26</v>
      </c>
      <c r="H1854" t="s">
        <v>118</v>
      </c>
      <c r="I1854">
        <v>1</v>
      </c>
      <c r="J1854" s="3">
        <v>106.81</v>
      </c>
      <c r="K1854" s="2">
        <v>0.15</v>
      </c>
      <c r="L1854" s="3">
        <v>90.79</v>
      </c>
      <c r="M1854" s="3">
        <v>20.79</v>
      </c>
      <c r="N1854" t="s">
        <v>40</v>
      </c>
      <c r="O1854" s="3"/>
      <c r="P1854" s="3"/>
    </row>
    <row r="1855" spans="1:16" x14ac:dyDescent="0.3">
      <c r="A1855" t="s">
        <v>3269</v>
      </c>
      <c r="B1855" s="9" t="s">
        <v>338</v>
      </c>
      <c r="C1855" s="20" t="str">
        <f t="shared" si="28"/>
        <v>Dec</v>
      </c>
      <c r="D1855" t="s">
        <v>43</v>
      </c>
      <c r="E1855" s="10" t="s">
        <v>2096</v>
      </c>
      <c r="F1855" t="s">
        <v>59</v>
      </c>
      <c r="G1855" t="s">
        <v>18</v>
      </c>
      <c r="H1855" t="s">
        <v>19</v>
      </c>
      <c r="I1855">
        <v>7</v>
      </c>
      <c r="J1855" s="3">
        <v>57.77</v>
      </c>
      <c r="K1855" s="2">
        <v>0.1</v>
      </c>
      <c r="L1855" s="3">
        <v>363.95</v>
      </c>
      <c r="M1855" s="3">
        <v>45.47</v>
      </c>
      <c r="N1855" t="s">
        <v>35</v>
      </c>
      <c r="O1855" s="3"/>
      <c r="P1855" s="3"/>
    </row>
    <row r="1856" spans="1:16" x14ac:dyDescent="0.3">
      <c r="A1856" t="s">
        <v>3270</v>
      </c>
      <c r="B1856" s="9" t="s">
        <v>893</v>
      </c>
      <c r="C1856" s="20" t="str">
        <f t="shared" si="28"/>
        <v>Aug</v>
      </c>
      <c r="D1856" t="s">
        <v>249</v>
      </c>
      <c r="E1856" s="10" t="s">
        <v>1988</v>
      </c>
      <c r="F1856" t="s">
        <v>32</v>
      </c>
      <c r="G1856" t="s">
        <v>18</v>
      </c>
      <c r="H1856" t="s">
        <v>45</v>
      </c>
      <c r="I1856">
        <v>3</v>
      </c>
      <c r="J1856" s="3">
        <v>174.35</v>
      </c>
      <c r="K1856" s="2">
        <v>0.05</v>
      </c>
      <c r="L1856" s="3">
        <v>496.9</v>
      </c>
      <c r="M1856" s="3">
        <v>43.06</v>
      </c>
      <c r="N1856" t="s">
        <v>35</v>
      </c>
      <c r="O1856" s="3"/>
      <c r="P1856" s="3"/>
    </row>
    <row r="1857" spans="1:16" x14ac:dyDescent="0.3">
      <c r="A1857" t="s">
        <v>3271</v>
      </c>
      <c r="B1857" s="9" t="s">
        <v>2478</v>
      </c>
      <c r="C1857" s="20" t="str">
        <f t="shared" si="28"/>
        <v>Apr</v>
      </c>
      <c r="D1857" t="s">
        <v>2120</v>
      </c>
      <c r="E1857" s="10" t="s">
        <v>1834</v>
      </c>
      <c r="F1857" t="s">
        <v>25</v>
      </c>
      <c r="G1857" t="s">
        <v>26</v>
      </c>
      <c r="H1857" t="s">
        <v>84</v>
      </c>
      <c r="I1857">
        <v>8</v>
      </c>
      <c r="J1857" s="3">
        <v>35.5</v>
      </c>
      <c r="K1857" s="2">
        <v>0.1</v>
      </c>
      <c r="L1857" s="3">
        <v>255.6</v>
      </c>
      <c r="M1857" s="3">
        <v>22.75</v>
      </c>
      <c r="N1857" t="s">
        <v>40</v>
      </c>
      <c r="O1857" s="3"/>
      <c r="P1857" s="3"/>
    </row>
    <row r="1858" spans="1:16" x14ac:dyDescent="0.3">
      <c r="A1858" t="s">
        <v>3272</v>
      </c>
      <c r="B1858" s="9" t="s">
        <v>489</v>
      </c>
      <c r="C1858" s="20" t="str">
        <f t="shared" ref="C1858:C1921" si="29">TEXT(B:B, "mmm")</f>
        <v>Mar</v>
      </c>
      <c r="D1858" t="s">
        <v>2111</v>
      </c>
      <c r="E1858" s="10" t="s">
        <v>266</v>
      </c>
      <c r="F1858" t="s">
        <v>59</v>
      </c>
      <c r="G1858" t="s">
        <v>18</v>
      </c>
      <c r="H1858" t="s">
        <v>19</v>
      </c>
      <c r="I1858">
        <v>3</v>
      </c>
      <c r="J1858" s="3">
        <v>15.33</v>
      </c>
      <c r="K1858" s="2">
        <v>0</v>
      </c>
      <c r="L1858" s="3">
        <v>45.99</v>
      </c>
      <c r="M1858" s="3">
        <v>6.82</v>
      </c>
      <c r="N1858" t="s">
        <v>40</v>
      </c>
      <c r="O1858" s="3"/>
      <c r="P1858" s="3"/>
    </row>
    <row r="1859" spans="1:16" x14ac:dyDescent="0.3">
      <c r="A1859" t="s">
        <v>3273</v>
      </c>
      <c r="B1859" s="9" t="s">
        <v>2724</v>
      </c>
      <c r="C1859" s="20" t="str">
        <f t="shared" si="29"/>
        <v>Jan</v>
      </c>
      <c r="D1859" t="s">
        <v>30</v>
      </c>
      <c r="E1859" s="10" t="s">
        <v>1001</v>
      </c>
      <c r="F1859" t="s">
        <v>64</v>
      </c>
      <c r="G1859" t="s">
        <v>33</v>
      </c>
      <c r="H1859" t="s">
        <v>34</v>
      </c>
      <c r="I1859">
        <v>2</v>
      </c>
      <c r="J1859" s="3">
        <v>85.3</v>
      </c>
      <c r="K1859" s="2">
        <v>0</v>
      </c>
      <c r="L1859" s="3">
        <v>170.6</v>
      </c>
      <c r="M1859" s="3">
        <v>24.84</v>
      </c>
      <c r="N1859" t="s">
        <v>20</v>
      </c>
      <c r="O1859" s="3"/>
      <c r="P1859" s="3"/>
    </row>
    <row r="1860" spans="1:16" x14ac:dyDescent="0.3">
      <c r="A1860" t="s">
        <v>3276</v>
      </c>
      <c r="B1860" s="9" t="s">
        <v>1428</v>
      </c>
      <c r="C1860" s="20" t="str">
        <f t="shared" si="29"/>
        <v>Jun</v>
      </c>
      <c r="D1860" t="s">
        <v>440</v>
      </c>
      <c r="E1860" s="10" t="s">
        <v>1179</v>
      </c>
      <c r="F1860" t="s">
        <v>59</v>
      </c>
      <c r="G1860" t="s">
        <v>89</v>
      </c>
      <c r="H1860" t="s">
        <v>90</v>
      </c>
      <c r="I1860">
        <v>3</v>
      </c>
      <c r="J1860" s="3">
        <v>11.01</v>
      </c>
      <c r="K1860" s="2">
        <v>0.15</v>
      </c>
      <c r="L1860" s="3">
        <v>28.08</v>
      </c>
      <c r="M1860" s="3">
        <v>7.16</v>
      </c>
      <c r="N1860" t="s">
        <v>35</v>
      </c>
      <c r="O1860" s="3"/>
      <c r="P1860" s="3"/>
    </row>
    <row r="1861" spans="1:16" x14ac:dyDescent="0.3">
      <c r="A1861" t="s">
        <v>3277</v>
      </c>
      <c r="B1861" s="9" t="s">
        <v>882</v>
      </c>
      <c r="C1861" s="20" t="str">
        <f t="shared" si="29"/>
        <v>Feb</v>
      </c>
      <c r="D1861" t="s">
        <v>1044</v>
      </c>
      <c r="E1861" s="10" t="s">
        <v>813</v>
      </c>
      <c r="F1861" t="s">
        <v>64</v>
      </c>
      <c r="G1861" t="s">
        <v>18</v>
      </c>
      <c r="H1861" t="s">
        <v>19</v>
      </c>
      <c r="I1861">
        <v>5</v>
      </c>
      <c r="J1861" s="3">
        <v>46.54</v>
      </c>
      <c r="K1861" s="2">
        <v>0.05</v>
      </c>
      <c r="L1861" s="3">
        <v>221.06</v>
      </c>
      <c r="M1861" s="3">
        <v>26.21</v>
      </c>
      <c r="N1861" t="s">
        <v>35</v>
      </c>
      <c r="O1861" s="3"/>
      <c r="P1861" s="3"/>
    </row>
    <row r="1862" spans="1:16" x14ac:dyDescent="0.3">
      <c r="A1862" t="s">
        <v>3278</v>
      </c>
      <c r="B1862" s="9" t="s">
        <v>2504</v>
      </c>
      <c r="C1862" s="20" t="str">
        <f t="shared" si="29"/>
        <v>Oct</v>
      </c>
      <c r="D1862" t="s">
        <v>116</v>
      </c>
      <c r="E1862" s="10" t="s">
        <v>1274</v>
      </c>
      <c r="F1862" t="s">
        <v>25</v>
      </c>
      <c r="G1862" t="s">
        <v>26</v>
      </c>
      <c r="H1862" t="s">
        <v>27</v>
      </c>
      <c r="I1862">
        <v>2</v>
      </c>
      <c r="J1862" s="3">
        <v>174.47</v>
      </c>
      <c r="K1862" s="2">
        <v>0</v>
      </c>
      <c r="L1862" s="3">
        <v>348.94</v>
      </c>
      <c r="M1862" s="3">
        <v>77.989999999999995</v>
      </c>
      <c r="N1862" t="s">
        <v>20</v>
      </c>
      <c r="O1862" s="3"/>
      <c r="P1862" s="3"/>
    </row>
    <row r="1863" spans="1:16" x14ac:dyDescent="0.3">
      <c r="A1863" t="s">
        <v>3279</v>
      </c>
      <c r="B1863" s="9" t="s">
        <v>137</v>
      </c>
      <c r="C1863" s="20" t="str">
        <f t="shared" si="29"/>
        <v>Mar</v>
      </c>
      <c r="D1863" t="s">
        <v>717</v>
      </c>
      <c r="E1863" s="10" t="s">
        <v>835</v>
      </c>
      <c r="F1863" t="s">
        <v>25</v>
      </c>
      <c r="G1863" t="s">
        <v>89</v>
      </c>
      <c r="H1863" t="s">
        <v>90</v>
      </c>
      <c r="I1863">
        <v>2</v>
      </c>
      <c r="J1863" s="3">
        <v>118.75</v>
      </c>
      <c r="K1863" s="2">
        <v>0.05</v>
      </c>
      <c r="L1863" s="3">
        <v>225.62</v>
      </c>
      <c r="M1863" s="3">
        <v>30.13</v>
      </c>
      <c r="N1863" t="s">
        <v>35</v>
      </c>
      <c r="O1863" s="3"/>
      <c r="P1863" s="3"/>
    </row>
    <row r="1864" spans="1:16" x14ac:dyDescent="0.3">
      <c r="A1864" t="s">
        <v>3280</v>
      </c>
      <c r="B1864" s="9" t="s">
        <v>368</v>
      </c>
      <c r="C1864" s="20" t="str">
        <f t="shared" si="29"/>
        <v>Jul</v>
      </c>
      <c r="D1864" t="s">
        <v>3065</v>
      </c>
      <c r="E1864" s="10" t="s">
        <v>2625</v>
      </c>
      <c r="F1864" t="s">
        <v>59</v>
      </c>
      <c r="G1864" t="s">
        <v>89</v>
      </c>
      <c r="H1864" t="s">
        <v>90</v>
      </c>
      <c r="I1864">
        <v>1</v>
      </c>
      <c r="J1864" s="3">
        <v>155.5</v>
      </c>
      <c r="K1864" s="2">
        <v>0.15</v>
      </c>
      <c r="L1864" s="3">
        <v>132.16999999999999</v>
      </c>
      <c r="M1864" s="3">
        <v>35.68</v>
      </c>
      <c r="N1864" t="s">
        <v>20</v>
      </c>
      <c r="O1864" s="3"/>
      <c r="P1864" s="3"/>
    </row>
    <row r="1865" spans="1:16" x14ac:dyDescent="0.3">
      <c r="A1865" t="s">
        <v>3281</v>
      </c>
      <c r="B1865" s="9" t="s">
        <v>1713</v>
      </c>
      <c r="C1865" s="20" t="str">
        <f t="shared" si="29"/>
        <v>Jan</v>
      </c>
      <c r="D1865" t="s">
        <v>894</v>
      </c>
      <c r="E1865" s="10" t="s">
        <v>2307</v>
      </c>
      <c r="F1865" t="s">
        <v>17</v>
      </c>
      <c r="G1865" t="s">
        <v>33</v>
      </c>
      <c r="H1865" t="s">
        <v>50</v>
      </c>
      <c r="I1865">
        <v>3</v>
      </c>
      <c r="J1865" s="3">
        <v>63.89</v>
      </c>
      <c r="K1865" s="2">
        <v>0.15</v>
      </c>
      <c r="L1865" s="3">
        <v>162.91999999999999</v>
      </c>
      <c r="M1865" s="3">
        <v>40.04</v>
      </c>
      <c r="N1865" t="s">
        <v>20</v>
      </c>
      <c r="O1865" s="3"/>
      <c r="P1865" s="3"/>
    </row>
    <row r="1866" spans="1:16" x14ac:dyDescent="0.3">
      <c r="A1866" t="s">
        <v>3282</v>
      </c>
      <c r="B1866" s="9" t="s">
        <v>1307</v>
      </c>
      <c r="C1866" s="20" t="str">
        <f t="shared" si="29"/>
        <v>Jan</v>
      </c>
      <c r="D1866" t="s">
        <v>1368</v>
      </c>
      <c r="E1866" s="10" t="s">
        <v>1369</v>
      </c>
      <c r="F1866" t="s">
        <v>17</v>
      </c>
      <c r="G1866" t="s">
        <v>89</v>
      </c>
      <c r="H1866" t="s">
        <v>90</v>
      </c>
      <c r="I1866">
        <v>7</v>
      </c>
      <c r="J1866" s="3">
        <v>172.67</v>
      </c>
      <c r="K1866" s="2">
        <v>0.1</v>
      </c>
      <c r="L1866" s="3">
        <v>1087.82</v>
      </c>
      <c r="M1866" s="3">
        <v>245.07</v>
      </c>
      <c r="N1866" t="s">
        <v>20</v>
      </c>
      <c r="O1866" s="3"/>
      <c r="P1866" s="3"/>
    </row>
    <row r="1867" spans="1:16" x14ac:dyDescent="0.3">
      <c r="A1867" t="s">
        <v>3283</v>
      </c>
      <c r="B1867" s="9" t="s">
        <v>850</v>
      </c>
      <c r="C1867" s="20" t="str">
        <f t="shared" si="29"/>
        <v>Mar</v>
      </c>
      <c r="D1867" t="s">
        <v>295</v>
      </c>
      <c r="E1867" s="10" t="s">
        <v>1981</v>
      </c>
      <c r="F1867" t="s">
        <v>17</v>
      </c>
      <c r="G1867" t="s">
        <v>33</v>
      </c>
      <c r="H1867" t="s">
        <v>74</v>
      </c>
      <c r="I1867">
        <v>1</v>
      </c>
      <c r="J1867" s="3">
        <v>13.03</v>
      </c>
      <c r="K1867" s="2">
        <v>0.05</v>
      </c>
      <c r="L1867" s="3">
        <v>12.38</v>
      </c>
      <c r="M1867" s="3">
        <v>2.58</v>
      </c>
      <c r="N1867" t="s">
        <v>40</v>
      </c>
      <c r="O1867" s="3"/>
      <c r="P1867" s="3"/>
    </row>
    <row r="1868" spans="1:16" x14ac:dyDescent="0.3">
      <c r="A1868" t="s">
        <v>3284</v>
      </c>
      <c r="B1868" s="9" t="s">
        <v>388</v>
      </c>
      <c r="C1868" s="20" t="str">
        <f t="shared" si="29"/>
        <v>Aug</v>
      </c>
      <c r="D1868" t="s">
        <v>397</v>
      </c>
      <c r="E1868" s="10" t="s">
        <v>2156</v>
      </c>
      <c r="F1868" t="s">
        <v>25</v>
      </c>
      <c r="G1868" t="s">
        <v>33</v>
      </c>
      <c r="H1868" t="s">
        <v>34</v>
      </c>
      <c r="I1868">
        <v>2</v>
      </c>
      <c r="J1868" s="3">
        <v>49.31</v>
      </c>
      <c r="K1868" s="2">
        <v>0.05</v>
      </c>
      <c r="L1868" s="3">
        <v>93.69</v>
      </c>
      <c r="M1868" s="3">
        <v>15.6</v>
      </c>
      <c r="N1868" t="s">
        <v>40</v>
      </c>
      <c r="O1868" s="3"/>
      <c r="P1868" s="3"/>
    </row>
    <row r="1869" spans="1:16" x14ac:dyDescent="0.3">
      <c r="A1869" t="s">
        <v>3285</v>
      </c>
      <c r="B1869" s="9" t="s">
        <v>1691</v>
      </c>
      <c r="C1869" s="20" t="str">
        <f t="shared" si="29"/>
        <v>Nov</v>
      </c>
      <c r="D1869" t="s">
        <v>633</v>
      </c>
      <c r="E1869" s="10" t="s">
        <v>138</v>
      </c>
      <c r="F1869" t="s">
        <v>32</v>
      </c>
      <c r="G1869" t="s">
        <v>89</v>
      </c>
      <c r="H1869" t="s">
        <v>131</v>
      </c>
      <c r="I1869">
        <v>7</v>
      </c>
      <c r="J1869" s="3">
        <v>247.09</v>
      </c>
      <c r="K1869" s="2">
        <v>0.05</v>
      </c>
      <c r="L1869" s="3">
        <v>1643.15</v>
      </c>
      <c r="M1869" s="3">
        <v>341.53</v>
      </c>
      <c r="N1869" t="s">
        <v>20</v>
      </c>
      <c r="O1869" s="3"/>
      <c r="P1869" s="3"/>
    </row>
    <row r="1870" spans="1:16" x14ac:dyDescent="0.3">
      <c r="A1870" t="s">
        <v>3286</v>
      </c>
      <c r="B1870" s="9" t="s">
        <v>1059</v>
      </c>
      <c r="C1870" s="20" t="str">
        <f t="shared" si="29"/>
        <v>Aug</v>
      </c>
      <c r="D1870" t="s">
        <v>1271</v>
      </c>
      <c r="E1870" s="10" t="s">
        <v>2544</v>
      </c>
      <c r="F1870" t="s">
        <v>59</v>
      </c>
      <c r="G1870" t="s">
        <v>18</v>
      </c>
      <c r="H1870" t="s">
        <v>19</v>
      </c>
      <c r="I1870">
        <v>6</v>
      </c>
      <c r="J1870" s="3">
        <v>243.96</v>
      </c>
      <c r="K1870" s="2">
        <v>0.15</v>
      </c>
      <c r="L1870" s="3">
        <v>1244.2</v>
      </c>
      <c r="M1870" s="3">
        <v>364.04</v>
      </c>
      <c r="N1870" t="s">
        <v>35</v>
      </c>
      <c r="O1870" s="3"/>
      <c r="P1870" s="3"/>
    </row>
    <row r="1871" spans="1:16" x14ac:dyDescent="0.3">
      <c r="A1871" t="s">
        <v>3287</v>
      </c>
      <c r="B1871" s="9" t="s">
        <v>396</v>
      </c>
      <c r="C1871" s="20" t="str">
        <f t="shared" si="29"/>
        <v>May</v>
      </c>
      <c r="D1871" t="s">
        <v>3288</v>
      </c>
      <c r="E1871" s="10" t="s">
        <v>1375</v>
      </c>
      <c r="F1871" t="s">
        <v>17</v>
      </c>
      <c r="G1871" t="s">
        <v>26</v>
      </c>
      <c r="H1871" t="s">
        <v>27</v>
      </c>
      <c r="I1871">
        <v>7</v>
      </c>
      <c r="J1871" s="3">
        <v>161.68</v>
      </c>
      <c r="K1871" s="2">
        <v>0</v>
      </c>
      <c r="L1871" s="3">
        <v>1131.76</v>
      </c>
      <c r="M1871" s="3">
        <v>250.27</v>
      </c>
      <c r="N1871" t="s">
        <v>40</v>
      </c>
      <c r="O1871" s="3"/>
      <c r="P1871" s="3"/>
    </row>
    <row r="1872" spans="1:16" x14ac:dyDescent="0.3">
      <c r="A1872" t="s">
        <v>3291</v>
      </c>
      <c r="B1872" s="9" t="s">
        <v>359</v>
      </c>
      <c r="C1872" s="20" t="str">
        <f t="shared" si="29"/>
        <v>Aug</v>
      </c>
      <c r="D1872" t="s">
        <v>3143</v>
      </c>
      <c r="E1872" s="10" t="s">
        <v>1315</v>
      </c>
      <c r="F1872" t="s">
        <v>25</v>
      </c>
      <c r="G1872" t="s">
        <v>89</v>
      </c>
      <c r="H1872" t="s">
        <v>90</v>
      </c>
      <c r="I1872">
        <v>6</v>
      </c>
      <c r="J1872" s="3">
        <v>163.72999999999999</v>
      </c>
      <c r="K1872" s="2">
        <v>0</v>
      </c>
      <c r="L1872" s="3">
        <v>982.38</v>
      </c>
      <c r="M1872" s="3">
        <v>239.67</v>
      </c>
      <c r="N1872" t="s">
        <v>20</v>
      </c>
      <c r="O1872" s="3"/>
      <c r="P1872" s="3"/>
    </row>
    <row r="1873" spans="1:16" x14ac:dyDescent="0.3">
      <c r="A1873" t="s">
        <v>3292</v>
      </c>
      <c r="B1873" s="9" t="s">
        <v>999</v>
      </c>
      <c r="C1873" s="20" t="str">
        <f t="shared" si="29"/>
        <v>Jan</v>
      </c>
      <c r="D1873" t="s">
        <v>1063</v>
      </c>
      <c r="E1873" s="10" t="s">
        <v>1308</v>
      </c>
      <c r="F1873" t="s">
        <v>17</v>
      </c>
      <c r="G1873" t="s">
        <v>89</v>
      </c>
      <c r="H1873" t="s">
        <v>150</v>
      </c>
      <c r="I1873">
        <v>1</v>
      </c>
      <c r="J1873" s="3">
        <v>245</v>
      </c>
      <c r="K1873" s="2">
        <v>0.15</v>
      </c>
      <c r="L1873" s="3">
        <v>208.25</v>
      </c>
      <c r="M1873" s="3">
        <v>53.39</v>
      </c>
      <c r="N1873" t="s">
        <v>20</v>
      </c>
      <c r="O1873" s="3"/>
      <c r="P1873" s="3"/>
    </row>
    <row r="1874" spans="1:16" x14ac:dyDescent="0.3">
      <c r="A1874" t="s">
        <v>3293</v>
      </c>
      <c r="B1874" s="9" t="s">
        <v>264</v>
      </c>
      <c r="C1874" s="20" t="str">
        <f t="shared" si="29"/>
        <v>Jan</v>
      </c>
      <c r="D1874" t="s">
        <v>991</v>
      </c>
      <c r="E1874" s="10" t="s">
        <v>931</v>
      </c>
      <c r="F1874" t="s">
        <v>25</v>
      </c>
      <c r="G1874" t="s">
        <v>18</v>
      </c>
      <c r="H1874" t="s">
        <v>19</v>
      </c>
      <c r="I1874">
        <v>6</v>
      </c>
      <c r="J1874" s="3">
        <v>61.01</v>
      </c>
      <c r="K1874" s="2">
        <v>0.1</v>
      </c>
      <c r="L1874" s="3">
        <v>329.45</v>
      </c>
      <c r="M1874" s="3">
        <v>47.82</v>
      </c>
      <c r="N1874" t="s">
        <v>20</v>
      </c>
      <c r="O1874" s="3"/>
      <c r="P1874" s="3"/>
    </row>
    <row r="1875" spans="1:16" x14ac:dyDescent="0.3">
      <c r="A1875" t="s">
        <v>3294</v>
      </c>
      <c r="B1875" s="9" t="s">
        <v>2572</v>
      </c>
      <c r="C1875" s="20" t="str">
        <f t="shared" si="29"/>
        <v>Sep</v>
      </c>
      <c r="D1875" t="s">
        <v>1888</v>
      </c>
      <c r="E1875" s="10" t="s">
        <v>641</v>
      </c>
      <c r="F1875" t="s">
        <v>64</v>
      </c>
      <c r="G1875" t="s">
        <v>26</v>
      </c>
      <c r="H1875" t="s">
        <v>84</v>
      </c>
      <c r="I1875">
        <v>5</v>
      </c>
      <c r="J1875" s="3">
        <v>179.99</v>
      </c>
      <c r="K1875" s="2">
        <v>0.1</v>
      </c>
      <c r="L1875" s="3">
        <v>809.96</v>
      </c>
      <c r="M1875" s="3">
        <v>162.41999999999999</v>
      </c>
      <c r="N1875" t="s">
        <v>35</v>
      </c>
      <c r="O1875" s="3"/>
      <c r="P1875" s="3"/>
    </row>
    <row r="1876" spans="1:16" x14ac:dyDescent="0.3">
      <c r="A1876" t="s">
        <v>3295</v>
      </c>
      <c r="B1876" s="9" t="s">
        <v>1335</v>
      </c>
      <c r="C1876" s="20" t="str">
        <f t="shared" si="29"/>
        <v>Apr</v>
      </c>
      <c r="D1876" t="s">
        <v>867</v>
      </c>
      <c r="E1876" s="10" t="s">
        <v>1569</v>
      </c>
      <c r="F1876" t="s">
        <v>17</v>
      </c>
      <c r="G1876" t="s">
        <v>89</v>
      </c>
      <c r="H1876" t="s">
        <v>90</v>
      </c>
      <c r="I1876">
        <v>4</v>
      </c>
      <c r="J1876" s="3">
        <v>241.05</v>
      </c>
      <c r="K1876" s="2">
        <v>0.1</v>
      </c>
      <c r="L1876" s="3">
        <v>867.78</v>
      </c>
      <c r="M1876" s="3">
        <v>164.22</v>
      </c>
      <c r="N1876" t="s">
        <v>40</v>
      </c>
      <c r="O1876" s="3"/>
      <c r="P1876" s="3"/>
    </row>
    <row r="1877" spans="1:16" x14ac:dyDescent="0.3">
      <c r="A1877" t="s">
        <v>3296</v>
      </c>
      <c r="B1877" s="9" t="s">
        <v>349</v>
      </c>
      <c r="C1877" s="20" t="str">
        <f t="shared" si="29"/>
        <v>May</v>
      </c>
      <c r="D1877" t="s">
        <v>1974</v>
      </c>
      <c r="E1877" s="10" t="s">
        <v>178</v>
      </c>
      <c r="F1877" t="s">
        <v>64</v>
      </c>
      <c r="G1877" t="s">
        <v>26</v>
      </c>
      <c r="H1877" t="s">
        <v>84</v>
      </c>
      <c r="I1877">
        <v>5</v>
      </c>
      <c r="J1877" s="3">
        <v>161.19999999999999</v>
      </c>
      <c r="K1877" s="2">
        <v>0.15</v>
      </c>
      <c r="L1877" s="3">
        <v>685.1</v>
      </c>
      <c r="M1877" s="3">
        <v>64.89</v>
      </c>
      <c r="N1877" t="s">
        <v>20</v>
      </c>
      <c r="O1877" s="3"/>
      <c r="P1877" s="3"/>
    </row>
    <row r="1878" spans="1:16" x14ac:dyDescent="0.3">
      <c r="A1878" t="s">
        <v>3297</v>
      </c>
      <c r="B1878" s="9" t="s">
        <v>1415</v>
      </c>
      <c r="C1878" s="20" t="str">
        <f t="shared" si="29"/>
        <v>Sep</v>
      </c>
      <c r="D1878" t="s">
        <v>950</v>
      </c>
      <c r="E1878" s="10" t="s">
        <v>773</v>
      </c>
      <c r="F1878" t="s">
        <v>59</v>
      </c>
      <c r="G1878" t="s">
        <v>26</v>
      </c>
      <c r="H1878" t="s">
        <v>84</v>
      </c>
      <c r="I1878">
        <v>2</v>
      </c>
      <c r="J1878" s="3">
        <v>46.48</v>
      </c>
      <c r="K1878" s="2">
        <v>0.15</v>
      </c>
      <c r="L1878" s="3">
        <v>79.02</v>
      </c>
      <c r="M1878" s="3">
        <v>17.25</v>
      </c>
      <c r="N1878" t="s">
        <v>20</v>
      </c>
      <c r="O1878" s="3"/>
      <c r="P1878" s="3"/>
    </row>
    <row r="1879" spans="1:16" x14ac:dyDescent="0.3">
      <c r="A1879" t="s">
        <v>3298</v>
      </c>
      <c r="B1879" s="9" t="s">
        <v>207</v>
      </c>
      <c r="C1879" s="20" t="str">
        <f t="shared" si="29"/>
        <v>Mar</v>
      </c>
      <c r="D1879" t="s">
        <v>1046</v>
      </c>
      <c r="E1879" s="10" t="s">
        <v>1114</v>
      </c>
      <c r="F1879" t="s">
        <v>32</v>
      </c>
      <c r="G1879" t="s">
        <v>89</v>
      </c>
      <c r="H1879" t="s">
        <v>150</v>
      </c>
      <c r="I1879">
        <v>7</v>
      </c>
      <c r="J1879" s="3">
        <v>21.63</v>
      </c>
      <c r="K1879" s="2">
        <v>0.05</v>
      </c>
      <c r="L1879" s="3">
        <v>143.84</v>
      </c>
      <c r="M1879" s="3">
        <v>35.049999999999997</v>
      </c>
      <c r="N1879" t="s">
        <v>20</v>
      </c>
      <c r="O1879" s="3"/>
      <c r="P1879" s="3"/>
    </row>
    <row r="1880" spans="1:16" x14ac:dyDescent="0.3">
      <c r="A1880" t="s">
        <v>3299</v>
      </c>
      <c r="B1880" s="9" t="s">
        <v>1486</v>
      </c>
      <c r="C1880" s="20" t="str">
        <f t="shared" si="29"/>
        <v>Jan</v>
      </c>
      <c r="D1880" t="s">
        <v>608</v>
      </c>
      <c r="E1880" s="10" t="s">
        <v>2712</v>
      </c>
      <c r="F1880" t="s">
        <v>64</v>
      </c>
      <c r="G1880" t="s">
        <v>26</v>
      </c>
      <c r="H1880" t="s">
        <v>84</v>
      </c>
      <c r="I1880">
        <v>1</v>
      </c>
      <c r="J1880" s="3">
        <v>89.14</v>
      </c>
      <c r="K1880" s="2">
        <v>0.1</v>
      </c>
      <c r="L1880" s="3">
        <v>80.23</v>
      </c>
      <c r="M1880" s="3">
        <v>11.22</v>
      </c>
      <c r="N1880" t="s">
        <v>20</v>
      </c>
      <c r="O1880" s="3"/>
      <c r="P1880" s="3"/>
    </row>
    <row r="1881" spans="1:16" x14ac:dyDescent="0.3">
      <c r="A1881" t="s">
        <v>3300</v>
      </c>
      <c r="B1881" s="9" t="s">
        <v>708</v>
      </c>
      <c r="C1881" s="20" t="str">
        <f t="shared" si="29"/>
        <v>Oct</v>
      </c>
      <c r="D1881" t="s">
        <v>1030</v>
      </c>
      <c r="E1881" s="10" t="s">
        <v>1575</v>
      </c>
      <c r="F1881" t="s">
        <v>64</v>
      </c>
      <c r="G1881" t="s">
        <v>26</v>
      </c>
      <c r="H1881" t="s">
        <v>27</v>
      </c>
      <c r="I1881">
        <v>1</v>
      </c>
      <c r="J1881" s="3">
        <v>35.369999999999997</v>
      </c>
      <c r="K1881" s="2">
        <v>0.1</v>
      </c>
      <c r="L1881" s="3">
        <v>31.83</v>
      </c>
      <c r="M1881" s="3">
        <v>7.93</v>
      </c>
      <c r="N1881" t="s">
        <v>20</v>
      </c>
      <c r="O1881" s="3"/>
      <c r="P1881" s="3"/>
    </row>
    <row r="1882" spans="1:16" x14ac:dyDescent="0.3">
      <c r="A1882" t="s">
        <v>3301</v>
      </c>
      <c r="B1882" s="9" t="s">
        <v>1187</v>
      </c>
      <c r="C1882" s="20" t="str">
        <f t="shared" si="29"/>
        <v>May</v>
      </c>
      <c r="D1882" t="s">
        <v>1152</v>
      </c>
      <c r="E1882" s="10" t="s">
        <v>829</v>
      </c>
      <c r="F1882" t="s">
        <v>59</v>
      </c>
      <c r="G1882" t="s">
        <v>33</v>
      </c>
      <c r="H1882" t="s">
        <v>74</v>
      </c>
      <c r="I1882">
        <v>5</v>
      </c>
      <c r="J1882" s="3">
        <v>215.39</v>
      </c>
      <c r="K1882" s="2">
        <v>0.05</v>
      </c>
      <c r="L1882" s="3">
        <v>1023.1</v>
      </c>
      <c r="M1882" s="3">
        <v>282.01</v>
      </c>
      <c r="N1882" t="s">
        <v>40</v>
      </c>
      <c r="O1882" s="3"/>
      <c r="P1882" s="3"/>
    </row>
    <row r="1883" spans="1:16" x14ac:dyDescent="0.3">
      <c r="A1883" t="s">
        <v>3302</v>
      </c>
      <c r="B1883" s="9" t="s">
        <v>1657</v>
      </c>
      <c r="C1883" s="20" t="str">
        <f t="shared" si="29"/>
        <v>May</v>
      </c>
      <c r="D1883" t="s">
        <v>1346</v>
      </c>
      <c r="E1883" s="10" t="s">
        <v>2403</v>
      </c>
      <c r="F1883" t="s">
        <v>25</v>
      </c>
      <c r="G1883" t="s">
        <v>33</v>
      </c>
      <c r="H1883" t="s">
        <v>69</v>
      </c>
      <c r="I1883">
        <v>7</v>
      </c>
      <c r="J1883" s="3">
        <v>16.989999999999998</v>
      </c>
      <c r="K1883" s="2">
        <v>0.1</v>
      </c>
      <c r="L1883" s="3">
        <v>107.04</v>
      </c>
      <c r="M1883" s="3">
        <v>22.09</v>
      </c>
      <c r="N1883" t="s">
        <v>20</v>
      </c>
      <c r="O1883" s="3"/>
      <c r="P1883" s="3"/>
    </row>
    <row r="1884" spans="1:16" x14ac:dyDescent="0.3">
      <c r="A1884" t="s">
        <v>3303</v>
      </c>
      <c r="B1884" s="9" t="s">
        <v>554</v>
      </c>
      <c r="C1884" s="20" t="str">
        <f t="shared" si="29"/>
        <v>Sep</v>
      </c>
      <c r="D1884" t="s">
        <v>116</v>
      </c>
      <c r="E1884" s="10" t="s">
        <v>695</v>
      </c>
      <c r="F1884" t="s">
        <v>17</v>
      </c>
      <c r="G1884" t="s">
        <v>26</v>
      </c>
      <c r="H1884" t="s">
        <v>27</v>
      </c>
      <c r="I1884">
        <v>4</v>
      </c>
      <c r="J1884" s="3">
        <v>79.569999999999993</v>
      </c>
      <c r="K1884" s="2">
        <v>0</v>
      </c>
      <c r="L1884" s="3">
        <v>318.27999999999997</v>
      </c>
      <c r="M1884" s="3">
        <v>90.23</v>
      </c>
      <c r="N1884" t="s">
        <v>35</v>
      </c>
      <c r="O1884" s="3"/>
      <c r="P1884" s="3"/>
    </row>
    <row r="1885" spans="1:16" x14ac:dyDescent="0.3">
      <c r="A1885" t="s">
        <v>3304</v>
      </c>
      <c r="B1885" s="9" t="s">
        <v>1684</v>
      </c>
      <c r="C1885" s="20" t="str">
        <f t="shared" si="29"/>
        <v>Nov</v>
      </c>
      <c r="D1885" t="s">
        <v>2350</v>
      </c>
      <c r="E1885" s="10" t="s">
        <v>157</v>
      </c>
      <c r="F1885" t="s">
        <v>25</v>
      </c>
      <c r="G1885" t="s">
        <v>33</v>
      </c>
      <c r="H1885" t="s">
        <v>34</v>
      </c>
      <c r="I1885">
        <v>7</v>
      </c>
      <c r="J1885" s="3">
        <v>98.39</v>
      </c>
      <c r="K1885" s="2">
        <v>0</v>
      </c>
      <c r="L1885" s="3">
        <v>688.73</v>
      </c>
      <c r="M1885" s="3">
        <v>206.46</v>
      </c>
      <c r="N1885" t="s">
        <v>35</v>
      </c>
      <c r="O1885" s="3"/>
      <c r="P1885" s="3"/>
    </row>
    <row r="1886" spans="1:16" x14ac:dyDescent="0.3">
      <c r="A1886" t="s">
        <v>3305</v>
      </c>
      <c r="B1886" s="9" t="s">
        <v>697</v>
      </c>
      <c r="C1886" s="20" t="str">
        <f t="shared" si="29"/>
        <v>Oct</v>
      </c>
      <c r="D1886" t="s">
        <v>1195</v>
      </c>
      <c r="E1886" s="10" t="s">
        <v>455</v>
      </c>
      <c r="F1886" t="s">
        <v>25</v>
      </c>
      <c r="G1886" t="s">
        <v>18</v>
      </c>
      <c r="H1886" t="s">
        <v>45</v>
      </c>
      <c r="I1886">
        <v>1</v>
      </c>
      <c r="J1886" s="3">
        <v>116.52</v>
      </c>
      <c r="K1886" s="2">
        <v>0</v>
      </c>
      <c r="L1886" s="3">
        <v>116.52</v>
      </c>
      <c r="M1886" s="3">
        <v>15.78</v>
      </c>
      <c r="N1886" t="s">
        <v>35</v>
      </c>
      <c r="O1886" s="3"/>
      <c r="P1886" s="3"/>
    </row>
    <row r="1887" spans="1:16" x14ac:dyDescent="0.3">
      <c r="A1887" t="s">
        <v>3306</v>
      </c>
      <c r="B1887" s="9" t="s">
        <v>128</v>
      </c>
      <c r="C1887" s="20" t="str">
        <f t="shared" si="29"/>
        <v>Jul</v>
      </c>
      <c r="D1887" t="s">
        <v>1213</v>
      </c>
      <c r="E1887" s="10" t="s">
        <v>106</v>
      </c>
      <c r="F1887" t="s">
        <v>59</v>
      </c>
      <c r="G1887" t="s">
        <v>89</v>
      </c>
      <c r="H1887" t="s">
        <v>131</v>
      </c>
      <c r="I1887">
        <v>2</v>
      </c>
      <c r="J1887" s="3">
        <v>83.73</v>
      </c>
      <c r="K1887" s="2">
        <v>0.1</v>
      </c>
      <c r="L1887" s="3">
        <v>150.71</v>
      </c>
      <c r="M1887" s="3">
        <v>34.880000000000003</v>
      </c>
      <c r="N1887" t="s">
        <v>35</v>
      </c>
      <c r="O1887" s="3"/>
      <c r="P1887" s="3"/>
    </row>
    <row r="1888" spans="1:16" x14ac:dyDescent="0.3">
      <c r="A1888" t="s">
        <v>3307</v>
      </c>
      <c r="B1888" s="9" t="s">
        <v>885</v>
      </c>
      <c r="C1888" s="20" t="str">
        <f t="shared" si="29"/>
        <v>Dec</v>
      </c>
      <c r="D1888" t="s">
        <v>243</v>
      </c>
      <c r="E1888" s="10" t="s">
        <v>2137</v>
      </c>
      <c r="F1888" t="s">
        <v>25</v>
      </c>
      <c r="G1888" t="s">
        <v>26</v>
      </c>
      <c r="H1888" t="s">
        <v>118</v>
      </c>
      <c r="I1888">
        <v>6</v>
      </c>
      <c r="J1888" s="3">
        <v>166.58</v>
      </c>
      <c r="K1888" s="2">
        <v>0.15</v>
      </c>
      <c r="L1888" s="3">
        <v>849.56</v>
      </c>
      <c r="M1888" s="3">
        <v>114.64</v>
      </c>
      <c r="N1888" t="s">
        <v>35</v>
      </c>
      <c r="O1888" s="3"/>
      <c r="P1888" s="3"/>
    </row>
    <row r="1889" spans="1:16" x14ac:dyDescent="0.3">
      <c r="A1889" t="s">
        <v>3308</v>
      </c>
      <c r="B1889" s="9" t="s">
        <v>306</v>
      </c>
      <c r="C1889" s="20" t="str">
        <f t="shared" si="29"/>
        <v>Jul</v>
      </c>
      <c r="D1889" t="s">
        <v>1737</v>
      </c>
      <c r="E1889" s="10" t="s">
        <v>1235</v>
      </c>
      <c r="F1889" t="s">
        <v>32</v>
      </c>
      <c r="G1889" t="s">
        <v>26</v>
      </c>
      <c r="H1889" t="s">
        <v>27</v>
      </c>
      <c r="I1889">
        <v>1</v>
      </c>
      <c r="J1889" s="3">
        <v>119.86</v>
      </c>
      <c r="K1889" s="2">
        <v>0.15</v>
      </c>
      <c r="L1889" s="3">
        <v>101.88</v>
      </c>
      <c r="M1889" s="3">
        <v>18</v>
      </c>
      <c r="N1889" t="s">
        <v>40</v>
      </c>
      <c r="O1889" s="3"/>
      <c r="P1889" s="3"/>
    </row>
    <row r="1890" spans="1:16" x14ac:dyDescent="0.3">
      <c r="A1890" t="s">
        <v>3309</v>
      </c>
      <c r="B1890" s="9" t="s">
        <v>1005</v>
      </c>
      <c r="C1890" s="20" t="str">
        <f t="shared" si="29"/>
        <v>Apr</v>
      </c>
      <c r="D1890" t="s">
        <v>1936</v>
      </c>
      <c r="E1890" s="10" t="s">
        <v>284</v>
      </c>
      <c r="F1890" t="s">
        <v>64</v>
      </c>
      <c r="G1890" t="s">
        <v>18</v>
      </c>
      <c r="H1890" t="s">
        <v>45</v>
      </c>
      <c r="I1890">
        <v>1</v>
      </c>
      <c r="J1890" s="3">
        <v>240.25</v>
      </c>
      <c r="K1890" s="2">
        <v>0.05</v>
      </c>
      <c r="L1890" s="3">
        <v>228.24</v>
      </c>
      <c r="M1890" s="3">
        <v>49.29</v>
      </c>
      <c r="N1890" t="s">
        <v>35</v>
      </c>
      <c r="O1890" s="3"/>
      <c r="P1890" s="3"/>
    </row>
    <row r="1891" spans="1:16" x14ac:dyDescent="0.3">
      <c r="A1891" t="s">
        <v>3310</v>
      </c>
      <c r="B1891" s="9" t="s">
        <v>1263</v>
      </c>
      <c r="C1891" s="20" t="str">
        <f t="shared" si="29"/>
        <v>Dec</v>
      </c>
      <c r="D1891" t="s">
        <v>1060</v>
      </c>
      <c r="E1891" s="10" t="s">
        <v>1261</v>
      </c>
      <c r="F1891" t="s">
        <v>32</v>
      </c>
      <c r="G1891" t="s">
        <v>26</v>
      </c>
      <c r="H1891" t="s">
        <v>84</v>
      </c>
      <c r="I1891">
        <v>5</v>
      </c>
      <c r="J1891" s="3">
        <v>13.19</v>
      </c>
      <c r="K1891" s="2">
        <v>0</v>
      </c>
      <c r="L1891" s="3">
        <v>65.95</v>
      </c>
      <c r="M1891" s="3">
        <v>18.600000000000001</v>
      </c>
      <c r="N1891" t="s">
        <v>35</v>
      </c>
      <c r="O1891" s="3"/>
      <c r="P1891" s="3"/>
    </row>
    <row r="1892" spans="1:16" x14ac:dyDescent="0.3">
      <c r="A1892" t="s">
        <v>3311</v>
      </c>
      <c r="B1892" s="9" t="s">
        <v>1089</v>
      </c>
      <c r="C1892" s="20" t="str">
        <f t="shared" si="29"/>
        <v>Dec</v>
      </c>
      <c r="D1892" t="s">
        <v>2241</v>
      </c>
      <c r="E1892" s="10" t="s">
        <v>1959</v>
      </c>
      <c r="F1892" t="s">
        <v>32</v>
      </c>
      <c r="G1892" t="s">
        <v>18</v>
      </c>
      <c r="H1892" t="s">
        <v>79</v>
      </c>
      <c r="I1892">
        <v>1</v>
      </c>
      <c r="J1892" s="3">
        <v>71</v>
      </c>
      <c r="K1892" s="2">
        <v>0.05</v>
      </c>
      <c r="L1892" s="3">
        <v>67.45</v>
      </c>
      <c r="M1892" s="3">
        <v>15.14</v>
      </c>
      <c r="N1892" t="s">
        <v>20</v>
      </c>
      <c r="O1892" s="3"/>
      <c r="P1892" s="3"/>
    </row>
    <row r="1893" spans="1:16" x14ac:dyDescent="0.3">
      <c r="A1893" t="s">
        <v>3312</v>
      </c>
      <c r="B1893" s="9" t="s">
        <v>1307</v>
      </c>
      <c r="C1893" s="20" t="str">
        <f t="shared" si="29"/>
        <v>Jan</v>
      </c>
      <c r="D1893" t="s">
        <v>215</v>
      </c>
      <c r="E1893" s="10" t="s">
        <v>754</v>
      </c>
      <c r="F1893" t="s">
        <v>32</v>
      </c>
      <c r="G1893" t="s">
        <v>89</v>
      </c>
      <c r="H1893" t="s">
        <v>150</v>
      </c>
      <c r="I1893">
        <v>6</v>
      </c>
      <c r="J1893" s="3">
        <v>159.58000000000001</v>
      </c>
      <c r="K1893" s="2">
        <v>0.1</v>
      </c>
      <c r="L1893" s="3">
        <v>861.73</v>
      </c>
      <c r="M1893" s="3">
        <v>181.67</v>
      </c>
      <c r="N1893" t="s">
        <v>40</v>
      </c>
      <c r="O1893" s="3"/>
      <c r="P1893" s="3"/>
    </row>
    <row r="1894" spans="1:16" x14ac:dyDescent="0.3">
      <c r="A1894" t="s">
        <v>3313</v>
      </c>
      <c r="B1894" s="9" t="s">
        <v>1198</v>
      </c>
      <c r="C1894" s="20" t="str">
        <f t="shared" si="29"/>
        <v>Jul</v>
      </c>
      <c r="D1894" t="s">
        <v>1646</v>
      </c>
      <c r="E1894" s="10" t="s">
        <v>718</v>
      </c>
      <c r="F1894" t="s">
        <v>25</v>
      </c>
      <c r="G1894" t="s">
        <v>33</v>
      </c>
      <c r="H1894" t="s">
        <v>50</v>
      </c>
      <c r="I1894">
        <v>5</v>
      </c>
      <c r="J1894" s="3">
        <v>95.31</v>
      </c>
      <c r="K1894" s="2">
        <v>0</v>
      </c>
      <c r="L1894" s="3">
        <v>476.55</v>
      </c>
      <c r="M1894" s="3">
        <v>101.84</v>
      </c>
      <c r="N1894" t="s">
        <v>40</v>
      </c>
      <c r="O1894" s="3"/>
      <c r="P1894" s="3"/>
    </row>
    <row r="1895" spans="1:16" x14ac:dyDescent="0.3">
      <c r="A1895" t="s">
        <v>3314</v>
      </c>
      <c r="B1895" s="9" t="s">
        <v>235</v>
      </c>
      <c r="C1895" s="20" t="str">
        <f t="shared" si="29"/>
        <v>Jul</v>
      </c>
      <c r="D1895" t="s">
        <v>2537</v>
      </c>
      <c r="E1895" s="10" t="s">
        <v>2023</v>
      </c>
      <c r="F1895" t="s">
        <v>59</v>
      </c>
      <c r="G1895" t="s">
        <v>89</v>
      </c>
      <c r="H1895" t="s">
        <v>150</v>
      </c>
      <c r="I1895">
        <v>3</v>
      </c>
      <c r="J1895" s="3">
        <v>26.47</v>
      </c>
      <c r="K1895" s="2">
        <v>0</v>
      </c>
      <c r="L1895" s="3">
        <v>79.41</v>
      </c>
      <c r="M1895" s="3">
        <v>20.97</v>
      </c>
      <c r="N1895" t="s">
        <v>20</v>
      </c>
      <c r="O1895" s="3"/>
      <c r="P1895" s="3"/>
    </row>
    <row r="1896" spans="1:16" x14ac:dyDescent="0.3">
      <c r="A1896" t="s">
        <v>3315</v>
      </c>
      <c r="B1896" s="9" t="s">
        <v>447</v>
      </c>
      <c r="C1896" s="20" t="str">
        <f t="shared" si="29"/>
        <v>Apr</v>
      </c>
      <c r="D1896" t="s">
        <v>43</v>
      </c>
      <c r="E1896" s="10" t="s">
        <v>1077</v>
      </c>
      <c r="F1896" t="s">
        <v>17</v>
      </c>
      <c r="G1896" t="s">
        <v>33</v>
      </c>
      <c r="H1896" t="s">
        <v>34</v>
      </c>
      <c r="I1896">
        <v>6</v>
      </c>
      <c r="J1896" s="3">
        <v>229.26</v>
      </c>
      <c r="K1896" s="2">
        <v>0</v>
      </c>
      <c r="L1896" s="3">
        <v>1375.56</v>
      </c>
      <c r="M1896" s="3">
        <v>380.15</v>
      </c>
      <c r="N1896" t="s">
        <v>20</v>
      </c>
      <c r="O1896" s="3"/>
      <c r="P1896" s="3"/>
    </row>
    <row r="1897" spans="1:16" x14ac:dyDescent="0.3">
      <c r="A1897" t="s">
        <v>3316</v>
      </c>
      <c r="B1897" s="9" t="s">
        <v>1242</v>
      </c>
      <c r="C1897" s="20" t="str">
        <f t="shared" si="29"/>
        <v>Jun</v>
      </c>
      <c r="D1897" t="s">
        <v>1512</v>
      </c>
      <c r="E1897" s="10" t="s">
        <v>1103</v>
      </c>
      <c r="F1897" t="s">
        <v>25</v>
      </c>
      <c r="G1897" t="s">
        <v>26</v>
      </c>
      <c r="H1897" t="s">
        <v>27</v>
      </c>
      <c r="I1897">
        <v>4</v>
      </c>
      <c r="J1897" s="3">
        <v>66.28</v>
      </c>
      <c r="K1897" s="2">
        <v>0.05</v>
      </c>
      <c r="L1897" s="3">
        <v>251.86</v>
      </c>
      <c r="M1897" s="3">
        <v>60.65</v>
      </c>
      <c r="N1897" t="s">
        <v>20</v>
      </c>
      <c r="O1897" s="3"/>
      <c r="P1897" s="3"/>
    </row>
    <row r="1898" spans="1:16" x14ac:dyDescent="0.3">
      <c r="A1898" t="s">
        <v>3317</v>
      </c>
      <c r="B1898" s="9" t="s">
        <v>371</v>
      </c>
      <c r="C1898" s="20" t="str">
        <f t="shared" si="29"/>
        <v>Aug</v>
      </c>
      <c r="D1898" t="s">
        <v>339</v>
      </c>
      <c r="E1898" s="10" t="s">
        <v>2196</v>
      </c>
      <c r="F1898" t="s">
        <v>17</v>
      </c>
      <c r="G1898" t="s">
        <v>26</v>
      </c>
      <c r="H1898" t="s">
        <v>118</v>
      </c>
      <c r="I1898">
        <v>4</v>
      </c>
      <c r="J1898" s="3">
        <v>242.68</v>
      </c>
      <c r="K1898" s="2">
        <v>0.1</v>
      </c>
      <c r="L1898" s="3">
        <v>873.65</v>
      </c>
      <c r="M1898" s="3">
        <v>107.26</v>
      </c>
      <c r="N1898" t="s">
        <v>20</v>
      </c>
      <c r="O1898" s="3"/>
      <c r="P1898" s="3"/>
    </row>
    <row r="1899" spans="1:16" x14ac:dyDescent="0.3">
      <c r="A1899" t="s">
        <v>3318</v>
      </c>
      <c r="B1899" s="9" t="s">
        <v>1965</v>
      </c>
      <c r="C1899" s="20" t="str">
        <f t="shared" si="29"/>
        <v>Mar</v>
      </c>
      <c r="D1899" t="s">
        <v>2208</v>
      </c>
      <c r="E1899" s="10" t="s">
        <v>175</v>
      </c>
      <c r="F1899" t="s">
        <v>32</v>
      </c>
      <c r="G1899" t="s">
        <v>18</v>
      </c>
      <c r="H1899" t="s">
        <v>45</v>
      </c>
      <c r="I1899">
        <v>1</v>
      </c>
      <c r="J1899" s="3">
        <v>202.02</v>
      </c>
      <c r="K1899" s="2">
        <v>0.15</v>
      </c>
      <c r="L1899" s="3">
        <v>171.72</v>
      </c>
      <c r="M1899" s="3">
        <v>19.059999999999999</v>
      </c>
      <c r="N1899" t="s">
        <v>35</v>
      </c>
      <c r="O1899" s="3"/>
      <c r="P1899" s="3"/>
    </row>
    <row r="1900" spans="1:16" x14ac:dyDescent="0.3">
      <c r="A1900" t="s">
        <v>3319</v>
      </c>
      <c r="B1900" s="9" t="s">
        <v>199</v>
      </c>
      <c r="C1900" s="20" t="str">
        <f t="shared" si="29"/>
        <v>Mar</v>
      </c>
      <c r="D1900" t="s">
        <v>1831</v>
      </c>
      <c r="E1900" s="10" t="s">
        <v>466</v>
      </c>
      <c r="F1900" t="s">
        <v>59</v>
      </c>
      <c r="G1900" t="s">
        <v>89</v>
      </c>
      <c r="H1900" t="s">
        <v>150</v>
      </c>
      <c r="I1900">
        <v>6</v>
      </c>
      <c r="J1900" s="3">
        <v>53.75</v>
      </c>
      <c r="K1900" s="2">
        <v>0</v>
      </c>
      <c r="L1900" s="3">
        <v>322.5</v>
      </c>
      <c r="M1900" s="3">
        <v>58.98</v>
      </c>
      <c r="N1900" t="s">
        <v>35</v>
      </c>
      <c r="O1900" s="3"/>
      <c r="P1900" s="3"/>
    </row>
    <row r="1901" spans="1:16" x14ac:dyDescent="0.3">
      <c r="A1901" t="s">
        <v>3320</v>
      </c>
      <c r="B1901" s="9" t="s">
        <v>1956</v>
      </c>
      <c r="C1901" s="20" t="str">
        <f t="shared" si="29"/>
        <v>Jun</v>
      </c>
      <c r="D1901" t="s">
        <v>994</v>
      </c>
      <c r="E1901" s="10" t="s">
        <v>240</v>
      </c>
      <c r="F1901" t="s">
        <v>32</v>
      </c>
      <c r="G1901" t="s">
        <v>18</v>
      </c>
      <c r="H1901" t="s">
        <v>45</v>
      </c>
      <c r="I1901">
        <v>6</v>
      </c>
      <c r="J1901" s="3">
        <v>79.94</v>
      </c>
      <c r="K1901" s="2">
        <v>0</v>
      </c>
      <c r="L1901" s="3">
        <v>479.64</v>
      </c>
      <c r="M1901" s="3">
        <v>57.85</v>
      </c>
      <c r="N1901" t="s">
        <v>35</v>
      </c>
      <c r="O1901" s="3"/>
      <c r="P1901" s="3"/>
    </row>
    <row r="1902" spans="1:16" x14ac:dyDescent="0.3">
      <c r="A1902" t="s">
        <v>3321</v>
      </c>
      <c r="B1902" s="9" t="s">
        <v>1868</v>
      </c>
      <c r="C1902" s="20" t="str">
        <f t="shared" si="29"/>
        <v>Nov</v>
      </c>
      <c r="D1902" t="s">
        <v>1509</v>
      </c>
      <c r="E1902" s="10" t="s">
        <v>109</v>
      </c>
      <c r="F1902" t="s">
        <v>25</v>
      </c>
      <c r="G1902" t="s">
        <v>26</v>
      </c>
      <c r="H1902" t="s">
        <v>118</v>
      </c>
      <c r="I1902">
        <v>2</v>
      </c>
      <c r="J1902" s="3">
        <v>195.45</v>
      </c>
      <c r="K1902" s="2">
        <v>0.05</v>
      </c>
      <c r="L1902" s="3">
        <v>371.35</v>
      </c>
      <c r="M1902" s="3">
        <v>97.18</v>
      </c>
      <c r="N1902" t="s">
        <v>35</v>
      </c>
      <c r="O1902" s="3"/>
      <c r="P1902" s="3"/>
    </row>
    <row r="1903" spans="1:16" x14ac:dyDescent="0.3">
      <c r="A1903" t="s">
        <v>3322</v>
      </c>
      <c r="B1903" s="9" t="s">
        <v>1118</v>
      </c>
      <c r="C1903" s="20" t="str">
        <f t="shared" si="29"/>
        <v>Feb</v>
      </c>
      <c r="D1903" t="s">
        <v>177</v>
      </c>
      <c r="E1903" s="10" t="s">
        <v>1209</v>
      </c>
      <c r="F1903" t="s">
        <v>64</v>
      </c>
      <c r="G1903" t="s">
        <v>18</v>
      </c>
      <c r="H1903" t="s">
        <v>19</v>
      </c>
      <c r="I1903">
        <v>5</v>
      </c>
      <c r="J1903" s="3">
        <v>73.22</v>
      </c>
      <c r="K1903" s="2">
        <v>0</v>
      </c>
      <c r="L1903" s="3">
        <v>366.1</v>
      </c>
      <c r="M1903" s="3">
        <v>90.81</v>
      </c>
      <c r="N1903" t="s">
        <v>20</v>
      </c>
      <c r="O1903" s="3"/>
      <c r="P1903" s="3"/>
    </row>
    <row r="1904" spans="1:16" x14ac:dyDescent="0.3">
      <c r="A1904" t="s">
        <v>3323</v>
      </c>
      <c r="B1904" s="9" t="s">
        <v>2164</v>
      </c>
      <c r="C1904" s="20" t="str">
        <f t="shared" si="29"/>
        <v>Jul</v>
      </c>
      <c r="D1904" t="s">
        <v>511</v>
      </c>
      <c r="E1904" s="10" t="s">
        <v>1490</v>
      </c>
      <c r="F1904" t="s">
        <v>25</v>
      </c>
      <c r="G1904" t="s">
        <v>89</v>
      </c>
      <c r="H1904" t="s">
        <v>131</v>
      </c>
      <c r="I1904">
        <v>5</v>
      </c>
      <c r="J1904" s="3">
        <v>170.94</v>
      </c>
      <c r="K1904" s="2">
        <v>0.05</v>
      </c>
      <c r="L1904" s="3">
        <v>811.97</v>
      </c>
      <c r="M1904" s="3">
        <v>139.93</v>
      </c>
      <c r="N1904" t="s">
        <v>40</v>
      </c>
      <c r="O1904" s="3"/>
      <c r="P1904" s="3"/>
    </row>
    <row r="1905" spans="1:16" x14ac:dyDescent="0.3">
      <c r="A1905" t="s">
        <v>3324</v>
      </c>
      <c r="B1905" s="9" t="s">
        <v>1226</v>
      </c>
      <c r="C1905" s="20" t="str">
        <f t="shared" si="29"/>
        <v>Nov</v>
      </c>
      <c r="D1905" t="s">
        <v>668</v>
      </c>
      <c r="E1905" s="10" t="s">
        <v>1431</v>
      </c>
      <c r="F1905" t="s">
        <v>17</v>
      </c>
      <c r="G1905" t="s">
        <v>18</v>
      </c>
      <c r="H1905" t="s">
        <v>19</v>
      </c>
      <c r="I1905">
        <v>3</v>
      </c>
      <c r="J1905" s="3">
        <v>89.1</v>
      </c>
      <c r="K1905" s="2">
        <v>0.05</v>
      </c>
      <c r="L1905" s="3">
        <v>253.93</v>
      </c>
      <c r="M1905" s="3">
        <v>25.04</v>
      </c>
      <c r="N1905" t="s">
        <v>40</v>
      </c>
      <c r="O1905" s="3"/>
      <c r="P1905" s="3"/>
    </row>
    <row r="1906" spans="1:16" x14ac:dyDescent="0.3">
      <c r="A1906" t="s">
        <v>3325</v>
      </c>
      <c r="B1906" s="9" t="s">
        <v>1043</v>
      </c>
      <c r="C1906" s="20" t="str">
        <f t="shared" si="29"/>
        <v>Mar</v>
      </c>
      <c r="D1906" t="s">
        <v>2203</v>
      </c>
      <c r="E1906" s="10" t="s">
        <v>789</v>
      </c>
      <c r="F1906" t="s">
        <v>59</v>
      </c>
      <c r="G1906" t="s">
        <v>18</v>
      </c>
      <c r="H1906" t="s">
        <v>45</v>
      </c>
      <c r="I1906">
        <v>4</v>
      </c>
      <c r="J1906" s="3">
        <v>238.52</v>
      </c>
      <c r="K1906" s="2">
        <v>0.05</v>
      </c>
      <c r="L1906" s="3">
        <v>906.38</v>
      </c>
      <c r="M1906" s="3">
        <v>270.42</v>
      </c>
      <c r="N1906" t="s">
        <v>35</v>
      </c>
      <c r="O1906" s="3"/>
      <c r="P1906" s="3"/>
    </row>
    <row r="1907" spans="1:16" x14ac:dyDescent="0.3">
      <c r="A1907" t="s">
        <v>3326</v>
      </c>
      <c r="B1907" s="9" t="s">
        <v>359</v>
      </c>
      <c r="C1907" s="20" t="str">
        <f t="shared" si="29"/>
        <v>Aug</v>
      </c>
      <c r="D1907" t="s">
        <v>2330</v>
      </c>
      <c r="E1907" s="10" t="s">
        <v>212</v>
      </c>
      <c r="F1907" t="s">
        <v>59</v>
      </c>
      <c r="G1907" t="s">
        <v>18</v>
      </c>
      <c r="H1907" t="s">
        <v>79</v>
      </c>
      <c r="I1907">
        <v>8</v>
      </c>
      <c r="J1907" s="3">
        <v>55.93</v>
      </c>
      <c r="K1907" s="2">
        <v>0.05</v>
      </c>
      <c r="L1907" s="3">
        <v>425.07</v>
      </c>
      <c r="M1907" s="3">
        <v>80.010000000000005</v>
      </c>
      <c r="N1907" t="s">
        <v>40</v>
      </c>
      <c r="O1907" s="3"/>
      <c r="P1907" s="3"/>
    </row>
    <row r="1908" spans="1:16" x14ac:dyDescent="0.3">
      <c r="A1908" t="s">
        <v>3327</v>
      </c>
      <c r="B1908" s="9" t="s">
        <v>56</v>
      </c>
      <c r="C1908" s="20" t="str">
        <f t="shared" si="29"/>
        <v>Dec</v>
      </c>
      <c r="D1908" t="s">
        <v>861</v>
      </c>
      <c r="E1908" s="10" t="s">
        <v>1354</v>
      </c>
      <c r="F1908" t="s">
        <v>17</v>
      </c>
      <c r="G1908" t="s">
        <v>18</v>
      </c>
      <c r="H1908" t="s">
        <v>45</v>
      </c>
      <c r="I1908">
        <v>2</v>
      </c>
      <c r="J1908" s="3">
        <v>117.08</v>
      </c>
      <c r="K1908" s="2">
        <v>0</v>
      </c>
      <c r="L1908" s="3">
        <v>234.16</v>
      </c>
      <c r="M1908" s="3">
        <v>31.44</v>
      </c>
      <c r="N1908" t="s">
        <v>40</v>
      </c>
      <c r="O1908" s="3"/>
      <c r="P1908" s="3"/>
    </row>
    <row r="1909" spans="1:16" x14ac:dyDescent="0.3">
      <c r="A1909" t="s">
        <v>3328</v>
      </c>
      <c r="B1909" s="9" t="s">
        <v>815</v>
      </c>
      <c r="C1909" s="20" t="str">
        <f t="shared" si="29"/>
        <v>Jan</v>
      </c>
      <c r="D1909" t="s">
        <v>978</v>
      </c>
      <c r="E1909" s="10" t="s">
        <v>598</v>
      </c>
      <c r="F1909" t="s">
        <v>32</v>
      </c>
      <c r="G1909" t="s">
        <v>33</v>
      </c>
      <c r="H1909" t="s">
        <v>74</v>
      </c>
      <c r="I1909">
        <v>2</v>
      </c>
      <c r="J1909" s="3">
        <v>136.61000000000001</v>
      </c>
      <c r="K1909" s="2">
        <v>0.15</v>
      </c>
      <c r="L1909" s="3">
        <v>232.24</v>
      </c>
      <c r="M1909" s="3">
        <v>30.58</v>
      </c>
      <c r="N1909" t="s">
        <v>40</v>
      </c>
      <c r="O1909" s="3"/>
      <c r="P1909" s="3"/>
    </row>
    <row r="1910" spans="1:16" x14ac:dyDescent="0.3">
      <c r="A1910" t="s">
        <v>3331</v>
      </c>
      <c r="B1910" s="9" t="s">
        <v>1144</v>
      </c>
      <c r="C1910" s="20" t="str">
        <f t="shared" si="29"/>
        <v>May</v>
      </c>
      <c r="D1910" t="s">
        <v>1217</v>
      </c>
      <c r="E1910" s="10" t="s">
        <v>280</v>
      </c>
      <c r="F1910" t="s">
        <v>17</v>
      </c>
      <c r="G1910" t="s">
        <v>89</v>
      </c>
      <c r="H1910" t="s">
        <v>131</v>
      </c>
      <c r="I1910">
        <v>6</v>
      </c>
      <c r="J1910" s="3">
        <v>236</v>
      </c>
      <c r="K1910" s="2">
        <v>0</v>
      </c>
      <c r="L1910" s="3">
        <v>1416</v>
      </c>
      <c r="M1910" s="3">
        <v>140.30000000000001</v>
      </c>
      <c r="N1910" t="s">
        <v>20</v>
      </c>
      <c r="O1910" s="3"/>
      <c r="P1910" s="3"/>
    </row>
    <row r="1911" spans="1:16" x14ac:dyDescent="0.3">
      <c r="A1911" t="s">
        <v>3332</v>
      </c>
      <c r="B1911" s="9" t="s">
        <v>548</v>
      </c>
      <c r="C1911" s="20" t="str">
        <f t="shared" si="29"/>
        <v>Aug</v>
      </c>
      <c r="D1911" t="s">
        <v>318</v>
      </c>
      <c r="E1911" s="10" t="s">
        <v>2454</v>
      </c>
      <c r="F1911" t="s">
        <v>25</v>
      </c>
      <c r="G1911" t="s">
        <v>18</v>
      </c>
      <c r="H1911" t="s">
        <v>45</v>
      </c>
      <c r="I1911">
        <v>4</v>
      </c>
      <c r="J1911" s="3">
        <v>84.51</v>
      </c>
      <c r="K1911" s="2">
        <v>0</v>
      </c>
      <c r="L1911" s="3">
        <v>338.04</v>
      </c>
      <c r="M1911" s="3">
        <v>82.84</v>
      </c>
      <c r="N1911" t="s">
        <v>35</v>
      </c>
      <c r="O1911" s="3"/>
      <c r="P1911" s="3"/>
    </row>
    <row r="1912" spans="1:16" x14ac:dyDescent="0.3">
      <c r="A1912" t="s">
        <v>3333</v>
      </c>
      <c r="B1912" s="9" t="s">
        <v>823</v>
      </c>
      <c r="C1912" s="20" t="str">
        <f t="shared" si="29"/>
        <v>Apr</v>
      </c>
      <c r="D1912" t="s">
        <v>1147</v>
      </c>
      <c r="E1912" s="10" t="s">
        <v>258</v>
      </c>
      <c r="F1912" t="s">
        <v>59</v>
      </c>
      <c r="G1912" t="s">
        <v>89</v>
      </c>
      <c r="H1912" t="s">
        <v>150</v>
      </c>
      <c r="I1912">
        <v>8</v>
      </c>
      <c r="J1912" s="3">
        <v>84.22</v>
      </c>
      <c r="K1912" s="2">
        <v>0</v>
      </c>
      <c r="L1912" s="3">
        <v>673.76</v>
      </c>
      <c r="M1912" s="3">
        <v>69.73</v>
      </c>
      <c r="N1912" t="s">
        <v>35</v>
      </c>
      <c r="O1912" s="3"/>
      <c r="P1912" s="3"/>
    </row>
    <row r="1913" spans="1:16" x14ac:dyDescent="0.3">
      <c r="A1913" t="s">
        <v>3334</v>
      </c>
      <c r="B1913" s="9" t="s">
        <v>229</v>
      </c>
      <c r="C1913" s="20" t="str">
        <f t="shared" si="29"/>
        <v>Jul</v>
      </c>
      <c r="D1913" t="s">
        <v>717</v>
      </c>
      <c r="E1913" s="10" t="s">
        <v>469</v>
      </c>
      <c r="F1913" t="s">
        <v>32</v>
      </c>
      <c r="G1913" t="s">
        <v>33</v>
      </c>
      <c r="H1913" t="s">
        <v>69</v>
      </c>
      <c r="I1913">
        <v>3</v>
      </c>
      <c r="J1913" s="3">
        <v>166.3</v>
      </c>
      <c r="K1913" s="2">
        <v>0</v>
      </c>
      <c r="L1913" s="3">
        <v>498.9</v>
      </c>
      <c r="M1913" s="3">
        <v>107.55</v>
      </c>
      <c r="N1913" t="s">
        <v>20</v>
      </c>
      <c r="O1913" s="3"/>
      <c r="P1913" s="3"/>
    </row>
    <row r="1914" spans="1:16" x14ac:dyDescent="0.3">
      <c r="A1914" t="s">
        <v>3335</v>
      </c>
      <c r="B1914" s="9" t="s">
        <v>943</v>
      </c>
      <c r="C1914" s="20" t="str">
        <f t="shared" si="29"/>
        <v>Feb</v>
      </c>
      <c r="D1914" t="s">
        <v>1213</v>
      </c>
      <c r="E1914" s="10" t="s">
        <v>1278</v>
      </c>
      <c r="F1914" t="s">
        <v>32</v>
      </c>
      <c r="G1914" t="s">
        <v>18</v>
      </c>
      <c r="H1914" t="s">
        <v>79</v>
      </c>
      <c r="I1914">
        <v>5</v>
      </c>
      <c r="J1914" s="3">
        <v>218.33</v>
      </c>
      <c r="K1914" s="2">
        <v>0</v>
      </c>
      <c r="L1914" s="3">
        <v>1091.6500000000001</v>
      </c>
      <c r="M1914" s="3">
        <v>118.78</v>
      </c>
      <c r="N1914" t="s">
        <v>40</v>
      </c>
      <c r="O1914" s="3"/>
      <c r="P1914" s="3"/>
    </row>
    <row r="1915" spans="1:16" x14ac:dyDescent="0.3">
      <c r="A1915" t="s">
        <v>3336</v>
      </c>
      <c r="B1915" s="9" t="s">
        <v>22</v>
      </c>
      <c r="C1915" s="20" t="str">
        <f t="shared" si="29"/>
        <v>Sep</v>
      </c>
      <c r="D1915" t="s">
        <v>2065</v>
      </c>
      <c r="E1915" s="10" t="s">
        <v>1718</v>
      </c>
      <c r="F1915" t="s">
        <v>64</v>
      </c>
      <c r="G1915" t="s">
        <v>33</v>
      </c>
      <c r="H1915" t="s">
        <v>69</v>
      </c>
      <c r="I1915">
        <v>8</v>
      </c>
      <c r="J1915" s="3">
        <v>245.52</v>
      </c>
      <c r="K1915" s="2">
        <v>0.15</v>
      </c>
      <c r="L1915" s="3">
        <v>1669.54</v>
      </c>
      <c r="M1915" s="3">
        <v>461.88</v>
      </c>
      <c r="N1915" t="s">
        <v>35</v>
      </c>
      <c r="O1915" s="3"/>
      <c r="P1915" s="3"/>
    </row>
    <row r="1916" spans="1:16" x14ac:dyDescent="0.3">
      <c r="A1916" t="s">
        <v>3337</v>
      </c>
      <c r="B1916" s="9" t="s">
        <v>2077</v>
      </c>
      <c r="C1916" s="20" t="str">
        <f t="shared" si="29"/>
        <v>May</v>
      </c>
      <c r="D1916" t="s">
        <v>673</v>
      </c>
      <c r="E1916" s="10" t="s">
        <v>322</v>
      </c>
      <c r="F1916" t="s">
        <v>17</v>
      </c>
      <c r="G1916" t="s">
        <v>33</v>
      </c>
      <c r="H1916" t="s">
        <v>34</v>
      </c>
      <c r="I1916">
        <v>7</v>
      </c>
      <c r="J1916" s="3">
        <v>175.08</v>
      </c>
      <c r="K1916" s="2">
        <v>0.05</v>
      </c>
      <c r="L1916" s="3">
        <v>1164.28</v>
      </c>
      <c r="M1916" s="3">
        <v>345.27</v>
      </c>
      <c r="N1916" t="s">
        <v>35</v>
      </c>
      <c r="O1916" s="3"/>
      <c r="P1916" s="3"/>
    </row>
    <row r="1917" spans="1:16" x14ac:dyDescent="0.3">
      <c r="A1917" t="s">
        <v>3338</v>
      </c>
      <c r="B1917" s="9" t="s">
        <v>223</v>
      </c>
      <c r="C1917" s="20" t="str">
        <f t="shared" si="29"/>
        <v>Jun</v>
      </c>
      <c r="D1917" t="s">
        <v>1044</v>
      </c>
      <c r="E1917" s="10" t="s">
        <v>1453</v>
      </c>
      <c r="F1917" t="s">
        <v>17</v>
      </c>
      <c r="G1917" t="s">
        <v>89</v>
      </c>
      <c r="H1917" t="s">
        <v>90</v>
      </c>
      <c r="I1917">
        <v>5</v>
      </c>
      <c r="J1917" s="3">
        <v>40.53</v>
      </c>
      <c r="K1917" s="2">
        <v>0.1</v>
      </c>
      <c r="L1917" s="3">
        <v>182.39</v>
      </c>
      <c r="M1917" s="3">
        <v>29.63</v>
      </c>
      <c r="N1917" t="s">
        <v>40</v>
      </c>
      <c r="O1917" s="3"/>
      <c r="P1917" s="3"/>
    </row>
    <row r="1918" spans="1:16" x14ac:dyDescent="0.3">
      <c r="A1918" t="s">
        <v>3339</v>
      </c>
      <c r="B1918" s="9" t="s">
        <v>2590</v>
      </c>
      <c r="C1918" s="20" t="str">
        <f t="shared" si="29"/>
        <v>Feb</v>
      </c>
      <c r="D1918" t="s">
        <v>474</v>
      </c>
      <c r="E1918" s="10" t="s">
        <v>1731</v>
      </c>
      <c r="F1918" t="s">
        <v>17</v>
      </c>
      <c r="G1918" t="s">
        <v>33</v>
      </c>
      <c r="H1918" t="s">
        <v>50</v>
      </c>
      <c r="I1918">
        <v>1</v>
      </c>
      <c r="J1918" s="3">
        <v>36.31</v>
      </c>
      <c r="K1918" s="2">
        <v>0.1</v>
      </c>
      <c r="L1918" s="3">
        <v>32.68</v>
      </c>
      <c r="M1918" s="3">
        <v>6.99</v>
      </c>
      <c r="N1918" t="s">
        <v>40</v>
      </c>
      <c r="O1918" s="3"/>
      <c r="P1918" s="3"/>
    </row>
    <row r="1919" spans="1:16" x14ac:dyDescent="0.3">
      <c r="A1919" t="s">
        <v>3340</v>
      </c>
      <c r="B1919" s="9" t="s">
        <v>2435</v>
      </c>
      <c r="C1919" s="20" t="str">
        <f t="shared" si="29"/>
        <v>Nov</v>
      </c>
      <c r="D1919" t="s">
        <v>604</v>
      </c>
      <c r="E1919" s="10" t="s">
        <v>1250</v>
      </c>
      <c r="F1919" t="s">
        <v>32</v>
      </c>
      <c r="G1919" t="s">
        <v>26</v>
      </c>
      <c r="H1919" t="s">
        <v>118</v>
      </c>
      <c r="I1919">
        <v>3</v>
      </c>
      <c r="J1919" s="3">
        <v>219.85</v>
      </c>
      <c r="K1919" s="2">
        <v>0.15</v>
      </c>
      <c r="L1919" s="3">
        <v>560.62</v>
      </c>
      <c r="M1919" s="3">
        <v>111.02</v>
      </c>
      <c r="N1919" t="s">
        <v>20</v>
      </c>
      <c r="O1919" s="3"/>
      <c r="P1919" s="3"/>
    </row>
    <row r="1920" spans="1:16" x14ac:dyDescent="0.3">
      <c r="A1920" t="s">
        <v>3341</v>
      </c>
      <c r="B1920" s="9" t="s">
        <v>1118</v>
      </c>
      <c r="C1920" s="20" t="str">
        <f t="shared" si="29"/>
        <v>Feb</v>
      </c>
      <c r="D1920" t="s">
        <v>2120</v>
      </c>
      <c r="E1920" s="10" t="s">
        <v>1828</v>
      </c>
      <c r="F1920" t="s">
        <v>32</v>
      </c>
      <c r="G1920" t="s">
        <v>89</v>
      </c>
      <c r="H1920" t="s">
        <v>150</v>
      </c>
      <c r="I1920">
        <v>6</v>
      </c>
      <c r="J1920" s="3">
        <v>237.16</v>
      </c>
      <c r="K1920" s="2">
        <v>0.1</v>
      </c>
      <c r="L1920" s="3">
        <v>1280.6600000000001</v>
      </c>
      <c r="M1920" s="3">
        <v>300.94</v>
      </c>
      <c r="N1920" t="s">
        <v>40</v>
      </c>
      <c r="O1920" s="3"/>
      <c r="P1920" s="3"/>
    </row>
    <row r="1921" spans="1:16" x14ac:dyDescent="0.3">
      <c r="A1921" t="s">
        <v>3342</v>
      </c>
      <c r="B1921" s="9" t="s">
        <v>3343</v>
      </c>
      <c r="C1921" s="20" t="str">
        <f t="shared" si="29"/>
        <v>Jan</v>
      </c>
      <c r="D1921" t="s">
        <v>637</v>
      </c>
      <c r="E1921" s="10" t="s">
        <v>269</v>
      </c>
      <c r="F1921" t="s">
        <v>59</v>
      </c>
      <c r="G1921" t="s">
        <v>18</v>
      </c>
      <c r="H1921" t="s">
        <v>19</v>
      </c>
      <c r="I1921">
        <v>2</v>
      </c>
      <c r="J1921" s="3">
        <v>154.55000000000001</v>
      </c>
      <c r="K1921" s="2">
        <v>0.1</v>
      </c>
      <c r="L1921" s="3">
        <v>278.19</v>
      </c>
      <c r="M1921" s="3">
        <v>32.03</v>
      </c>
      <c r="N1921" t="s">
        <v>40</v>
      </c>
      <c r="O1921" s="3"/>
      <c r="P1921" s="3"/>
    </row>
    <row r="1922" spans="1:16" x14ac:dyDescent="0.3">
      <c r="A1922" t="s">
        <v>3344</v>
      </c>
      <c r="B1922" s="9" t="s">
        <v>570</v>
      </c>
      <c r="C1922" s="20" t="str">
        <f t="shared" ref="C1922:C1985" si="30">TEXT(B:B, "mmm")</f>
        <v>Nov</v>
      </c>
      <c r="D1922" t="s">
        <v>468</v>
      </c>
      <c r="E1922" s="10" t="s">
        <v>1072</v>
      </c>
      <c r="F1922" t="s">
        <v>64</v>
      </c>
      <c r="G1922" t="s">
        <v>18</v>
      </c>
      <c r="H1922" t="s">
        <v>19</v>
      </c>
      <c r="I1922">
        <v>3</v>
      </c>
      <c r="J1922" s="3">
        <v>151.63999999999999</v>
      </c>
      <c r="K1922" s="2">
        <v>0.1</v>
      </c>
      <c r="L1922" s="3">
        <v>409.43</v>
      </c>
      <c r="M1922" s="3">
        <v>40.520000000000003</v>
      </c>
      <c r="N1922" t="s">
        <v>40</v>
      </c>
      <c r="O1922" s="3"/>
      <c r="P1922" s="3"/>
    </row>
    <row r="1923" spans="1:16" x14ac:dyDescent="0.3">
      <c r="A1923" t="s">
        <v>3345</v>
      </c>
      <c r="B1923" s="9" t="s">
        <v>1129</v>
      </c>
      <c r="C1923" s="20" t="str">
        <f t="shared" si="30"/>
        <v>May</v>
      </c>
      <c r="D1923" t="s">
        <v>511</v>
      </c>
      <c r="E1923" s="10" t="s">
        <v>1734</v>
      </c>
      <c r="F1923" t="s">
        <v>64</v>
      </c>
      <c r="G1923" t="s">
        <v>18</v>
      </c>
      <c r="H1923" t="s">
        <v>19</v>
      </c>
      <c r="I1923">
        <v>1</v>
      </c>
      <c r="J1923" s="3">
        <v>172.1</v>
      </c>
      <c r="K1923" s="2">
        <v>0.1</v>
      </c>
      <c r="L1923" s="3">
        <v>154.88999999999999</v>
      </c>
      <c r="M1923" s="3">
        <v>40.630000000000003</v>
      </c>
      <c r="N1923" t="s">
        <v>35</v>
      </c>
      <c r="O1923" s="3"/>
      <c r="P1923" s="3"/>
    </row>
    <row r="1924" spans="1:16" x14ac:dyDescent="0.3">
      <c r="A1924" t="s">
        <v>3346</v>
      </c>
      <c r="B1924" s="9" t="s">
        <v>526</v>
      </c>
      <c r="C1924" s="20" t="str">
        <f t="shared" si="30"/>
        <v>May</v>
      </c>
      <c r="D1924" t="s">
        <v>1642</v>
      </c>
      <c r="E1924" s="10" t="s">
        <v>109</v>
      </c>
      <c r="F1924" t="s">
        <v>32</v>
      </c>
      <c r="G1924" t="s">
        <v>33</v>
      </c>
      <c r="H1924" t="s">
        <v>34</v>
      </c>
      <c r="I1924">
        <v>2</v>
      </c>
      <c r="J1924" s="3">
        <v>103.66</v>
      </c>
      <c r="K1924" s="2">
        <v>0.1</v>
      </c>
      <c r="L1924" s="3">
        <v>186.59</v>
      </c>
      <c r="M1924" s="3">
        <v>35.19</v>
      </c>
      <c r="N1924" t="s">
        <v>40</v>
      </c>
      <c r="O1924" s="3"/>
      <c r="P1924" s="3"/>
    </row>
    <row r="1925" spans="1:16" x14ac:dyDescent="0.3">
      <c r="A1925" t="s">
        <v>3347</v>
      </c>
      <c r="B1925" s="9" t="s">
        <v>2051</v>
      </c>
      <c r="C1925" s="20" t="str">
        <f t="shared" si="30"/>
        <v>Jun</v>
      </c>
      <c r="D1925" t="s">
        <v>593</v>
      </c>
      <c r="E1925" s="10" t="s">
        <v>601</v>
      </c>
      <c r="F1925" t="s">
        <v>17</v>
      </c>
      <c r="G1925" t="s">
        <v>18</v>
      </c>
      <c r="H1925" t="s">
        <v>45</v>
      </c>
      <c r="I1925">
        <v>3</v>
      </c>
      <c r="J1925" s="3">
        <v>62.91</v>
      </c>
      <c r="K1925" s="2">
        <v>0.05</v>
      </c>
      <c r="L1925" s="3">
        <v>179.29</v>
      </c>
      <c r="M1925" s="3">
        <v>40.950000000000003</v>
      </c>
      <c r="N1925" t="s">
        <v>20</v>
      </c>
      <c r="O1925" s="3"/>
      <c r="P1925" s="3"/>
    </row>
    <row r="1926" spans="1:16" x14ac:dyDescent="0.3">
      <c r="A1926" t="s">
        <v>3348</v>
      </c>
      <c r="B1926" s="9" t="s">
        <v>3343</v>
      </c>
      <c r="C1926" s="20" t="str">
        <f t="shared" si="30"/>
        <v>Jan</v>
      </c>
      <c r="D1926" t="s">
        <v>567</v>
      </c>
      <c r="E1926" s="10" t="s">
        <v>2023</v>
      </c>
      <c r="F1926" t="s">
        <v>32</v>
      </c>
      <c r="G1926" t="s">
        <v>33</v>
      </c>
      <c r="H1926" t="s">
        <v>34</v>
      </c>
      <c r="I1926">
        <v>4</v>
      </c>
      <c r="J1926" s="3">
        <v>149.13</v>
      </c>
      <c r="K1926" s="2">
        <v>0.05</v>
      </c>
      <c r="L1926" s="3">
        <v>566.69000000000005</v>
      </c>
      <c r="M1926" s="3">
        <v>130.38</v>
      </c>
      <c r="N1926" t="s">
        <v>40</v>
      </c>
      <c r="O1926" s="3"/>
      <c r="P1926" s="3"/>
    </row>
    <row r="1927" spans="1:16" x14ac:dyDescent="0.3">
      <c r="A1927" t="s">
        <v>3349</v>
      </c>
      <c r="B1927" s="9" t="s">
        <v>2590</v>
      </c>
      <c r="C1927" s="20" t="str">
        <f t="shared" si="30"/>
        <v>Feb</v>
      </c>
      <c r="D1927" t="s">
        <v>93</v>
      </c>
      <c r="E1927" s="10" t="s">
        <v>910</v>
      </c>
      <c r="F1927" t="s">
        <v>64</v>
      </c>
      <c r="G1927" t="s">
        <v>33</v>
      </c>
      <c r="H1927" t="s">
        <v>69</v>
      </c>
      <c r="I1927">
        <v>3</v>
      </c>
      <c r="J1927" s="3">
        <v>109.54</v>
      </c>
      <c r="K1927" s="2">
        <v>0.05</v>
      </c>
      <c r="L1927" s="3">
        <v>312.19</v>
      </c>
      <c r="M1927" s="3">
        <v>71.739999999999995</v>
      </c>
      <c r="N1927" t="s">
        <v>35</v>
      </c>
      <c r="O1927" s="3"/>
      <c r="P1927" s="3"/>
    </row>
    <row r="1928" spans="1:16" x14ac:dyDescent="0.3">
      <c r="A1928" t="s">
        <v>3350</v>
      </c>
      <c r="B1928" s="9" t="s">
        <v>558</v>
      </c>
      <c r="C1928" s="20" t="str">
        <f t="shared" si="30"/>
        <v>Sep</v>
      </c>
      <c r="D1928" t="s">
        <v>2901</v>
      </c>
      <c r="E1928" s="10" t="s">
        <v>2078</v>
      </c>
      <c r="F1928" t="s">
        <v>17</v>
      </c>
      <c r="G1928" t="s">
        <v>33</v>
      </c>
      <c r="H1928" t="s">
        <v>50</v>
      </c>
      <c r="I1928">
        <v>5</v>
      </c>
      <c r="J1928" s="3">
        <v>154.72999999999999</v>
      </c>
      <c r="K1928" s="2">
        <v>0.05</v>
      </c>
      <c r="L1928" s="3">
        <v>734.97</v>
      </c>
      <c r="M1928" s="3">
        <v>195.74</v>
      </c>
      <c r="N1928" t="s">
        <v>20</v>
      </c>
      <c r="O1928" s="3"/>
      <c r="P1928" s="3"/>
    </row>
    <row r="1929" spans="1:16" x14ac:dyDescent="0.3">
      <c r="A1929" t="s">
        <v>3351</v>
      </c>
      <c r="B1929" s="9" t="s">
        <v>1997</v>
      </c>
      <c r="C1929" s="20" t="str">
        <f t="shared" si="30"/>
        <v>Sep</v>
      </c>
      <c r="D1929" t="s">
        <v>97</v>
      </c>
      <c r="E1929" s="10" t="s">
        <v>1139</v>
      </c>
      <c r="F1929" t="s">
        <v>17</v>
      </c>
      <c r="G1929" t="s">
        <v>26</v>
      </c>
      <c r="H1929" t="s">
        <v>27</v>
      </c>
      <c r="I1929">
        <v>2</v>
      </c>
      <c r="J1929" s="3">
        <v>123.96</v>
      </c>
      <c r="K1929" s="2">
        <v>0.1</v>
      </c>
      <c r="L1929" s="3">
        <v>223.13</v>
      </c>
      <c r="M1929" s="3">
        <v>50.97</v>
      </c>
      <c r="N1929" t="s">
        <v>35</v>
      </c>
      <c r="O1929" s="3"/>
      <c r="P1929" s="3"/>
    </row>
    <row r="1930" spans="1:16" x14ac:dyDescent="0.3">
      <c r="A1930" t="s">
        <v>3352</v>
      </c>
      <c r="B1930" s="9" t="s">
        <v>188</v>
      </c>
      <c r="C1930" s="20" t="str">
        <f t="shared" si="30"/>
        <v>Feb</v>
      </c>
      <c r="D1930" t="s">
        <v>1255</v>
      </c>
      <c r="E1930" s="10" t="s">
        <v>1669</v>
      </c>
      <c r="F1930" t="s">
        <v>64</v>
      </c>
      <c r="G1930" t="s">
        <v>33</v>
      </c>
      <c r="H1930" t="s">
        <v>50</v>
      </c>
      <c r="I1930">
        <v>1</v>
      </c>
      <c r="J1930" s="3">
        <v>241.09</v>
      </c>
      <c r="K1930" s="2">
        <v>0.1</v>
      </c>
      <c r="L1930" s="3">
        <v>216.98</v>
      </c>
      <c r="M1930" s="3">
        <v>18.989999999999998</v>
      </c>
      <c r="N1930" t="s">
        <v>40</v>
      </c>
      <c r="O1930" s="3"/>
      <c r="P1930" s="3"/>
    </row>
    <row r="1931" spans="1:16" x14ac:dyDescent="0.3">
      <c r="A1931" t="s">
        <v>3353</v>
      </c>
      <c r="B1931" s="9" t="s">
        <v>345</v>
      </c>
      <c r="C1931" s="20" t="str">
        <f t="shared" si="30"/>
        <v>Apr</v>
      </c>
      <c r="D1931" t="s">
        <v>1327</v>
      </c>
      <c r="E1931" s="10" t="s">
        <v>1354</v>
      </c>
      <c r="F1931" t="s">
        <v>17</v>
      </c>
      <c r="G1931" t="s">
        <v>26</v>
      </c>
      <c r="H1931" t="s">
        <v>118</v>
      </c>
      <c r="I1931">
        <v>8</v>
      </c>
      <c r="J1931" s="3">
        <v>51.31</v>
      </c>
      <c r="K1931" s="2">
        <v>0.05</v>
      </c>
      <c r="L1931" s="3">
        <v>389.96</v>
      </c>
      <c r="M1931" s="3">
        <v>35.840000000000003</v>
      </c>
      <c r="N1931" t="s">
        <v>20</v>
      </c>
      <c r="O1931" s="3"/>
      <c r="P1931" s="3"/>
    </row>
    <row r="1932" spans="1:16" x14ac:dyDescent="0.3">
      <c r="A1932" t="s">
        <v>3354</v>
      </c>
      <c r="B1932" s="9" t="s">
        <v>1684</v>
      </c>
      <c r="C1932" s="20" t="str">
        <f t="shared" si="30"/>
        <v>Nov</v>
      </c>
      <c r="D1932" t="s">
        <v>1288</v>
      </c>
      <c r="E1932" s="10" t="s">
        <v>1442</v>
      </c>
      <c r="F1932" t="s">
        <v>17</v>
      </c>
      <c r="G1932" t="s">
        <v>26</v>
      </c>
      <c r="H1932" t="s">
        <v>118</v>
      </c>
      <c r="I1932">
        <v>1</v>
      </c>
      <c r="J1932" s="3">
        <v>119.3</v>
      </c>
      <c r="K1932" s="2">
        <v>0.15</v>
      </c>
      <c r="L1932" s="3">
        <v>101.41</v>
      </c>
      <c r="M1932" s="3">
        <v>27.75</v>
      </c>
      <c r="N1932" t="s">
        <v>20</v>
      </c>
      <c r="O1932" s="3"/>
      <c r="P1932" s="3"/>
    </row>
    <row r="1933" spans="1:16" x14ac:dyDescent="0.3">
      <c r="A1933" t="s">
        <v>3357</v>
      </c>
      <c r="B1933" s="9" t="s">
        <v>1280</v>
      </c>
      <c r="C1933" s="20" t="str">
        <f t="shared" si="30"/>
        <v>Apr</v>
      </c>
      <c r="D1933" t="s">
        <v>565</v>
      </c>
      <c r="E1933" s="10" t="s">
        <v>2074</v>
      </c>
      <c r="F1933" t="s">
        <v>25</v>
      </c>
      <c r="G1933" t="s">
        <v>89</v>
      </c>
      <c r="H1933" t="s">
        <v>90</v>
      </c>
      <c r="I1933">
        <v>5</v>
      </c>
      <c r="J1933" s="3">
        <v>85.88</v>
      </c>
      <c r="K1933" s="2">
        <v>0.05</v>
      </c>
      <c r="L1933" s="3">
        <v>407.93</v>
      </c>
      <c r="M1933" s="3">
        <v>75.73</v>
      </c>
      <c r="N1933" t="s">
        <v>40</v>
      </c>
      <c r="O1933" s="3"/>
      <c r="P1933" s="3"/>
    </row>
    <row r="1934" spans="1:16" x14ac:dyDescent="0.3">
      <c r="A1934" t="s">
        <v>3358</v>
      </c>
      <c r="B1934" s="9" t="s">
        <v>1159</v>
      </c>
      <c r="C1934" s="20" t="str">
        <f t="shared" si="30"/>
        <v>Aug</v>
      </c>
      <c r="D1934" t="s">
        <v>1679</v>
      </c>
      <c r="E1934" s="10" t="s">
        <v>122</v>
      </c>
      <c r="F1934" t="s">
        <v>17</v>
      </c>
      <c r="G1934" t="s">
        <v>18</v>
      </c>
      <c r="H1934" t="s">
        <v>19</v>
      </c>
      <c r="I1934">
        <v>1</v>
      </c>
      <c r="J1934" s="3">
        <v>205.91</v>
      </c>
      <c r="K1934" s="2">
        <v>0.1</v>
      </c>
      <c r="L1934" s="3">
        <v>185.32</v>
      </c>
      <c r="M1934" s="3">
        <v>38.700000000000003</v>
      </c>
      <c r="N1934" t="s">
        <v>40</v>
      </c>
      <c r="O1934" s="3"/>
      <c r="P1934" s="3"/>
    </row>
    <row r="1935" spans="1:16" x14ac:dyDescent="0.3">
      <c r="A1935" t="s">
        <v>3359</v>
      </c>
      <c r="B1935" s="9" t="s">
        <v>1805</v>
      </c>
      <c r="C1935" s="20" t="str">
        <f t="shared" si="30"/>
        <v>May</v>
      </c>
      <c r="D1935" t="s">
        <v>1635</v>
      </c>
      <c r="E1935" s="10" t="s">
        <v>273</v>
      </c>
      <c r="F1935" t="s">
        <v>17</v>
      </c>
      <c r="G1935" t="s">
        <v>26</v>
      </c>
      <c r="H1935" t="s">
        <v>118</v>
      </c>
      <c r="I1935">
        <v>2</v>
      </c>
      <c r="J1935" s="3">
        <v>236.56</v>
      </c>
      <c r="K1935" s="2">
        <v>0</v>
      </c>
      <c r="L1935" s="3">
        <v>473.12</v>
      </c>
      <c r="M1935" s="3">
        <v>49.54</v>
      </c>
      <c r="N1935" t="s">
        <v>20</v>
      </c>
      <c r="O1935" s="3"/>
      <c r="P1935" s="3"/>
    </row>
    <row r="1936" spans="1:16" x14ac:dyDescent="0.3">
      <c r="A1936" t="s">
        <v>3360</v>
      </c>
      <c r="B1936" s="9" t="s">
        <v>489</v>
      </c>
      <c r="C1936" s="20" t="str">
        <f t="shared" si="30"/>
        <v>Mar</v>
      </c>
      <c r="D1936" t="s">
        <v>941</v>
      </c>
      <c r="E1936" s="10" t="s">
        <v>552</v>
      </c>
      <c r="F1936" t="s">
        <v>64</v>
      </c>
      <c r="G1936" t="s">
        <v>33</v>
      </c>
      <c r="H1936" t="s">
        <v>74</v>
      </c>
      <c r="I1936">
        <v>2</v>
      </c>
      <c r="J1936" s="3">
        <v>225.17</v>
      </c>
      <c r="K1936" s="2">
        <v>0.05</v>
      </c>
      <c r="L1936" s="3">
        <v>427.82</v>
      </c>
      <c r="M1936" s="3">
        <v>51.14</v>
      </c>
      <c r="N1936" t="s">
        <v>40</v>
      </c>
      <c r="O1936" s="3"/>
      <c r="P1936" s="3"/>
    </row>
    <row r="1937" spans="1:16" x14ac:dyDescent="0.3">
      <c r="A1937" t="s">
        <v>3361</v>
      </c>
      <c r="B1937" s="9" t="s">
        <v>1547</v>
      </c>
      <c r="C1937" s="20" t="str">
        <f t="shared" si="30"/>
        <v>Aug</v>
      </c>
      <c r="D1937" t="s">
        <v>448</v>
      </c>
      <c r="E1937" s="10" t="s">
        <v>2971</v>
      </c>
      <c r="F1937" t="s">
        <v>25</v>
      </c>
      <c r="G1937" t="s">
        <v>89</v>
      </c>
      <c r="H1937" t="s">
        <v>150</v>
      </c>
      <c r="I1937">
        <v>2</v>
      </c>
      <c r="J1937" s="3">
        <v>204.84</v>
      </c>
      <c r="K1937" s="2">
        <v>0</v>
      </c>
      <c r="L1937" s="3">
        <v>409.68</v>
      </c>
      <c r="M1937" s="3">
        <v>111.71</v>
      </c>
      <c r="N1937" t="s">
        <v>20</v>
      </c>
      <c r="O1937" s="3"/>
      <c r="P1937" s="3"/>
    </row>
    <row r="1938" spans="1:16" x14ac:dyDescent="0.3">
      <c r="A1938" t="s">
        <v>3362</v>
      </c>
      <c r="B1938" s="9" t="s">
        <v>523</v>
      </c>
      <c r="C1938" s="20" t="str">
        <f t="shared" si="30"/>
        <v>Dec</v>
      </c>
      <c r="D1938" t="s">
        <v>3134</v>
      </c>
      <c r="E1938" s="10" t="s">
        <v>83</v>
      </c>
      <c r="F1938" t="s">
        <v>32</v>
      </c>
      <c r="G1938" t="s">
        <v>18</v>
      </c>
      <c r="H1938" t="s">
        <v>45</v>
      </c>
      <c r="I1938">
        <v>7</v>
      </c>
      <c r="J1938" s="3">
        <v>199.86</v>
      </c>
      <c r="K1938" s="2">
        <v>0.05</v>
      </c>
      <c r="L1938" s="3">
        <v>1329.07</v>
      </c>
      <c r="M1938" s="3">
        <v>148.66999999999999</v>
      </c>
      <c r="N1938" t="s">
        <v>40</v>
      </c>
      <c r="O1938" s="3"/>
      <c r="P1938" s="3"/>
    </row>
    <row r="1939" spans="1:16" x14ac:dyDescent="0.3">
      <c r="A1939" t="s">
        <v>3363</v>
      </c>
      <c r="B1939" s="9" t="s">
        <v>313</v>
      </c>
      <c r="C1939" s="20" t="str">
        <f t="shared" si="30"/>
        <v>Aug</v>
      </c>
      <c r="D1939" t="s">
        <v>1993</v>
      </c>
      <c r="E1939" s="10" t="s">
        <v>2295</v>
      </c>
      <c r="F1939" t="s">
        <v>64</v>
      </c>
      <c r="G1939" t="s">
        <v>26</v>
      </c>
      <c r="H1939" t="s">
        <v>27</v>
      </c>
      <c r="I1939">
        <v>4</v>
      </c>
      <c r="J1939" s="3">
        <v>72.209999999999994</v>
      </c>
      <c r="K1939" s="2">
        <v>0.1</v>
      </c>
      <c r="L1939" s="3">
        <v>259.95999999999998</v>
      </c>
      <c r="M1939" s="3">
        <v>38.72</v>
      </c>
      <c r="N1939" t="s">
        <v>20</v>
      </c>
      <c r="O1939" s="3"/>
      <c r="P1939" s="3"/>
    </row>
    <row r="1940" spans="1:16" x14ac:dyDescent="0.3">
      <c r="A1940" t="s">
        <v>3364</v>
      </c>
      <c r="B1940" s="9" t="s">
        <v>856</v>
      </c>
      <c r="C1940" s="20" t="str">
        <f t="shared" si="30"/>
        <v>Jun</v>
      </c>
      <c r="D1940" t="s">
        <v>1166</v>
      </c>
      <c r="E1940" s="10" t="s">
        <v>182</v>
      </c>
      <c r="F1940" t="s">
        <v>59</v>
      </c>
      <c r="G1940" t="s">
        <v>18</v>
      </c>
      <c r="H1940" t="s">
        <v>19</v>
      </c>
      <c r="I1940">
        <v>4</v>
      </c>
      <c r="J1940" s="3">
        <v>91.44</v>
      </c>
      <c r="K1940" s="2">
        <v>0.15</v>
      </c>
      <c r="L1940" s="3">
        <v>310.89999999999998</v>
      </c>
      <c r="M1940" s="3">
        <v>45.22</v>
      </c>
      <c r="N1940" t="s">
        <v>35</v>
      </c>
      <c r="O1940" s="3"/>
      <c r="P1940" s="3"/>
    </row>
    <row r="1941" spans="1:16" x14ac:dyDescent="0.3">
      <c r="A1941" t="s">
        <v>3365</v>
      </c>
      <c r="B1941" s="9" t="s">
        <v>278</v>
      </c>
      <c r="C1941" s="20" t="str">
        <f t="shared" si="30"/>
        <v>Jul</v>
      </c>
      <c r="D1941" t="s">
        <v>1451</v>
      </c>
      <c r="E1941" s="10" t="s">
        <v>98</v>
      </c>
      <c r="F1941" t="s">
        <v>25</v>
      </c>
      <c r="G1941" t="s">
        <v>26</v>
      </c>
      <c r="H1941" t="s">
        <v>27</v>
      </c>
      <c r="I1941">
        <v>2</v>
      </c>
      <c r="J1941" s="3">
        <v>212.77</v>
      </c>
      <c r="K1941" s="2">
        <v>0.1</v>
      </c>
      <c r="L1941" s="3">
        <v>382.99</v>
      </c>
      <c r="M1941" s="3">
        <v>99.39</v>
      </c>
      <c r="N1941" t="s">
        <v>40</v>
      </c>
      <c r="O1941" s="3"/>
      <c r="P1941" s="3"/>
    </row>
    <row r="1942" spans="1:16" x14ac:dyDescent="0.3">
      <c r="A1942" t="s">
        <v>3366</v>
      </c>
      <c r="B1942" s="9" t="s">
        <v>203</v>
      </c>
      <c r="C1942" s="20" t="str">
        <f t="shared" si="30"/>
        <v>Sep</v>
      </c>
      <c r="D1942" t="s">
        <v>614</v>
      </c>
      <c r="E1942" s="10" t="s">
        <v>688</v>
      </c>
      <c r="F1942" t="s">
        <v>32</v>
      </c>
      <c r="G1942" t="s">
        <v>18</v>
      </c>
      <c r="H1942" t="s">
        <v>45</v>
      </c>
      <c r="I1942">
        <v>4</v>
      </c>
      <c r="J1942" s="3">
        <v>22.58</v>
      </c>
      <c r="K1942" s="2">
        <v>0.05</v>
      </c>
      <c r="L1942" s="3">
        <v>85.8</v>
      </c>
      <c r="M1942" s="3">
        <v>12.94</v>
      </c>
      <c r="N1942" t="s">
        <v>20</v>
      </c>
      <c r="O1942" s="3"/>
      <c r="P1942" s="3"/>
    </row>
    <row r="1943" spans="1:16" x14ac:dyDescent="0.3">
      <c r="A1943" t="s">
        <v>3367</v>
      </c>
      <c r="B1943" s="9" t="s">
        <v>327</v>
      </c>
      <c r="C1943" s="20" t="str">
        <f t="shared" si="30"/>
        <v>Sep</v>
      </c>
      <c r="D1943" t="s">
        <v>1268</v>
      </c>
      <c r="E1943" s="10" t="s">
        <v>1137</v>
      </c>
      <c r="F1943" t="s">
        <v>64</v>
      </c>
      <c r="G1943" t="s">
        <v>89</v>
      </c>
      <c r="H1943" t="s">
        <v>131</v>
      </c>
      <c r="I1943">
        <v>6</v>
      </c>
      <c r="J1943" s="3">
        <v>22.11</v>
      </c>
      <c r="K1943" s="2">
        <v>0.15</v>
      </c>
      <c r="L1943" s="3">
        <v>112.76</v>
      </c>
      <c r="M1943" s="3">
        <v>32.51</v>
      </c>
      <c r="N1943" t="s">
        <v>20</v>
      </c>
      <c r="O1943" s="3"/>
      <c r="P1943" s="3"/>
    </row>
    <row r="1944" spans="1:16" x14ac:dyDescent="0.3">
      <c r="A1944" t="s">
        <v>3368</v>
      </c>
      <c r="B1944" s="9" t="s">
        <v>1098</v>
      </c>
      <c r="C1944" s="20" t="str">
        <f t="shared" si="30"/>
        <v>Nov</v>
      </c>
      <c r="D1944" t="s">
        <v>846</v>
      </c>
      <c r="E1944" s="10" t="s">
        <v>780</v>
      </c>
      <c r="F1944" t="s">
        <v>64</v>
      </c>
      <c r="G1944" t="s">
        <v>33</v>
      </c>
      <c r="H1944" t="s">
        <v>74</v>
      </c>
      <c r="I1944">
        <v>5</v>
      </c>
      <c r="J1944" s="3">
        <v>87.21</v>
      </c>
      <c r="K1944" s="2">
        <v>0.15</v>
      </c>
      <c r="L1944" s="3">
        <v>370.64</v>
      </c>
      <c r="M1944" s="3">
        <v>61.91</v>
      </c>
      <c r="N1944" t="s">
        <v>20</v>
      </c>
      <c r="O1944" s="3"/>
      <c r="P1944" s="3"/>
    </row>
    <row r="1945" spans="1:16" x14ac:dyDescent="0.3">
      <c r="A1945" t="s">
        <v>3369</v>
      </c>
      <c r="B1945" s="9" t="s">
        <v>1118</v>
      </c>
      <c r="C1945" s="20" t="str">
        <f t="shared" si="30"/>
        <v>Feb</v>
      </c>
      <c r="D1945" t="s">
        <v>580</v>
      </c>
      <c r="E1945" s="10" t="s">
        <v>588</v>
      </c>
      <c r="F1945" t="s">
        <v>64</v>
      </c>
      <c r="G1945" t="s">
        <v>26</v>
      </c>
      <c r="H1945" t="s">
        <v>84</v>
      </c>
      <c r="I1945">
        <v>7</v>
      </c>
      <c r="J1945" s="3">
        <v>204.94</v>
      </c>
      <c r="K1945" s="2">
        <v>0.15</v>
      </c>
      <c r="L1945" s="3">
        <v>1219.3900000000001</v>
      </c>
      <c r="M1945" s="3">
        <v>326.25</v>
      </c>
      <c r="N1945" t="s">
        <v>20</v>
      </c>
      <c r="O1945" s="3"/>
      <c r="P1945" s="3"/>
    </row>
    <row r="1946" spans="1:16" x14ac:dyDescent="0.3">
      <c r="A1946" t="s">
        <v>3370</v>
      </c>
      <c r="B1946" s="9" t="s">
        <v>1696</v>
      </c>
      <c r="C1946" s="20" t="str">
        <f t="shared" si="30"/>
        <v>Jun</v>
      </c>
      <c r="D1946" t="s">
        <v>2183</v>
      </c>
      <c r="E1946" s="10" t="s">
        <v>1142</v>
      </c>
      <c r="F1946" t="s">
        <v>59</v>
      </c>
      <c r="G1946" t="s">
        <v>89</v>
      </c>
      <c r="H1946" t="s">
        <v>90</v>
      </c>
      <c r="I1946">
        <v>4</v>
      </c>
      <c r="J1946" s="3">
        <v>114.49</v>
      </c>
      <c r="K1946" s="2">
        <v>0.15</v>
      </c>
      <c r="L1946" s="3">
        <v>389.27</v>
      </c>
      <c r="M1946" s="3">
        <v>85.15</v>
      </c>
      <c r="N1946" t="s">
        <v>35</v>
      </c>
      <c r="O1946" s="3"/>
      <c r="P1946" s="3"/>
    </row>
    <row r="1947" spans="1:16" x14ac:dyDescent="0.3">
      <c r="A1947" t="s">
        <v>3371</v>
      </c>
      <c r="B1947" s="9" t="s">
        <v>558</v>
      </c>
      <c r="C1947" s="20" t="str">
        <f t="shared" si="30"/>
        <v>Sep</v>
      </c>
      <c r="D1947" t="s">
        <v>424</v>
      </c>
      <c r="E1947" s="10" t="s">
        <v>695</v>
      </c>
      <c r="F1947" t="s">
        <v>64</v>
      </c>
      <c r="G1947" t="s">
        <v>33</v>
      </c>
      <c r="H1947" t="s">
        <v>69</v>
      </c>
      <c r="I1947">
        <v>8</v>
      </c>
      <c r="J1947" s="3">
        <v>141.72</v>
      </c>
      <c r="K1947" s="2">
        <v>0.1</v>
      </c>
      <c r="L1947" s="3">
        <v>1020.38</v>
      </c>
      <c r="M1947" s="3">
        <v>151.85</v>
      </c>
      <c r="N1947" t="s">
        <v>20</v>
      </c>
      <c r="O1947" s="3"/>
      <c r="P1947" s="3"/>
    </row>
    <row r="1948" spans="1:16" x14ac:dyDescent="0.3">
      <c r="A1948" t="s">
        <v>3372</v>
      </c>
      <c r="B1948" s="9" t="s">
        <v>1198</v>
      </c>
      <c r="C1948" s="20" t="str">
        <f t="shared" si="30"/>
        <v>Jul</v>
      </c>
      <c r="D1948" t="s">
        <v>1406</v>
      </c>
      <c r="E1948" s="10" t="s">
        <v>2118</v>
      </c>
      <c r="F1948" t="s">
        <v>64</v>
      </c>
      <c r="G1948" t="s">
        <v>89</v>
      </c>
      <c r="H1948" t="s">
        <v>150</v>
      </c>
      <c r="I1948">
        <v>6</v>
      </c>
      <c r="J1948" s="3">
        <v>87.96</v>
      </c>
      <c r="K1948" s="2">
        <v>0</v>
      </c>
      <c r="L1948" s="3">
        <v>527.76</v>
      </c>
      <c r="M1948" s="3">
        <v>154.09</v>
      </c>
      <c r="N1948" t="s">
        <v>20</v>
      </c>
      <c r="O1948" s="3"/>
      <c r="P1948" s="3"/>
    </row>
    <row r="1949" spans="1:16" x14ac:dyDescent="0.3">
      <c r="A1949" t="s">
        <v>3373</v>
      </c>
      <c r="B1949" s="9" t="s">
        <v>111</v>
      </c>
      <c r="C1949" s="20" t="str">
        <f t="shared" si="30"/>
        <v>Apr</v>
      </c>
      <c r="D1949" t="s">
        <v>1110</v>
      </c>
      <c r="E1949" s="10" t="s">
        <v>508</v>
      </c>
      <c r="F1949" t="s">
        <v>59</v>
      </c>
      <c r="G1949" t="s">
        <v>33</v>
      </c>
      <c r="H1949" t="s">
        <v>74</v>
      </c>
      <c r="I1949">
        <v>8</v>
      </c>
      <c r="J1949" s="3">
        <v>22.85</v>
      </c>
      <c r="K1949" s="2">
        <v>0</v>
      </c>
      <c r="L1949" s="3">
        <v>182.8</v>
      </c>
      <c r="M1949" s="3">
        <v>42.39</v>
      </c>
      <c r="N1949" t="s">
        <v>20</v>
      </c>
      <c r="O1949" s="3"/>
      <c r="P1949" s="3"/>
    </row>
    <row r="1950" spans="1:16" x14ac:dyDescent="0.3">
      <c r="A1950" t="s">
        <v>3374</v>
      </c>
      <c r="B1950" s="9" t="s">
        <v>760</v>
      </c>
      <c r="C1950" s="20" t="str">
        <f t="shared" si="30"/>
        <v>Dec</v>
      </c>
      <c r="D1950" t="s">
        <v>1395</v>
      </c>
      <c r="E1950" s="10" t="s">
        <v>1647</v>
      </c>
      <c r="F1950" t="s">
        <v>25</v>
      </c>
      <c r="G1950" t="s">
        <v>33</v>
      </c>
      <c r="H1950" t="s">
        <v>74</v>
      </c>
      <c r="I1950">
        <v>5</v>
      </c>
      <c r="J1950" s="3">
        <v>66.44</v>
      </c>
      <c r="K1950" s="2">
        <v>0.15</v>
      </c>
      <c r="L1950" s="3">
        <v>282.37</v>
      </c>
      <c r="M1950" s="3">
        <v>74.88</v>
      </c>
      <c r="N1950" t="s">
        <v>40</v>
      </c>
      <c r="O1950" s="3"/>
      <c r="P1950" s="3"/>
    </row>
    <row r="1951" spans="1:16" x14ac:dyDescent="0.3">
      <c r="A1951" t="s">
        <v>3375</v>
      </c>
      <c r="B1951" s="9" t="s">
        <v>1190</v>
      </c>
      <c r="C1951" s="20" t="str">
        <f t="shared" si="30"/>
        <v>Feb</v>
      </c>
      <c r="D1951" t="s">
        <v>1329</v>
      </c>
      <c r="E1951" s="10" t="s">
        <v>135</v>
      </c>
      <c r="F1951" t="s">
        <v>64</v>
      </c>
      <c r="G1951" t="s">
        <v>18</v>
      </c>
      <c r="H1951" t="s">
        <v>45</v>
      </c>
      <c r="I1951">
        <v>5</v>
      </c>
      <c r="J1951" s="3">
        <v>206.08</v>
      </c>
      <c r="K1951" s="2">
        <v>0.1</v>
      </c>
      <c r="L1951" s="3">
        <v>927.36</v>
      </c>
      <c r="M1951" s="3">
        <v>213.97</v>
      </c>
      <c r="N1951" t="s">
        <v>40</v>
      </c>
      <c r="O1951" s="3"/>
      <c r="P1951" s="3"/>
    </row>
    <row r="1952" spans="1:16" x14ac:dyDescent="0.3">
      <c r="A1952" t="s">
        <v>3376</v>
      </c>
      <c r="B1952" s="9" t="s">
        <v>671</v>
      </c>
      <c r="C1952" s="20" t="str">
        <f t="shared" si="30"/>
        <v>Aug</v>
      </c>
      <c r="D1952" t="s">
        <v>465</v>
      </c>
      <c r="E1952" s="10" t="s">
        <v>1689</v>
      </c>
      <c r="F1952" t="s">
        <v>25</v>
      </c>
      <c r="G1952" t="s">
        <v>18</v>
      </c>
      <c r="H1952" t="s">
        <v>19</v>
      </c>
      <c r="I1952">
        <v>3</v>
      </c>
      <c r="J1952" s="3">
        <v>180.71</v>
      </c>
      <c r="K1952" s="2">
        <v>0.05</v>
      </c>
      <c r="L1952" s="3">
        <v>515.02</v>
      </c>
      <c r="M1952" s="3">
        <v>109.19</v>
      </c>
      <c r="N1952" t="s">
        <v>40</v>
      </c>
      <c r="O1952" s="3"/>
      <c r="P1952" s="3"/>
    </row>
    <row r="1953" spans="1:16" x14ac:dyDescent="0.3">
      <c r="A1953" t="s">
        <v>3377</v>
      </c>
      <c r="B1953" s="9" t="s">
        <v>163</v>
      </c>
      <c r="C1953" s="20" t="str">
        <f t="shared" si="30"/>
        <v>Nov</v>
      </c>
      <c r="D1953" t="s">
        <v>953</v>
      </c>
      <c r="E1953" s="10" t="s">
        <v>1027</v>
      </c>
      <c r="F1953" t="s">
        <v>17</v>
      </c>
      <c r="G1953" t="s">
        <v>26</v>
      </c>
      <c r="H1953" t="s">
        <v>27</v>
      </c>
      <c r="I1953">
        <v>5</v>
      </c>
      <c r="J1953" s="3">
        <v>89.17</v>
      </c>
      <c r="K1953" s="2">
        <v>0.15</v>
      </c>
      <c r="L1953" s="3">
        <v>378.97</v>
      </c>
      <c r="M1953" s="3">
        <v>78.97</v>
      </c>
      <c r="N1953" t="s">
        <v>20</v>
      </c>
      <c r="O1953" s="3"/>
      <c r="P1953" s="3"/>
    </row>
    <row r="1954" spans="1:16" x14ac:dyDescent="0.3">
      <c r="A1954" t="s">
        <v>3378</v>
      </c>
      <c r="B1954" s="9" t="s">
        <v>450</v>
      </c>
      <c r="C1954" s="20" t="str">
        <f t="shared" si="30"/>
        <v>Sep</v>
      </c>
      <c r="D1954" t="s">
        <v>3288</v>
      </c>
      <c r="E1954" s="10" t="s">
        <v>1560</v>
      </c>
      <c r="F1954" t="s">
        <v>32</v>
      </c>
      <c r="G1954" t="s">
        <v>33</v>
      </c>
      <c r="H1954" t="s">
        <v>69</v>
      </c>
      <c r="I1954">
        <v>8</v>
      </c>
      <c r="J1954" s="3">
        <v>246.11</v>
      </c>
      <c r="K1954" s="2">
        <v>0.15</v>
      </c>
      <c r="L1954" s="3">
        <v>1673.55</v>
      </c>
      <c r="M1954" s="3">
        <v>318.3</v>
      </c>
      <c r="N1954" t="s">
        <v>20</v>
      </c>
      <c r="O1954" s="3"/>
      <c r="P1954" s="3"/>
    </row>
    <row r="1955" spans="1:16" x14ac:dyDescent="0.3">
      <c r="A1955" t="s">
        <v>3379</v>
      </c>
      <c r="B1955" s="9" t="s">
        <v>432</v>
      </c>
      <c r="C1955" s="20" t="str">
        <f t="shared" si="30"/>
        <v>Jul</v>
      </c>
      <c r="D1955" t="s">
        <v>1926</v>
      </c>
      <c r="E1955" s="10" t="s">
        <v>528</v>
      </c>
      <c r="F1955" t="s">
        <v>25</v>
      </c>
      <c r="G1955" t="s">
        <v>26</v>
      </c>
      <c r="H1955" t="s">
        <v>118</v>
      </c>
      <c r="I1955">
        <v>1</v>
      </c>
      <c r="J1955" s="3">
        <v>230.71</v>
      </c>
      <c r="K1955" s="2">
        <v>0.15</v>
      </c>
      <c r="L1955" s="3">
        <v>196.1</v>
      </c>
      <c r="M1955" s="3">
        <v>38.33</v>
      </c>
      <c r="N1955" t="s">
        <v>20</v>
      </c>
      <c r="O1955" s="3"/>
      <c r="P1955" s="3"/>
    </row>
    <row r="1956" spans="1:16" x14ac:dyDescent="0.3">
      <c r="A1956" t="s">
        <v>3380</v>
      </c>
      <c r="B1956" s="9" t="s">
        <v>1557</v>
      </c>
      <c r="C1956" s="20" t="str">
        <f t="shared" si="30"/>
        <v>Jun</v>
      </c>
      <c r="D1956" t="s">
        <v>1515</v>
      </c>
      <c r="E1956" s="10" t="s">
        <v>394</v>
      </c>
      <c r="F1956" t="s">
        <v>17</v>
      </c>
      <c r="G1956" t="s">
        <v>18</v>
      </c>
      <c r="H1956" t="s">
        <v>79</v>
      </c>
      <c r="I1956">
        <v>8</v>
      </c>
      <c r="J1956" s="3">
        <v>43.02</v>
      </c>
      <c r="K1956" s="2">
        <v>0.15</v>
      </c>
      <c r="L1956" s="3">
        <v>292.54000000000002</v>
      </c>
      <c r="M1956" s="3">
        <v>83.27</v>
      </c>
      <c r="N1956" t="s">
        <v>35</v>
      </c>
      <c r="O1956" s="3"/>
      <c r="P1956" s="3"/>
    </row>
    <row r="1957" spans="1:16" x14ac:dyDescent="0.3">
      <c r="A1957" t="s">
        <v>3381</v>
      </c>
      <c r="B1957" s="9" t="s">
        <v>1896</v>
      </c>
      <c r="C1957" s="20" t="str">
        <f t="shared" si="30"/>
        <v>Jun</v>
      </c>
      <c r="D1957" t="s">
        <v>314</v>
      </c>
      <c r="E1957" s="10" t="s">
        <v>848</v>
      </c>
      <c r="F1957" t="s">
        <v>64</v>
      </c>
      <c r="G1957" t="s">
        <v>89</v>
      </c>
      <c r="H1957" t="s">
        <v>90</v>
      </c>
      <c r="I1957">
        <v>6</v>
      </c>
      <c r="J1957" s="3">
        <v>243.12</v>
      </c>
      <c r="K1957" s="2">
        <v>0.1</v>
      </c>
      <c r="L1957" s="3">
        <v>1312.85</v>
      </c>
      <c r="M1957" s="3">
        <v>260.13</v>
      </c>
      <c r="N1957" t="s">
        <v>40</v>
      </c>
      <c r="O1957" s="3"/>
      <c r="P1957" s="3"/>
    </row>
    <row r="1958" spans="1:16" x14ac:dyDescent="0.3">
      <c r="A1958" t="s">
        <v>3382</v>
      </c>
      <c r="B1958" s="9" t="s">
        <v>1108</v>
      </c>
      <c r="C1958" s="20" t="str">
        <f t="shared" si="30"/>
        <v>Dec</v>
      </c>
      <c r="D1958" t="s">
        <v>1635</v>
      </c>
      <c r="E1958" s="10" t="s">
        <v>1884</v>
      </c>
      <c r="F1958" t="s">
        <v>25</v>
      </c>
      <c r="G1958" t="s">
        <v>26</v>
      </c>
      <c r="H1958" t="s">
        <v>84</v>
      </c>
      <c r="I1958">
        <v>5</v>
      </c>
      <c r="J1958" s="3">
        <v>209.82</v>
      </c>
      <c r="K1958" s="2">
        <v>0.05</v>
      </c>
      <c r="L1958" s="3">
        <v>996.64</v>
      </c>
      <c r="M1958" s="3">
        <v>216.37</v>
      </c>
      <c r="N1958" t="s">
        <v>40</v>
      </c>
      <c r="O1958" s="3"/>
      <c r="P1958" s="3"/>
    </row>
    <row r="1959" spans="1:16" x14ac:dyDescent="0.3">
      <c r="A1959" t="s">
        <v>3383</v>
      </c>
      <c r="B1959" s="9" t="s">
        <v>220</v>
      </c>
      <c r="C1959" s="20" t="str">
        <f t="shared" si="30"/>
        <v>Feb</v>
      </c>
      <c r="D1959" t="s">
        <v>1188</v>
      </c>
      <c r="E1959" s="10" t="s">
        <v>658</v>
      </c>
      <c r="F1959" t="s">
        <v>17</v>
      </c>
      <c r="G1959" t="s">
        <v>89</v>
      </c>
      <c r="H1959" t="s">
        <v>150</v>
      </c>
      <c r="I1959">
        <v>3</v>
      </c>
      <c r="J1959" s="3">
        <v>163.93</v>
      </c>
      <c r="K1959" s="2">
        <v>0.15</v>
      </c>
      <c r="L1959" s="3">
        <v>418.02</v>
      </c>
      <c r="M1959" s="3">
        <v>65.709999999999994</v>
      </c>
      <c r="N1959" t="s">
        <v>35</v>
      </c>
      <c r="O1959" s="3"/>
      <c r="P1959" s="3"/>
    </row>
    <row r="1960" spans="1:16" x14ac:dyDescent="0.3">
      <c r="A1960" t="s">
        <v>247</v>
      </c>
      <c r="B1960" s="9" t="s">
        <v>248</v>
      </c>
      <c r="C1960" s="20" t="str">
        <f t="shared" si="30"/>
        <v>Jan</v>
      </c>
      <c r="D1960" t="s">
        <v>249</v>
      </c>
      <c r="E1960" s="10" t="s">
        <v>250</v>
      </c>
      <c r="F1960" t="s">
        <v>25</v>
      </c>
      <c r="G1960" t="s">
        <v>33</v>
      </c>
      <c r="H1960" t="s">
        <v>69</v>
      </c>
      <c r="I1960">
        <v>3</v>
      </c>
      <c r="J1960" s="3">
        <v>115.79</v>
      </c>
      <c r="K1960" s="2">
        <v>0</v>
      </c>
      <c r="L1960" s="3">
        <v>347.37</v>
      </c>
      <c r="M1960" s="3">
        <v>76.63</v>
      </c>
      <c r="N1960" t="s">
        <v>35</v>
      </c>
      <c r="O1960" s="3"/>
      <c r="P1960" s="3"/>
    </row>
    <row r="1961" spans="1:16" x14ac:dyDescent="0.3">
      <c r="A1961" t="s">
        <v>308</v>
      </c>
      <c r="B1961" s="9" t="s">
        <v>309</v>
      </c>
      <c r="C1961" s="20" t="str">
        <f t="shared" si="30"/>
        <v>Feb</v>
      </c>
      <c r="D1961" t="s">
        <v>310</v>
      </c>
      <c r="E1961" s="10" t="s">
        <v>311</v>
      </c>
      <c r="F1961" t="s">
        <v>25</v>
      </c>
      <c r="G1961" t="s">
        <v>26</v>
      </c>
      <c r="H1961" t="s">
        <v>84</v>
      </c>
      <c r="I1961">
        <v>5</v>
      </c>
      <c r="J1961" s="3">
        <v>58.38</v>
      </c>
      <c r="K1961" s="2">
        <v>0</v>
      </c>
      <c r="L1961" s="3">
        <v>291.89999999999998</v>
      </c>
      <c r="M1961" s="3">
        <v>69.37</v>
      </c>
      <c r="N1961" t="s">
        <v>40</v>
      </c>
      <c r="O1961" s="3"/>
      <c r="P1961" s="3"/>
    </row>
    <row r="1962" spans="1:16" x14ac:dyDescent="0.3">
      <c r="A1962" t="s">
        <v>348</v>
      </c>
      <c r="B1962" s="9" t="s">
        <v>349</v>
      </c>
      <c r="C1962" s="20" t="str">
        <f t="shared" si="30"/>
        <v>May</v>
      </c>
      <c r="D1962" t="s">
        <v>350</v>
      </c>
      <c r="E1962" s="10" t="s">
        <v>351</v>
      </c>
      <c r="F1962" t="s">
        <v>17</v>
      </c>
      <c r="G1962" t="s">
        <v>26</v>
      </c>
      <c r="H1962" t="s">
        <v>27</v>
      </c>
      <c r="I1962">
        <v>3</v>
      </c>
      <c r="J1962" s="3">
        <v>141.80000000000001</v>
      </c>
      <c r="K1962" s="2">
        <v>0.15</v>
      </c>
      <c r="L1962" s="3">
        <v>361.59</v>
      </c>
      <c r="M1962" s="3">
        <v>99.98</v>
      </c>
      <c r="N1962" t="s">
        <v>40</v>
      </c>
      <c r="O1962" s="3"/>
      <c r="P1962" s="3"/>
    </row>
    <row r="1963" spans="1:16" x14ac:dyDescent="0.3">
      <c r="A1963" t="s">
        <v>435</v>
      </c>
      <c r="B1963" s="9" t="s">
        <v>416</v>
      </c>
      <c r="C1963" s="20" t="str">
        <f t="shared" si="30"/>
        <v>Nov</v>
      </c>
      <c r="D1963" t="s">
        <v>436</v>
      </c>
      <c r="E1963" s="10" t="s">
        <v>437</v>
      </c>
      <c r="F1963" t="s">
        <v>25</v>
      </c>
      <c r="G1963" t="s">
        <v>33</v>
      </c>
      <c r="H1963" t="s">
        <v>69</v>
      </c>
      <c r="I1963">
        <v>7</v>
      </c>
      <c r="J1963" s="3">
        <v>54.55</v>
      </c>
      <c r="K1963" s="2">
        <v>0.15</v>
      </c>
      <c r="L1963" s="3">
        <v>324.57</v>
      </c>
      <c r="M1963" s="3">
        <v>54.13</v>
      </c>
      <c r="N1963" t="s">
        <v>20</v>
      </c>
      <c r="O1963" s="3"/>
      <c r="P1963" s="3"/>
    </row>
    <row r="1964" spans="1:16" x14ac:dyDescent="0.3">
      <c r="A1964" t="s">
        <v>689</v>
      </c>
      <c r="B1964" s="9" t="s">
        <v>690</v>
      </c>
      <c r="C1964" s="20" t="str">
        <f t="shared" si="30"/>
        <v>Jul</v>
      </c>
      <c r="D1964" t="s">
        <v>691</v>
      </c>
      <c r="E1964" s="10" t="s">
        <v>692</v>
      </c>
      <c r="F1964" t="s">
        <v>25</v>
      </c>
      <c r="G1964" t="s">
        <v>18</v>
      </c>
      <c r="H1964" t="s">
        <v>45</v>
      </c>
      <c r="I1964">
        <v>6</v>
      </c>
      <c r="J1964" s="3">
        <v>198.68</v>
      </c>
      <c r="K1964" s="2">
        <v>0.1</v>
      </c>
      <c r="L1964" s="3">
        <v>1072.8699999999999</v>
      </c>
      <c r="M1964" s="3">
        <v>281.75</v>
      </c>
      <c r="N1964" t="s">
        <v>40</v>
      </c>
      <c r="O1964" s="3"/>
      <c r="P1964" s="3"/>
    </row>
    <row r="1965" spans="1:16" x14ac:dyDescent="0.3">
      <c r="A1965" t="s">
        <v>1028</v>
      </c>
      <c r="B1965" s="9" t="s">
        <v>1029</v>
      </c>
      <c r="C1965" s="20" t="str">
        <f t="shared" si="30"/>
        <v>Dec</v>
      </c>
      <c r="D1965" t="s">
        <v>1030</v>
      </c>
      <c r="E1965" s="10" t="s">
        <v>1031</v>
      </c>
      <c r="F1965" t="s">
        <v>64</v>
      </c>
      <c r="G1965" t="s">
        <v>33</v>
      </c>
      <c r="H1965" t="s">
        <v>50</v>
      </c>
      <c r="I1965">
        <v>1</v>
      </c>
      <c r="J1965" s="3">
        <v>147.68</v>
      </c>
      <c r="K1965" s="2">
        <v>0.05</v>
      </c>
      <c r="L1965" s="3">
        <v>140.30000000000001</v>
      </c>
      <c r="M1965" s="3">
        <v>27.31</v>
      </c>
      <c r="N1965" t="s">
        <v>40</v>
      </c>
      <c r="O1965" s="3"/>
      <c r="P1965" s="3"/>
    </row>
    <row r="1966" spans="1:16" x14ac:dyDescent="0.3">
      <c r="A1966" t="s">
        <v>1219</v>
      </c>
      <c r="B1966" s="9" t="s">
        <v>104</v>
      </c>
      <c r="C1966" s="20" t="str">
        <f t="shared" si="30"/>
        <v>May</v>
      </c>
      <c r="D1966" t="s">
        <v>1220</v>
      </c>
      <c r="E1966" s="10" t="s">
        <v>1221</v>
      </c>
      <c r="F1966" t="s">
        <v>25</v>
      </c>
      <c r="G1966" t="s">
        <v>18</v>
      </c>
      <c r="H1966" t="s">
        <v>19</v>
      </c>
      <c r="I1966">
        <v>5</v>
      </c>
      <c r="J1966" s="3">
        <v>109.18</v>
      </c>
      <c r="K1966" s="2">
        <v>0</v>
      </c>
      <c r="L1966" s="3">
        <v>545.9</v>
      </c>
      <c r="M1966" s="3">
        <v>93.97</v>
      </c>
      <c r="N1966" t="s">
        <v>20</v>
      </c>
      <c r="O1966" s="3"/>
      <c r="P1966" s="3"/>
    </row>
    <row r="1967" spans="1:16" x14ac:dyDescent="0.3">
      <c r="A1967" t="s">
        <v>1316</v>
      </c>
      <c r="B1967" s="9" t="s">
        <v>592</v>
      </c>
      <c r="C1967" s="20" t="str">
        <f t="shared" si="30"/>
        <v>Aug</v>
      </c>
      <c r="D1967" t="s">
        <v>215</v>
      </c>
      <c r="E1967" s="10" t="s">
        <v>1317</v>
      </c>
      <c r="F1967" t="s">
        <v>25</v>
      </c>
      <c r="G1967" t="s">
        <v>18</v>
      </c>
      <c r="H1967" t="s">
        <v>45</v>
      </c>
      <c r="I1967">
        <v>6</v>
      </c>
      <c r="J1967" s="3">
        <v>165.21</v>
      </c>
      <c r="K1967" s="2">
        <v>0</v>
      </c>
      <c r="L1967" s="3">
        <v>991.26</v>
      </c>
      <c r="M1967" s="3">
        <v>152.22999999999999</v>
      </c>
      <c r="N1967" t="s">
        <v>40</v>
      </c>
      <c r="O1967" s="3"/>
      <c r="P1967" s="3"/>
    </row>
    <row r="1968" spans="1:16" x14ac:dyDescent="0.3">
      <c r="A1968" t="s">
        <v>1380</v>
      </c>
      <c r="B1968" s="9" t="s">
        <v>1381</v>
      </c>
      <c r="C1968" s="20" t="str">
        <f t="shared" si="30"/>
        <v>May</v>
      </c>
      <c r="D1968" t="s">
        <v>1271</v>
      </c>
      <c r="E1968" s="10" t="s">
        <v>1382</v>
      </c>
      <c r="F1968" t="s">
        <v>64</v>
      </c>
      <c r="G1968" t="s">
        <v>33</v>
      </c>
      <c r="H1968" t="s">
        <v>50</v>
      </c>
      <c r="I1968">
        <v>2</v>
      </c>
      <c r="J1968" s="3">
        <v>213.06</v>
      </c>
      <c r="K1968" s="2">
        <v>0.15</v>
      </c>
      <c r="L1968" s="3">
        <v>362.2</v>
      </c>
      <c r="M1968" s="3">
        <v>50.75</v>
      </c>
      <c r="N1968" t="s">
        <v>40</v>
      </c>
      <c r="O1968" s="3"/>
      <c r="P1968" s="3"/>
    </row>
    <row r="1969" spans="1:16" x14ac:dyDescent="0.3">
      <c r="A1969" t="s">
        <v>1410</v>
      </c>
      <c r="B1969" s="9" t="s">
        <v>1011</v>
      </c>
      <c r="C1969" s="20" t="str">
        <f t="shared" si="30"/>
        <v>Jun</v>
      </c>
      <c r="D1969" t="s">
        <v>1411</v>
      </c>
      <c r="E1969" s="10" t="s">
        <v>1412</v>
      </c>
      <c r="F1969" t="s">
        <v>17</v>
      </c>
      <c r="G1969" t="s">
        <v>26</v>
      </c>
      <c r="H1969" t="s">
        <v>27</v>
      </c>
      <c r="I1969">
        <v>6</v>
      </c>
      <c r="J1969" s="3">
        <v>198.1</v>
      </c>
      <c r="K1969" s="2">
        <v>0.1</v>
      </c>
      <c r="L1969" s="3">
        <v>1069.74</v>
      </c>
      <c r="M1969" s="3">
        <v>311.16000000000003</v>
      </c>
      <c r="N1969" t="s">
        <v>20</v>
      </c>
      <c r="O1969" s="3"/>
      <c r="P1969" s="3"/>
    </row>
    <row r="1970" spans="1:16" x14ac:dyDescent="0.3">
      <c r="A1970" t="s">
        <v>1533</v>
      </c>
      <c r="B1970" s="9" t="s">
        <v>464</v>
      </c>
      <c r="C1970" s="20" t="str">
        <f t="shared" si="30"/>
        <v>Mar</v>
      </c>
      <c r="D1970" t="s">
        <v>221</v>
      </c>
      <c r="E1970" s="10" t="s">
        <v>1534</v>
      </c>
      <c r="F1970" t="s">
        <v>59</v>
      </c>
      <c r="G1970" t="s">
        <v>26</v>
      </c>
      <c r="H1970" t="s">
        <v>84</v>
      </c>
      <c r="I1970">
        <v>6</v>
      </c>
      <c r="J1970" s="3">
        <v>154.36000000000001</v>
      </c>
      <c r="K1970" s="2">
        <v>0.05</v>
      </c>
      <c r="L1970" s="3">
        <v>879.85</v>
      </c>
      <c r="M1970" s="3">
        <v>102.92</v>
      </c>
      <c r="N1970" t="s">
        <v>35</v>
      </c>
      <c r="O1970" s="3"/>
      <c r="P1970" s="3"/>
    </row>
    <row r="1971" spans="1:16" x14ac:dyDescent="0.3">
      <c r="A1971" t="s">
        <v>1546</v>
      </c>
      <c r="B1971" s="9" t="s">
        <v>1547</v>
      </c>
      <c r="C1971" s="20" t="str">
        <f t="shared" si="30"/>
        <v>Aug</v>
      </c>
      <c r="D1971" t="s">
        <v>975</v>
      </c>
      <c r="E1971" s="10" t="s">
        <v>1548</v>
      </c>
      <c r="F1971" t="s">
        <v>64</v>
      </c>
      <c r="G1971" t="s">
        <v>18</v>
      </c>
      <c r="H1971" t="s">
        <v>79</v>
      </c>
      <c r="I1971">
        <v>5</v>
      </c>
      <c r="J1971" s="3">
        <v>99.89</v>
      </c>
      <c r="K1971" s="2">
        <v>0</v>
      </c>
      <c r="L1971" s="3">
        <v>499.45</v>
      </c>
      <c r="M1971" s="3">
        <v>95.91</v>
      </c>
      <c r="N1971" t="s">
        <v>35</v>
      </c>
      <c r="O1971" s="3"/>
      <c r="P1971" s="3"/>
    </row>
    <row r="1972" spans="1:16" x14ac:dyDescent="0.3">
      <c r="A1972" t="s">
        <v>1702</v>
      </c>
      <c r="B1972" s="9" t="s">
        <v>1703</v>
      </c>
      <c r="C1972" s="20" t="str">
        <f t="shared" si="30"/>
        <v>Jan</v>
      </c>
      <c r="D1972" t="s">
        <v>1704</v>
      </c>
      <c r="E1972" s="10" t="s">
        <v>1705</v>
      </c>
      <c r="F1972" t="s">
        <v>32</v>
      </c>
      <c r="G1972" t="s">
        <v>89</v>
      </c>
      <c r="H1972" t="s">
        <v>131</v>
      </c>
      <c r="I1972">
        <v>5</v>
      </c>
      <c r="J1972" s="3">
        <v>77.81</v>
      </c>
      <c r="K1972" s="2">
        <v>0.1</v>
      </c>
      <c r="L1972" s="3">
        <v>350.15</v>
      </c>
      <c r="M1972" s="3">
        <v>73.14</v>
      </c>
      <c r="N1972" t="s">
        <v>35</v>
      </c>
      <c r="O1972" s="3"/>
      <c r="P1972" s="3"/>
    </row>
    <row r="1973" spans="1:16" x14ac:dyDescent="0.3">
      <c r="A1973" t="s">
        <v>1736</v>
      </c>
      <c r="B1973" s="9" t="s">
        <v>630</v>
      </c>
      <c r="C1973" s="20" t="str">
        <f t="shared" si="30"/>
        <v>Oct</v>
      </c>
      <c r="D1973" t="s">
        <v>1737</v>
      </c>
      <c r="E1973" s="10" t="s">
        <v>1738</v>
      </c>
      <c r="F1973" t="s">
        <v>25</v>
      </c>
      <c r="G1973" t="s">
        <v>18</v>
      </c>
      <c r="H1973" t="s">
        <v>45</v>
      </c>
      <c r="I1973">
        <v>1</v>
      </c>
      <c r="J1973" s="3">
        <v>146.56</v>
      </c>
      <c r="K1973" s="2">
        <v>0.1</v>
      </c>
      <c r="L1973" s="3">
        <v>131.9</v>
      </c>
      <c r="M1973" s="3">
        <v>19.68</v>
      </c>
      <c r="N1973" t="s">
        <v>40</v>
      </c>
      <c r="O1973" s="3"/>
      <c r="P1973" s="3"/>
    </row>
    <row r="1974" spans="1:16" x14ac:dyDescent="0.3">
      <c r="A1974" t="s">
        <v>1762</v>
      </c>
      <c r="B1974" s="9" t="s">
        <v>1013</v>
      </c>
      <c r="C1974" s="20" t="str">
        <f t="shared" si="30"/>
        <v>Dec</v>
      </c>
      <c r="D1974" t="s">
        <v>1046</v>
      </c>
      <c r="E1974" s="10" t="s">
        <v>1763</v>
      </c>
      <c r="F1974" t="s">
        <v>59</v>
      </c>
      <c r="G1974" t="s">
        <v>33</v>
      </c>
      <c r="H1974" t="s">
        <v>34</v>
      </c>
      <c r="I1974">
        <v>4</v>
      </c>
      <c r="J1974" s="3">
        <v>44.97</v>
      </c>
      <c r="K1974" s="2">
        <v>0.1</v>
      </c>
      <c r="L1974" s="3">
        <v>161.88999999999999</v>
      </c>
      <c r="M1974" s="3">
        <v>34.65</v>
      </c>
      <c r="N1974" t="s">
        <v>20</v>
      </c>
      <c r="O1974" s="3"/>
      <c r="P1974" s="3"/>
    </row>
    <row r="1975" spans="1:16" x14ac:dyDescent="0.3">
      <c r="A1975" t="s">
        <v>1860</v>
      </c>
      <c r="B1975" s="9" t="s">
        <v>768</v>
      </c>
      <c r="C1975" s="20" t="str">
        <f t="shared" si="30"/>
        <v>Jun</v>
      </c>
      <c r="D1975" t="s">
        <v>1861</v>
      </c>
      <c r="E1975" s="10" t="s">
        <v>1862</v>
      </c>
      <c r="F1975" t="s">
        <v>64</v>
      </c>
      <c r="G1975" t="s">
        <v>89</v>
      </c>
      <c r="H1975" t="s">
        <v>90</v>
      </c>
      <c r="I1975">
        <v>5</v>
      </c>
      <c r="J1975" s="3">
        <v>237.11</v>
      </c>
      <c r="K1975" s="2">
        <v>0.1</v>
      </c>
      <c r="L1975" s="3">
        <v>1067</v>
      </c>
      <c r="M1975" s="3">
        <v>205.42</v>
      </c>
      <c r="N1975" t="s">
        <v>35</v>
      </c>
      <c r="O1975" s="3"/>
      <c r="P1975" s="3"/>
    </row>
    <row r="1976" spans="1:16" x14ac:dyDescent="0.3">
      <c r="A1976" t="s">
        <v>2127</v>
      </c>
      <c r="B1976" s="9" t="s">
        <v>1307</v>
      </c>
      <c r="C1976" s="20" t="str">
        <f t="shared" si="30"/>
        <v>Jan</v>
      </c>
      <c r="D1976" t="s">
        <v>82</v>
      </c>
      <c r="E1976" s="10" t="s">
        <v>2128</v>
      </c>
      <c r="F1976" t="s">
        <v>17</v>
      </c>
      <c r="G1976" t="s">
        <v>89</v>
      </c>
      <c r="H1976" t="s">
        <v>90</v>
      </c>
      <c r="I1976">
        <v>3</v>
      </c>
      <c r="J1976" s="3">
        <v>128.82</v>
      </c>
      <c r="K1976" s="2">
        <v>0.05</v>
      </c>
      <c r="L1976" s="3">
        <v>367.14</v>
      </c>
      <c r="M1976" s="3">
        <v>35.770000000000003</v>
      </c>
      <c r="N1976" t="s">
        <v>40</v>
      </c>
      <c r="O1976" s="3"/>
      <c r="P1976" s="3"/>
    </row>
    <row r="1977" spans="1:16" x14ac:dyDescent="0.3">
      <c r="A1977" t="s">
        <v>2265</v>
      </c>
      <c r="B1977" s="9" t="s">
        <v>2168</v>
      </c>
      <c r="C1977" s="20" t="str">
        <f t="shared" si="30"/>
        <v>Jan</v>
      </c>
      <c r="D1977" t="s">
        <v>1343</v>
      </c>
      <c r="E1977" s="10" t="s">
        <v>2266</v>
      </c>
      <c r="F1977" t="s">
        <v>32</v>
      </c>
      <c r="G1977" t="s">
        <v>18</v>
      </c>
      <c r="H1977" t="s">
        <v>45</v>
      </c>
      <c r="I1977">
        <v>4</v>
      </c>
      <c r="J1977" s="3">
        <v>63.21</v>
      </c>
      <c r="K1977" s="2">
        <v>0.1</v>
      </c>
      <c r="L1977" s="3">
        <v>227.56</v>
      </c>
      <c r="M1977" s="3">
        <v>55.68</v>
      </c>
      <c r="N1977" t="s">
        <v>40</v>
      </c>
      <c r="O1977" s="3"/>
      <c r="P1977" s="3"/>
    </row>
    <row r="1978" spans="1:16" x14ac:dyDescent="0.3">
      <c r="A1978" t="s">
        <v>2333</v>
      </c>
      <c r="B1978" s="9" t="s">
        <v>665</v>
      </c>
      <c r="C1978" s="20" t="str">
        <f t="shared" si="30"/>
        <v>Aug</v>
      </c>
      <c r="D1978" t="s">
        <v>647</v>
      </c>
      <c r="E1978" s="10" t="s">
        <v>2334</v>
      </c>
      <c r="F1978" t="s">
        <v>17</v>
      </c>
      <c r="G1978" t="s">
        <v>89</v>
      </c>
      <c r="H1978" t="s">
        <v>90</v>
      </c>
      <c r="I1978">
        <v>5</v>
      </c>
      <c r="J1978" s="3">
        <v>163.74</v>
      </c>
      <c r="K1978" s="2">
        <v>0</v>
      </c>
      <c r="L1978" s="3">
        <v>818.7</v>
      </c>
      <c r="M1978" s="3">
        <v>201.46</v>
      </c>
      <c r="N1978" t="s">
        <v>20</v>
      </c>
      <c r="O1978" s="3"/>
      <c r="P1978" s="3"/>
    </row>
    <row r="1979" spans="1:16" x14ac:dyDescent="0.3">
      <c r="A1979" t="s">
        <v>2373</v>
      </c>
      <c r="B1979" s="9" t="s">
        <v>1116</v>
      </c>
      <c r="C1979" s="20" t="str">
        <f t="shared" si="30"/>
        <v>Feb</v>
      </c>
      <c r="D1979" t="s">
        <v>1888</v>
      </c>
      <c r="E1979" s="10" t="s">
        <v>2374</v>
      </c>
      <c r="F1979" t="s">
        <v>17</v>
      </c>
      <c r="G1979" t="s">
        <v>33</v>
      </c>
      <c r="H1979" t="s">
        <v>50</v>
      </c>
      <c r="I1979">
        <v>4</v>
      </c>
      <c r="J1979" s="3">
        <v>71.5</v>
      </c>
      <c r="K1979" s="2">
        <v>0.15</v>
      </c>
      <c r="L1979" s="3">
        <v>243.1</v>
      </c>
      <c r="M1979" s="3">
        <v>25.62</v>
      </c>
      <c r="N1979" t="s">
        <v>35</v>
      </c>
      <c r="O1979" s="3"/>
      <c r="P1979" s="3"/>
    </row>
    <row r="1980" spans="1:16" x14ac:dyDescent="0.3">
      <c r="A1980" t="s">
        <v>2514</v>
      </c>
      <c r="B1980" s="9" t="s">
        <v>653</v>
      </c>
      <c r="C1980" s="20" t="str">
        <f t="shared" si="30"/>
        <v>Mar</v>
      </c>
      <c r="D1980" t="s">
        <v>332</v>
      </c>
      <c r="E1980" s="10" t="s">
        <v>2515</v>
      </c>
      <c r="F1980" t="s">
        <v>17</v>
      </c>
      <c r="G1980" t="s">
        <v>89</v>
      </c>
      <c r="H1980" t="s">
        <v>131</v>
      </c>
      <c r="I1980">
        <v>6</v>
      </c>
      <c r="J1980" s="3">
        <v>119.59</v>
      </c>
      <c r="K1980" s="2">
        <v>0.1</v>
      </c>
      <c r="L1980" s="3">
        <v>645.79</v>
      </c>
      <c r="M1980" s="3">
        <v>122.01</v>
      </c>
      <c r="N1980" t="s">
        <v>35</v>
      </c>
      <c r="O1980" s="3"/>
      <c r="P1980" s="3"/>
    </row>
    <row r="1981" spans="1:16" x14ac:dyDescent="0.3">
      <c r="A1981" t="s">
        <v>2596</v>
      </c>
      <c r="B1981" s="9" t="s">
        <v>2572</v>
      </c>
      <c r="C1981" s="20" t="str">
        <f t="shared" si="30"/>
        <v>Sep</v>
      </c>
      <c r="D1981" t="s">
        <v>1888</v>
      </c>
      <c r="E1981" s="10" t="s">
        <v>2597</v>
      </c>
      <c r="F1981" t="s">
        <v>25</v>
      </c>
      <c r="G1981" t="s">
        <v>26</v>
      </c>
      <c r="H1981" t="s">
        <v>118</v>
      </c>
      <c r="I1981">
        <v>5</v>
      </c>
      <c r="J1981" s="3">
        <v>195.05</v>
      </c>
      <c r="K1981" s="2">
        <v>0</v>
      </c>
      <c r="L1981" s="3">
        <v>975.25</v>
      </c>
      <c r="M1981" s="3">
        <v>119.02</v>
      </c>
      <c r="N1981" t="s">
        <v>35</v>
      </c>
      <c r="O1981" s="3"/>
      <c r="P1981" s="3"/>
    </row>
    <row r="1982" spans="1:16" x14ac:dyDescent="0.3">
      <c r="A1982" t="s">
        <v>2610</v>
      </c>
      <c r="B1982" s="9" t="s">
        <v>681</v>
      </c>
      <c r="C1982" s="20" t="str">
        <f t="shared" si="30"/>
        <v>Jan</v>
      </c>
      <c r="D1982" t="s">
        <v>1922</v>
      </c>
      <c r="E1982" s="10" t="s">
        <v>2611</v>
      </c>
      <c r="F1982" t="s">
        <v>17</v>
      </c>
      <c r="G1982" t="s">
        <v>89</v>
      </c>
      <c r="H1982" t="s">
        <v>90</v>
      </c>
      <c r="I1982">
        <v>2</v>
      </c>
      <c r="J1982" s="3">
        <v>73.59</v>
      </c>
      <c r="K1982" s="2">
        <v>0</v>
      </c>
      <c r="L1982" s="3">
        <v>147.18</v>
      </c>
      <c r="M1982" s="3">
        <v>13.66</v>
      </c>
      <c r="N1982" t="s">
        <v>35</v>
      </c>
      <c r="O1982" s="3"/>
      <c r="P1982" s="3"/>
    </row>
    <row r="1983" spans="1:16" x14ac:dyDescent="0.3">
      <c r="A1983" t="s">
        <v>2630</v>
      </c>
      <c r="B1983" s="9" t="s">
        <v>341</v>
      </c>
      <c r="C1983" s="20" t="str">
        <f t="shared" si="30"/>
        <v>Jul</v>
      </c>
      <c r="D1983" t="s">
        <v>1359</v>
      </c>
      <c r="E1983" s="10" t="s">
        <v>2631</v>
      </c>
      <c r="F1983" t="s">
        <v>32</v>
      </c>
      <c r="G1983" t="s">
        <v>18</v>
      </c>
      <c r="H1983" t="s">
        <v>45</v>
      </c>
      <c r="I1983">
        <v>4</v>
      </c>
      <c r="J1983" s="3">
        <v>75.83</v>
      </c>
      <c r="K1983" s="2">
        <v>0</v>
      </c>
      <c r="L1983" s="3">
        <v>303.32</v>
      </c>
      <c r="M1983" s="3">
        <v>29.21</v>
      </c>
      <c r="N1983" t="s">
        <v>35</v>
      </c>
      <c r="O1983" s="3"/>
      <c r="P1983" s="3"/>
    </row>
    <row r="1984" spans="1:16" x14ac:dyDescent="0.3">
      <c r="A1984" t="s">
        <v>2757</v>
      </c>
      <c r="B1984" s="9" t="s">
        <v>1684</v>
      </c>
      <c r="C1984" s="20" t="str">
        <f t="shared" si="30"/>
        <v>Nov</v>
      </c>
      <c r="D1984" t="s">
        <v>1145</v>
      </c>
      <c r="E1984" s="10" t="s">
        <v>2758</v>
      </c>
      <c r="F1984" t="s">
        <v>59</v>
      </c>
      <c r="G1984" t="s">
        <v>18</v>
      </c>
      <c r="H1984" t="s">
        <v>19</v>
      </c>
      <c r="I1984">
        <v>4</v>
      </c>
      <c r="J1984" s="3">
        <v>168.76</v>
      </c>
      <c r="K1984" s="2">
        <v>0.05</v>
      </c>
      <c r="L1984" s="3">
        <v>641.29</v>
      </c>
      <c r="M1984" s="3">
        <v>110.29</v>
      </c>
      <c r="N1984" t="s">
        <v>20</v>
      </c>
      <c r="O1984" s="3"/>
      <c r="P1984" s="3"/>
    </row>
    <row r="1985" spans="1:16" x14ac:dyDescent="0.3">
      <c r="A1985" t="s">
        <v>2789</v>
      </c>
      <c r="B1985" s="9" t="s">
        <v>493</v>
      </c>
      <c r="C1985" s="20" t="str">
        <f t="shared" si="30"/>
        <v>Jan</v>
      </c>
      <c r="D1985" t="s">
        <v>1451</v>
      </c>
      <c r="E1985" s="10" t="s">
        <v>2790</v>
      </c>
      <c r="F1985" t="s">
        <v>59</v>
      </c>
      <c r="G1985" t="s">
        <v>33</v>
      </c>
      <c r="H1985" t="s">
        <v>69</v>
      </c>
      <c r="I1985">
        <v>8</v>
      </c>
      <c r="J1985" s="3">
        <v>167.99</v>
      </c>
      <c r="K1985" s="2">
        <v>0.1</v>
      </c>
      <c r="L1985" s="3">
        <v>1209.53</v>
      </c>
      <c r="M1985" s="3">
        <v>120.61</v>
      </c>
      <c r="N1985" t="s">
        <v>35</v>
      </c>
      <c r="O1985" s="3"/>
      <c r="P1985" s="3"/>
    </row>
    <row r="1986" spans="1:16" x14ac:dyDescent="0.3">
      <c r="A1986" t="s">
        <v>2791</v>
      </c>
      <c r="B1986" s="9" t="s">
        <v>705</v>
      </c>
      <c r="C1986" s="20" t="str">
        <f t="shared" ref="C1986:C2001" si="31">TEXT(B:B, "mmm")</f>
        <v>Mar</v>
      </c>
      <c r="D1986" t="s">
        <v>682</v>
      </c>
      <c r="E1986" s="10" t="s">
        <v>2792</v>
      </c>
      <c r="F1986" t="s">
        <v>25</v>
      </c>
      <c r="G1986" t="s">
        <v>18</v>
      </c>
      <c r="H1986" t="s">
        <v>79</v>
      </c>
      <c r="I1986">
        <v>7</v>
      </c>
      <c r="J1986" s="3">
        <v>240.67</v>
      </c>
      <c r="K1986" s="2">
        <v>0.05</v>
      </c>
      <c r="L1986" s="3">
        <v>1600.46</v>
      </c>
      <c r="M1986" s="3">
        <v>152.62</v>
      </c>
      <c r="N1986" t="s">
        <v>20</v>
      </c>
      <c r="O1986" s="3"/>
      <c r="P1986" s="3"/>
    </row>
    <row r="1987" spans="1:16" x14ac:dyDescent="0.3">
      <c r="A1987" t="s">
        <v>2822</v>
      </c>
      <c r="B1987" s="9" t="s">
        <v>810</v>
      </c>
      <c r="C1987" s="20" t="str">
        <f t="shared" si="31"/>
        <v>Feb</v>
      </c>
      <c r="D1987" t="s">
        <v>725</v>
      </c>
      <c r="E1987" s="10" t="s">
        <v>2823</v>
      </c>
      <c r="F1987" t="s">
        <v>17</v>
      </c>
      <c r="G1987" t="s">
        <v>18</v>
      </c>
      <c r="H1987" t="s">
        <v>19</v>
      </c>
      <c r="I1987">
        <v>2</v>
      </c>
      <c r="J1987" s="3">
        <v>86.75</v>
      </c>
      <c r="K1987" s="2">
        <v>0.15</v>
      </c>
      <c r="L1987" s="3">
        <v>147.47</v>
      </c>
      <c r="M1987" s="3">
        <v>23.09</v>
      </c>
      <c r="N1987" t="s">
        <v>20</v>
      </c>
      <c r="O1987" s="3"/>
      <c r="P1987" s="3"/>
    </row>
    <row r="1988" spans="1:16" x14ac:dyDescent="0.3">
      <c r="A1988" t="s">
        <v>2917</v>
      </c>
      <c r="B1988" s="9" t="s">
        <v>388</v>
      </c>
      <c r="C1988" s="20" t="str">
        <f t="shared" si="31"/>
        <v>Aug</v>
      </c>
      <c r="D1988" t="s">
        <v>1487</v>
      </c>
      <c r="E1988" s="10" t="s">
        <v>2918</v>
      </c>
      <c r="F1988" t="s">
        <v>59</v>
      </c>
      <c r="G1988" t="s">
        <v>26</v>
      </c>
      <c r="H1988" t="s">
        <v>84</v>
      </c>
      <c r="I1988">
        <v>8</v>
      </c>
      <c r="J1988" s="3">
        <v>171.81</v>
      </c>
      <c r="K1988" s="2">
        <v>0</v>
      </c>
      <c r="L1988" s="3">
        <v>1374.48</v>
      </c>
      <c r="M1988" s="3">
        <v>361.36</v>
      </c>
      <c r="N1988" t="s">
        <v>35</v>
      </c>
      <c r="O1988" s="3"/>
      <c r="P1988" s="3"/>
    </row>
    <row r="1989" spans="1:16" x14ac:dyDescent="0.3">
      <c r="A1989" t="s">
        <v>2979</v>
      </c>
      <c r="B1989" s="9" t="s">
        <v>355</v>
      </c>
      <c r="C1989" s="20" t="str">
        <f t="shared" si="31"/>
        <v>Jan</v>
      </c>
      <c r="D1989" t="s">
        <v>729</v>
      </c>
      <c r="E1989" s="10" t="s">
        <v>2980</v>
      </c>
      <c r="F1989" t="s">
        <v>64</v>
      </c>
      <c r="G1989" t="s">
        <v>89</v>
      </c>
      <c r="H1989" t="s">
        <v>150</v>
      </c>
      <c r="I1989">
        <v>6</v>
      </c>
      <c r="J1989" s="3">
        <v>85.92</v>
      </c>
      <c r="K1989" s="2">
        <v>0.1</v>
      </c>
      <c r="L1989" s="3">
        <v>463.97</v>
      </c>
      <c r="M1989" s="3">
        <v>43.6</v>
      </c>
      <c r="N1989" t="s">
        <v>40</v>
      </c>
      <c r="O1989" s="3"/>
      <c r="P1989" s="3"/>
    </row>
    <row r="1990" spans="1:16" x14ac:dyDescent="0.3">
      <c r="A1990" t="s">
        <v>3022</v>
      </c>
      <c r="B1990" s="9" t="s">
        <v>252</v>
      </c>
      <c r="C1990" s="20" t="str">
        <f t="shared" si="31"/>
        <v>Mar</v>
      </c>
      <c r="D1990" t="s">
        <v>668</v>
      </c>
      <c r="E1990" s="10" t="s">
        <v>3023</v>
      </c>
      <c r="F1990" t="s">
        <v>32</v>
      </c>
      <c r="G1990" t="s">
        <v>33</v>
      </c>
      <c r="H1990" t="s">
        <v>69</v>
      </c>
      <c r="I1990">
        <v>6</v>
      </c>
      <c r="J1990" s="3">
        <v>36.82</v>
      </c>
      <c r="K1990" s="2">
        <v>0</v>
      </c>
      <c r="L1990" s="3">
        <v>220.92</v>
      </c>
      <c r="M1990" s="3">
        <v>18.7</v>
      </c>
      <c r="N1990" t="s">
        <v>40</v>
      </c>
      <c r="O1990" s="3"/>
      <c r="P1990" s="3"/>
    </row>
    <row r="1991" spans="1:16" x14ac:dyDescent="0.3">
      <c r="A1991" t="s">
        <v>3049</v>
      </c>
      <c r="B1991" s="9" t="s">
        <v>1112</v>
      </c>
      <c r="C1991" s="20" t="str">
        <f t="shared" si="31"/>
        <v>May</v>
      </c>
      <c r="D1991" t="s">
        <v>1069</v>
      </c>
      <c r="E1991" s="10" t="s">
        <v>3050</v>
      </c>
      <c r="F1991" t="s">
        <v>59</v>
      </c>
      <c r="G1991" t="s">
        <v>26</v>
      </c>
      <c r="H1991" t="s">
        <v>118</v>
      </c>
      <c r="I1991">
        <v>4</v>
      </c>
      <c r="J1991" s="3">
        <v>57.98</v>
      </c>
      <c r="K1991" s="2">
        <v>0.15</v>
      </c>
      <c r="L1991" s="3">
        <v>197.13</v>
      </c>
      <c r="M1991" s="3">
        <v>40.65</v>
      </c>
      <c r="N1991" t="s">
        <v>35</v>
      </c>
      <c r="O1991" s="3"/>
      <c r="P1991" s="3"/>
    </row>
    <row r="1992" spans="1:16" x14ac:dyDescent="0.3">
      <c r="A1992" t="s">
        <v>3111</v>
      </c>
      <c r="B1992" s="9" t="s">
        <v>2034</v>
      </c>
      <c r="C1992" s="20" t="str">
        <f t="shared" si="31"/>
        <v>Jan</v>
      </c>
      <c r="D1992" t="s">
        <v>1102</v>
      </c>
      <c r="E1992" s="10" t="s">
        <v>3112</v>
      </c>
      <c r="F1992" t="s">
        <v>25</v>
      </c>
      <c r="G1992" t="s">
        <v>89</v>
      </c>
      <c r="H1992" t="s">
        <v>150</v>
      </c>
      <c r="I1992">
        <v>5</v>
      </c>
      <c r="J1992" s="3">
        <v>50.82</v>
      </c>
      <c r="K1992" s="2">
        <v>0.1</v>
      </c>
      <c r="L1992" s="3">
        <v>228.69</v>
      </c>
      <c r="M1992" s="3">
        <v>64.48</v>
      </c>
      <c r="N1992" t="s">
        <v>40</v>
      </c>
      <c r="O1992" s="3"/>
      <c r="P1992" s="3"/>
    </row>
    <row r="1993" spans="1:16" x14ac:dyDescent="0.3">
      <c r="A1993" t="s">
        <v>3126</v>
      </c>
      <c r="B1993" s="9" t="s">
        <v>2512</v>
      </c>
      <c r="C1993" s="20" t="str">
        <f t="shared" si="31"/>
        <v>Aug</v>
      </c>
      <c r="D1993" t="s">
        <v>1361</v>
      </c>
      <c r="E1993" s="10" t="s">
        <v>3127</v>
      </c>
      <c r="F1993" t="s">
        <v>32</v>
      </c>
      <c r="G1993" t="s">
        <v>33</v>
      </c>
      <c r="H1993" t="s">
        <v>74</v>
      </c>
      <c r="I1993">
        <v>2</v>
      </c>
      <c r="J1993" s="3">
        <v>56.15</v>
      </c>
      <c r="K1993" s="2">
        <v>0</v>
      </c>
      <c r="L1993" s="3">
        <v>112.3</v>
      </c>
      <c r="M1993" s="3">
        <v>30.81</v>
      </c>
      <c r="N1993" t="s">
        <v>35</v>
      </c>
      <c r="O1993" s="3"/>
      <c r="P1993" s="3"/>
    </row>
    <row r="1994" spans="1:16" x14ac:dyDescent="0.3">
      <c r="A1994" t="s">
        <v>3140</v>
      </c>
      <c r="B1994" s="9" t="s">
        <v>500</v>
      </c>
      <c r="C1994" s="20" t="str">
        <f t="shared" si="31"/>
        <v>Nov</v>
      </c>
      <c r="D1994" t="s">
        <v>448</v>
      </c>
      <c r="E1994" s="10" t="s">
        <v>3141</v>
      </c>
      <c r="F1994" t="s">
        <v>59</v>
      </c>
      <c r="G1994" t="s">
        <v>26</v>
      </c>
      <c r="H1994" t="s">
        <v>118</v>
      </c>
      <c r="I1994">
        <v>5</v>
      </c>
      <c r="J1994" s="3">
        <v>134.37</v>
      </c>
      <c r="K1994" s="2">
        <v>0</v>
      </c>
      <c r="L1994" s="3">
        <v>671.85</v>
      </c>
      <c r="M1994" s="3">
        <v>136.46</v>
      </c>
      <c r="N1994" t="s">
        <v>40</v>
      </c>
      <c r="O1994" s="3"/>
      <c r="P1994" s="3"/>
    </row>
    <row r="1995" spans="1:16" x14ac:dyDescent="0.3">
      <c r="A1995" t="s">
        <v>3160</v>
      </c>
      <c r="B1995" s="9" t="s">
        <v>2166</v>
      </c>
      <c r="C1995" s="20" t="str">
        <f t="shared" si="31"/>
        <v>Dec</v>
      </c>
      <c r="D1995" t="s">
        <v>950</v>
      </c>
      <c r="E1995" s="10" t="s">
        <v>3161</v>
      </c>
      <c r="F1995" t="s">
        <v>32</v>
      </c>
      <c r="G1995" t="s">
        <v>26</v>
      </c>
      <c r="H1995" t="s">
        <v>84</v>
      </c>
      <c r="I1995">
        <v>3</v>
      </c>
      <c r="J1995" s="3">
        <v>237.62</v>
      </c>
      <c r="K1995" s="2">
        <v>0.05</v>
      </c>
      <c r="L1995" s="3">
        <v>677.22</v>
      </c>
      <c r="M1995" s="3">
        <v>164.16</v>
      </c>
      <c r="N1995" t="s">
        <v>35</v>
      </c>
      <c r="O1995" s="3"/>
      <c r="P1995" s="3"/>
    </row>
    <row r="1996" spans="1:16" x14ac:dyDescent="0.3">
      <c r="A1996" t="s">
        <v>3168</v>
      </c>
      <c r="B1996" s="9" t="s">
        <v>1136</v>
      </c>
      <c r="C1996" s="20" t="str">
        <f t="shared" si="31"/>
        <v>Apr</v>
      </c>
      <c r="D1996" t="s">
        <v>1239</v>
      </c>
      <c r="E1996" s="10" t="s">
        <v>3169</v>
      </c>
      <c r="F1996" t="s">
        <v>64</v>
      </c>
      <c r="G1996" t="s">
        <v>33</v>
      </c>
      <c r="H1996" t="s">
        <v>69</v>
      </c>
      <c r="I1996">
        <v>8</v>
      </c>
      <c r="J1996" s="3">
        <v>109.55</v>
      </c>
      <c r="K1996" s="2">
        <v>0.1</v>
      </c>
      <c r="L1996" s="3">
        <v>788.76</v>
      </c>
      <c r="M1996" s="3">
        <v>186.69</v>
      </c>
      <c r="N1996" t="s">
        <v>35</v>
      </c>
      <c r="O1996" s="3"/>
      <c r="P1996" s="3"/>
    </row>
    <row r="1997" spans="1:16" x14ac:dyDescent="0.3">
      <c r="A1997" t="s">
        <v>3220</v>
      </c>
      <c r="B1997" s="9" t="s">
        <v>1037</v>
      </c>
      <c r="C1997" s="20" t="str">
        <f t="shared" si="31"/>
        <v>Oct</v>
      </c>
      <c r="D1997" t="s">
        <v>2058</v>
      </c>
      <c r="E1997" s="10" t="s">
        <v>3221</v>
      </c>
      <c r="F1997" t="s">
        <v>32</v>
      </c>
      <c r="G1997" t="s">
        <v>33</v>
      </c>
      <c r="H1997" t="s">
        <v>69</v>
      </c>
      <c r="I1997">
        <v>5</v>
      </c>
      <c r="J1997" s="3">
        <v>42.47</v>
      </c>
      <c r="K1997" s="2">
        <v>0.1</v>
      </c>
      <c r="L1997" s="3">
        <v>191.12</v>
      </c>
      <c r="M1997" s="3">
        <v>56.6</v>
      </c>
      <c r="N1997" t="s">
        <v>40</v>
      </c>
      <c r="O1997" s="3"/>
      <c r="P1997" s="3"/>
    </row>
    <row r="1998" spans="1:16" x14ac:dyDescent="0.3">
      <c r="A1998" t="s">
        <v>3274</v>
      </c>
      <c r="B1998" s="9" t="s">
        <v>510</v>
      </c>
      <c r="C1998" s="20" t="str">
        <f t="shared" si="31"/>
        <v>Sep</v>
      </c>
      <c r="D1998" t="s">
        <v>291</v>
      </c>
      <c r="E1998" s="10" t="s">
        <v>3275</v>
      </c>
      <c r="F1998" t="s">
        <v>25</v>
      </c>
      <c r="G1998" t="s">
        <v>18</v>
      </c>
      <c r="H1998" t="s">
        <v>19</v>
      </c>
      <c r="I1998">
        <v>6</v>
      </c>
      <c r="J1998" s="3">
        <v>84.59</v>
      </c>
      <c r="K1998" s="2">
        <v>0.1</v>
      </c>
      <c r="L1998" s="3">
        <v>456.79</v>
      </c>
      <c r="M1998" s="3">
        <v>65.349999999999994</v>
      </c>
      <c r="N1998" t="s">
        <v>20</v>
      </c>
      <c r="O1998" s="3"/>
      <c r="P1998" s="3"/>
    </row>
    <row r="1999" spans="1:16" x14ac:dyDescent="0.3">
      <c r="A1999" t="s">
        <v>3289</v>
      </c>
      <c r="B1999" s="9" t="s">
        <v>2458</v>
      </c>
      <c r="C1999" s="20" t="str">
        <f t="shared" si="31"/>
        <v>Jan</v>
      </c>
      <c r="D1999" t="s">
        <v>575</v>
      </c>
      <c r="E1999" s="10" t="s">
        <v>3290</v>
      </c>
      <c r="F1999" t="s">
        <v>64</v>
      </c>
      <c r="G1999" t="s">
        <v>26</v>
      </c>
      <c r="H1999" t="s">
        <v>84</v>
      </c>
      <c r="I1999">
        <v>5</v>
      </c>
      <c r="J1999" s="3">
        <v>85.8</v>
      </c>
      <c r="K1999" s="2">
        <v>0.05</v>
      </c>
      <c r="L1999" s="3">
        <v>407.55</v>
      </c>
      <c r="M1999" s="3">
        <v>51.49</v>
      </c>
      <c r="N1999" t="s">
        <v>35</v>
      </c>
      <c r="O1999" s="3"/>
      <c r="P1999" s="3"/>
    </row>
    <row r="2000" spans="1:16" x14ac:dyDescent="0.3">
      <c r="A2000" t="s">
        <v>3329</v>
      </c>
      <c r="B2000" s="9" t="s">
        <v>1352</v>
      </c>
      <c r="C2000" s="20" t="str">
        <f t="shared" si="31"/>
        <v>Apr</v>
      </c>
      <c r="D2000" t="s">
        <v>1305</v>
      </c>
      <c r="E2000" s="10" t="s">
        <v>3330</v>
      </c>
      <c r="F2000" t="s">
        <v>32</v>
      </c>
      <c r="G2000" t="s">
        <v>89</v>
      </c>
      <c r="H2000" t="s">
        <v>150</v>
      </c>
      <c r="I2000">
        <v>2</v>
      </c>
      <c r="J2000" s="3">
        <v>243.4</v>
      </c>
      <c r="K2000" s="2">
        <v>0.1</v>
      </c>
      <c r="L2000" s="3">
        <v>438.12</v>
      </c>
      <c r="M2000" s="3">
        <v>68.92</v>
      </c>
      <c r="N2000" t="s">
        <v>35</v>
      </c>
      <c r="O2000" s="3"/>
      <c r="P2000" s="3"/>
    </row>
    <row r="2001" spans="1:16" x14ac:dyDescent="0.3">
      <c r="A2001" t="s">
        <v>3355</v>
      </c>
      <c r="B2001" s="9" t="s">
        <v>1992</v>
      </c>
      <c r="C2001" s="20" t="str">
        <f t="shared" si="31"/>
        <v>Jul</v>
      </c>
      <c r="D2001" t="s">
        <v>211</v>
      </c>
      <c r="E2001" s="10" t="s">
        <v>3356</v>
      </c>
      <c r="F2001" t="s">
        <v>59</v>
      </c>
      <c r="G2001" t="s">
        <v>18</v>
      </c>
      <c r="H2001" t="s">
        <v>19</v>
      </c>
      <c r="I2001">
        <v>3</v>
      </c>
      <c r="J2001" s="3">
        <v>20.43</v>
      </c>
      <c r="K2001" s="2">
        <v>0</v>
      </c>
      <c r="L2001" s="3">
        <v>61.29</v>
      </c>
      <c r="M2001" s="3">
        <v>9.18</v>
      </c>
      <c r="N2001" t="s">
        <v>40</v>
      </c>
      <c r="O2001" s="3"/>
      <c r="P2001" s="3"/>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workbookViewId="0">
      <selection activeCell="A3" sqref="A3"/>
    </sheetView>
  </sheetViews>
  <sheetFormatPr defaultRowHeight="16.5" x14ac:dyDescent="0.3"/>
  <cols>
    <col min="1" max="1" width="32.25" customWidth="1"/>
  </cols>
  <sheetData>
    <row r="1" spans="1:1" x14ac:dyDescent="0.3">
      <c r="A1" t="s">
        <v>3384</v>
      </c>
    </row>
    <row r="2" spans="1:1" x14ac:dyDescent="0.3">
      <c r="A2" s="1"/>
    </row>
    <row r="3" spans="1:1" x14ac:dyDescent="0.3">
      <c r="A3" s="1" t="s">
        <v>3385</v>
      </c>
    </row>
    <row r="4" spans="1:1" x14ac:dyDescent="0.3">
      <c r="A4" s="1" t="s">
        <v>3386</v>
      </c>
    </row>
    <row r="5" spans="1:1" x14ac:dyDescent="0.3">
      <c r="A5" s="1" t="s">
        <v>3387</v>
      </c>
    </row>
    <row r="6" spans="1:1" x14ac:dyDescent="0.3">
      <c r="A6" s="1" t="s">
        <v>3388</v>
      </c>
    </row>
    <row r="7" spans="1:1" x14ac:dyDescent="0.3">
      <c r="A7" s="1" t="s">
        <v>3389</v>
      </c>
    </row>
    <row r="8" spans="1:1" x14ac:dyDescent="0.3">
      <c r="A8" s="1" t="s">
        <v>3390</v>
      </c>
    </row>
    <row r="9" spans="1:1" x14ac:dyDescent="0.3">
      <c r="A9" s="1" t="s">
        <v>3391</v>
      </c>
    </row>
    <row r="10" spans="1:1" x14ac:dyDescent="0.3">
      <c r="A10" s="1" t="s">
        <v>3392</v>
      </c>
    </row>
    <row r="11" spans="1:1" x14ac:dyDescent="0.3">
      <c r="A11" s="1" t="s">
        <v>3393</v>
      </c>
    </row>
    <row r="12" spans="1:1" x14ac:dyDescent="0.3">
      <c r="A12" s="1" t="s">
        <v>3394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ORIGINAL TABLE</vt:lpstr>
      <vt:lpstr>PIVOT TABLE</vt:lpstr>
      <vt:lpstr>DASHBOARD</vt:lpstr>
      <vt:lpstr>CLEAN TABLE</vt:lpstr>
      <vt:lpstr>Questions</vt:lpstr>
      <vt:lpstr>DASHBOARD!Print_Area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2026-07-14T10:34:48Z</dcterms:created>
  <dcterms:modified xsi:type="dcterms:W3CDTF">2026-07-31T20:00:09Z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